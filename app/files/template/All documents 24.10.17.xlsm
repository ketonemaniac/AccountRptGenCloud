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0" yWindow="0" windowWidth="17505" windowHeight="11025" tabRatio="901" firstSheet="41" activeTab="53"/>
  </bookViews>
  <sheets>
    <sheet name="metadata" sheetId="75" r:id="rId1"/>
    <sheet name="Cover" sheetId="34" r:id="rId2"/>
    <sheet name="Contents" sheetId="35" r:id="rId3"/>
    <sheet name="Control" sheetId="4" r:id="rId4"/>
    <sheet name="Dir info" sheetId="49" r:id="rId5"/>
    <sheet name="Doc list" sheetId="13" r:id="rId6"/>
    <sheet name="D emol" sheetId="3" r:id="rId7"/>
    <sheet name="D emol (2)" sheetId="25" r:id="rId8"/>
    <sheet name="D emol (3)" sheetId="50" state="hidden" r:id="rId9"/>
    <sheet name="D emol (4)" sheetId="51" state="hidden" r:id="rId10"/>
    <sheet name="D emol (5)" sheetId="52" state="hidden" r:id="rId11"/>
    <sheet name="D emol (6)" sheetId="53" state="hidden" r:id="rId12"/>
    <sheet name="LOR" sheetId="7" r:id="rId13"/>
    <sheet name="LOE" sheetId="5" r:id="rId14"/>
    <sheet name="LOE (CAP622)" sheetId="24" r:id="rId15"/>
    <sheet name="LOE y.e. after 14.12.16" sheetId="70" r:id="rId16"/>
    <sheet name="LOS" sheetId="15" r:id="rId17"/>
    <sheet name="Audit conf." sheetId="1" r:id="rId18"/>
    <sheet name="Audit conf. (2)" sheetId="58" r:id="rId19"/>
    <sheet name="Audit conf. (3)" sheetId="59" state="hidden" r:id="rId20"/>
    <sheet name="Audit conf. (4)" sheetId="60" state="hidden" r:id="rId21"/>
    <sheet name="Audit conf. (5)" sheetId="61" state="hidden" r:id="rId22"/>
    <sheet name="Audit conf. (6)" sheetId="62" state="hidden" r:id="rId23"/>
    <sheet name="Audit conf. 3rd" sheetId="71" r:id="rId24"/>
    <sheet name="cash and F.F" sheetId="73" r:id="rId25"/>
    <sheet name="141D" sheetId="8" r:id="rId26"/>
    <sheet name="Tax rep." sheetId="21" r:id="rId27"/>
    <sheet name="T com dor" sheetId="48" r:id="rId28"/>
    <sheet name="T com (loss)" sheetId="10" r:id="rId29"/>
    <sheet name="T com (profit)" sheetId="11" r:id="rId30"/>
    <sheet name="Depn Allowances" sheetId="65" r:id="rId31"/>
    <sheet name="FA" sheetId="64" r:id="rId32"/>
    <sheet name="Adj" sheetId="9" r:id="rId33"/>
    <sheet name="B conf." sheetId="12" r:id="rId34"/>
    <sheet name="B conf. (2)" sheetId="29" r:id="rId35"/>
    <sheet name="Auditor's report" sheetId="16" r:id="rId36"/>
    <sheet name="Section1" sheetId="31" r:id="rId37"/>
    <sheet name="Section2" sheetId="33" r:id="rId38"/>
    <sheet name="Section3" sheetId="32" r:id="rId39"/>
    <sheet name="Section4" sheetId="36" r:id="rId40"/>
    <sheet name="Section5" sheetId="17" r:id="rId41"/>
    <sheet name="Section6" sheetId="39" r:id="rId42"/>
    <sheet name="Letter to client" sheetId="28" r:id="rId43"/>
    <sheet name="IRD Letter1" sheetId="42" r:id="rId44"/>
    <sheet name="IRD Letter2" sheetId="43" r:id="rId45"/>
    <sheet name="Pro Clear" sheetId="45" r:id="rId46"/>
    <sheet name="Pro Clear (2)" sheetId="72" r:id="rId47"/>
    <sheet name="AGM" sheetId="66" r:id="rId48"/>
    <sheet name="No deli" sheetId="6" r:id="rId49"/>
    <sheet name="EGM" sheetId="67" r:id="rId50"/>
    <sheet name="Spe. Reso" sheetId="68" r:id="rId51"/>
    <sheet name="no consol" sheetId="69" r:id="rId52"/>
    <sheet name="Accounts (3)" sheetId="38" r:id="rId53"/>
    <sheet name="Cash" sheetId="19" r:id="rId54"/>
  </sheets>
  <functionGroups builtInGroupCount="17"/>
  <externalReferences>
    <externalReference r:id="rId55"/>
    <externalReference r:id="rId56"/>
  </externalReferences>
  <definedNames>
    <definedName name="_MON_1411551453" localSheetId="41">Section6!#REF!</definedName>
    <definedName name="Due_to_from_a_director" localSheetId="3">Control!$H$84:$K$84</definedName>
    <definedName name="_xlnm.Print_Area" localSheetId="25">'141D'!$A$1:$H$49</definedName>
    <definedName name="_xlnm.Print_Area" localSheetId="52">'Accounts (3)'!$A$1:$M$455</definedName>
    <definedName name="_xlnm.Print_Area" localSheetId="32">Adj!$A$1:$H$27</definedName>
    <definedName name="_xlnm.Print_Area" localSheetId="47">AGM!$A$1:$K$81</definedName>
    <definedName name="_xlnm.Print_Area" localSheetId="17">'Audit conf.'!$A$1:$D$48</definedName>
    <definedName name="_xlnm.Print_Area" localSheetId="18">'Audit conf. (2)'!$A$1:$D$48</definedName>
    <definedName name="_xlnm.Print_Area" localSheetId="19">'Audit conf. (3)'!$A$1:$D$48</definedName>
    <definedName name="_xlnm.Print_Area" localSheetId="20">'Audit conf. (4)'!$A$1:$D$48</definedName>
    <definedName name="_xlnm.Print_Area" localSheetId="21">'Audit conf. (5)'!$A$1:$D$48</definedName>
    <definedName name="_xlnm.Print_Area" localSheetId="22">'Audit conf. (6)'!$A$1:$D$48</definedName>
    <definedName name="_xlnm.Print_Area" localSheetId="23">'Audit conf. 3rd'!$A$1:$J$50</definedName>
    <definedName name="_xlnm.Print_Area" localSheetId="35">'Auditor''s report'!$A$1:$L$165</definedName>
    <definedName name="_xlnm.Print_Area" localSheetId="33">'B conf.'!$A$1:$I$296</definedName>
    <definedName name="_xlnm.Print_Area" localSheetId="34">'B conf. (2)'!$A$1:$I$295</definedName>
    <definedName name="_xlnm.Print_Area" localSheetId="53">Cash!$A$1:$P$32</definedName>
    <definedName name="_xlnm.Print_Area" localSheetId="24">'cash and F.F'!$A$1:$L$42</definedName>
    <definedName name="_xlnm.Print_Area" localSheetId="6">'D emol'!$A$1:$AL$63</definedName>
    <definedName name="_xlnm.Print_Area" localSheetId="7">'D emol (2)'!$A$1:$AL$63</definedName>
    <definedName name="_xlnm.Print_Area" localSheetId="8">'D emol (3)'!$A$1:$AL$63</definedName>
    <definedName name="_xlnm.Print_Area" localSheetId="9">'D emol (4)'!$A$1:$AL$63</definedName>
    <definedName name="_xlnm.Print_Area" localSheetId="10">'D emol (5)'!$A$1:$AL$63</definedName>
    <definedName name="_xlnm.Print_Area" localSheetId="11">'D emol (6)'!$A$1:$AL$63</definedName>
    <definedName name="_xlnm.Print_Area" localSheetId="30">'Depn Allowances'!$A$1:$H$40</definedName>
    <definedName name="_xlnm.Print_Area" localSheetId="49">EGM!$A$1:$K$54</definedName>
    <definedName name="_xlnm.Print_Area" localSheetId="43">'IRD Letter1'!$A$1:$L$48</definedName>
    <definedName name="_xlnm.Print_Area" localSheetId="44">'IRD Letter2'!$A$1:$L$49</definedName>
    <definedName name="_xlnm.Print_Area" localSheetId="42">'Letter to client'!$A$1:$L$84</definedName>
    <definedName name="_xlnm.Print_Area" localSheetId="13">LOE!$A$1:$L$208</definedName>
    <definedName name="_xlnm.Print_Area" localSheetId="14">'LOE (CAP622)'!$A$1:$L$150</definedName>
    <definedName name="_xlnm.Print_Area" localSheetId="15">'LOE y.e. after 14.12.16'!$A$1:$L$154</definedName>
    <definedName name="_xlnm.Print_Area" localSheetId="12">LOR!$A$1:$J$86</definedName>
    <definedName name="_xlnm.Print_Area" localSheetId="16">LOS!$A$1:$I$48</definedName>
    <definedName name="_xlnm.Print_Area" localSheetId="51">'no consol'!$B$1:$K$29</definedName>
    <definedName name="_xlnm.Print_Area" localSheetId="48">'No deli'!$A$1:$J$28</definedName>
    <definedName name="_xlnm.Print_Area" localSheetId="45">'Pro Clear'!$A$1:$L$55</definedName>
    <definedName name="_xlnm.Print_Area" localSheetId="46">'Pro Clear (2)'!$A$1:$L$60</definedName>
    <definedName name="_xlnm.Print_Area" localSheetId="36">Section1!$A$1:$O$76</definedName>
    <definedName name="_xlnm.Print_Area" localSheetId="37">Section2!$A$3:$K$194</definedName>
    <definedName name="_xlnm.Print_Area" localSheetId="38">Section3!$A$1:$E$47</definedName>
    <definedName name="_xlnm.Print_Area" localSheetId="39">Section4!$A$1:$E$62</definedName>
    <definedName name="_xlnm.Print_Area" localSheetId="40">Section5!$A$1:$F$37</definedName>
    <definedName name="_xlnm.Print_Area" localSheetId="50">'Spe. Reso'!$A$1:$K$55</definedName>
    <definedName name="_xlnm.Print_Area" localSheetId="28">'T com (loss)'!$A$1:$D$45</definedName>
    <definedName name="_xlnm.Print_Area" localSheetId="29">'T com (profit)'!$A$1:$D$58</definedName>
    <definedName name="_xlnm.Print_Area" localSheetId="27">'T com dor'!$A$1:$D$35</definedName>
    <definedName name="_xlnm.Print_Area" localSheetId="26">'Tax rep.'!$A$1:$J$45</definedName>
    <definedName name="Shareholderhishertheir" localSheetId="3">Control!$G$97:$K$97</definedName>
    <definedName name="TITLE" localSheetId="3">Control!$H$9:$K$9</definedName>
    <definedName name="TITLE2" localSheetId="23">[1]Control!$H$51:$I$51</definedName>
    <definedName name="TITLE2" localSheetId="43">[2]Control!$H$55:$I$55</definedName>
    <definedName name="TITLE2" localSheetId="44">[2]Control!$H$55:$I$55</definedName>
    <definedName name="TITLE2" localSheetId="42">[2]Control!$H$55:$I$55</definedName>
    <definedName name="TITLE2" localSheetId="14">[2]Control!$H$55:$I$55</definedName>
    <definedName name="TITLE2" localSheetId="15">[2]Control!$H$55:$I$55</definedName>
    <definedName name="TITLE2" localSheetId="51">[2]Control!$H$55:$I$55</definedName>
    <definedName name="TITLE2" localSheetId="45">[2]Control!$H$55:$I$55</definedName>
    <definedName name="TITLE2" localSheetId="46">[2]Control!$H$55:$I$55</definedName>
    <definedName name="TITLE2">Control!$H$113:$J$113</definedName>
  </definedNames>
  <calcPr calcId="145621" concurrentCalc="0"/>
</workbook>
</file>

<file path=xl/calcChain.xml><?xml version="1.0" encoding="utf-8"?>
<calcChain xmlns="http://schemas.openxmlformats.org/spreadsheetml/2006/main">
  <c r="M231" i="39" l="1"/>
  <c r="M230" i="39"/>
  <c r="M229" i="39"/>
  <c r="M228" i="39"/>
  <c r="M227" i="39"/>
  <c r="M226" i="39"/>
  <c r="M225" i="39"/>
  <c r="M218" i="39"/>
  <c r="I13" i="17"/>
  <c r="I12" i="17"/>
  <c r="O221" i="39"/>
  <c r="O222" i="39"/>
  <c r="Q222" i="39"/>
  <c r="B222" i="39"/>
  <c r="O220" i="39"/>
  <c r="Q220" i="39"/>
  <c r="B220" i="39"/>
  <c r="M223" i="39"/>
  <c r="M222" i="39"/>
  <c r="M221" i="39"/>
  <c r="M220" i="39"/>
  <c r="M219" i="39"/>
  <c r="V13" i="73"/>
  <c r="T13" i="73"/>
  <c r="P13" i="73"/>
  <c r="C24" i="73"/>
  <c r="C19" i="73"/>
  <c r="O24" i="73"/>
  <c r="O19" i="73"/>
  <c r="O8" i="73"/>
  <c r="B8" i="73"/>
  <c r="B12" i="73"/>
  <c r="P9" i="73"/>
  <c r="O13" i="73"/>
  <c r="O9" i="73"/>
  <c r="O12" i="73"/>
  <c r="A51" i="19"/>
  <c r="A50" i="19"/>
  <c r="A2" i="73"/>
  <c r="B13" i="73"/>
  <c r="B9" i="73"/>
  <c r="C14" i="32"/>
  <c r="E14" i="32"/>
  <c r="K12" i="32"/>
  <c r="N135" i="4"/>
  <c r="K135" i="4"/>
  <c r="J192" i="33"/>
  <c r="G45" i="36"/>
  <c r="G31" i="36"/>
  <c r="G10" i="36"/>
  <c r="G11" i="36"/>
  <c r="M168" i="39"/>
  <c r="M170" i="39"/>
  <c r="G16" i="36"/>
  <c r="M17" i="39"/>
  <c r="G478" i="39"/>
  <c r="E478" i="39"/>
  <c r="M171" i="39"/>
  <c r="M169" i="39"/>
  <c r="M306" i="39"/>
  <c r="M307" i="39"/>
  <c r="M299" i="39"/>
  <c r="M302" i="39"/>
  <c r="M300" i="39"/>
  <c r="P52" i="31"/>
  <c r="P53" i="31"/>
  <c r="G13" i="36"/>
  <c r="G12" i="36"/>
  <c r="M557" i="39"/>
  <c r="M556" i="39"/>
  <c r="M555" i="39"/>
  <c r="M553" i="39"/>
  <c r="M552" i="39"/>
  <c r="M551" i="39"/>
  <c r="E53" i="36"/>
  <c r="C53" i="36"/>
  <c r="S20" i="39"/>
  <c r="Q20" i="39"/>
  <c r="W19" i="39"/>
  <c r="U19" i="39"/>
  <c r="S19" i="39"/>
  <c r="Q19" i="39"/>
  <c r="B12" i="17"/>
  <c r="O19" i="39"/>
  <c r="O20" i="39"/>
  <c r="A15" i="39"/>
  <c r="N512" i="39"/>
  <c r="M501" i="39"/>
  <c r="N510" i="39"/>
  <c r="M502" i="39"/>
  <c r="M508" i="39"/>
  <c r="I336" i="39"/>
  <c r="G336" i="39"/>
  <c r="E336" i="39"/>
  <c r="C336" i="39"/>
  <c r="K336" i="39"/>
  <c r="M512" i="39"/>
  <c r="M510" i="39"/>
  <c r="M511" i="39"/>
  <c r="G429" i="39"/>
  <c r="G52" i="36"/>
  <c r="G51" i="36"/>
  <c r="G42" i="36"/>
  <c r="M465" i="39"/>
  <c r="M466" i="39"/>
  <c r="M467" i="39"/>
  <c r="M468" i="39"/>
  <c r="M469" i="39"/>
  <c r="A28" i="36"/>
  <c r="A441" i="39"/>
  <c r="A414" i="39"/>
  <c r="A42" i="36"/>
  <c r="A465" i="39"/>
  <c r="A460" i="39"/>
  <c r="A409" i="39"/>
  <c r="A360" i="39"/>
  <c r="N372" i="39"/>
  <c r="B372" i="39"/>
  <c r="G369" i="39"/>
  <c r="E369" i="39"/>
  <c r="P368" i="39"/>
  <c r="O368" i="39"/>
  <c r="P367" i="39"/>
  <c r="O367" i="39"/>
  <c r="M342" i="39"/>
  <c r="L344" i="39"/>
  <c r="M343" i="39"/>
  <c r="N61" i="72"/>
  <c r="N60" i="72"/>
  <c r="N59" i="72"/>
  <c r="A59" i="72"/>
  <c r="B33" i="72"/>
  <c r="B32" i="72"/>
  <c r="B8" i="72"/>
  <c r="B7" i="72"/>
  <c r="B6" i="72"/>
  <c r="A1" i="72"/>
  <c r="A60" i="72"/>
  <c r="M357" i="39"/>
  <c r="L357" i="39"/>
  <c r="M356" i="39"/>
  <c r="M355" i="39"/>
  <c r="M354" i="39"/>
  <c r="M353" i="39"/>
  <c r="M352" i="39"/>
  <c r="M351" i="39"/>
  <c r="M350" i="39"/>
  <c r="M349" i="39"/>
  <c r="M348" i="39"/>
  <c r="M347" i="39"/>
  <c r="M346" i="39"/>
  <c r="M345" i="39"/>
  <c r="M344" i="39"/>
  <c r="G356" i="39"/>
  <c r="E356" i="39"/>
  <c r="I353" i="39"/>
  <c r="I349" i="39"/>
  <c r="I356" i="39"/>
  <c r="G43" i="36"/>
  <c r="M470" i="39"/>
  <c r="H43" i="36"/>
  <c r="M294" i="39"/>
  <c r="M293" i="39"/>
  <c r="M292" i="39"/>
  <c r="M291" i="39"/>
  <c r="M290" i="39"/>
  <c r="M289" i="39"/>
  <c r="M288" i="39"/>
  <c r="M287" i="39"/>
  <c r="M286" i="39"/>
  <c r="M285" i="39"/>
  <c r="M284" i="39"/>
  <c r="M283" i="39"/>
  <c r="M282" i="39"/>
  <c r="M281" i="39"/>
  <c r="M280" i="39"/>
  <c r="M279" i="39"/>
  <c r="M278" i="39"/>
  <c r="M277" i="39"/>
  <c r="M276" i="39"/>
  <c r="E285" i="39"/>
  <c r="C285" i="39"/>
  <c r="M23" i="39"/>
  <c r="M22" i="39"/>
  <c r="M21" i="39"/>
  <c r="M20" i="39"/>
  <c r="M19" i="39"/>
  <c r="M130" i="39"/>
  <c r="M480" i="39"/>
  <c r="M474" i="39"/>
  <c r="L473" i="39"/>
  <c r="M478" i="39"/>
  <c r="M473" i="39"/>
  <c r="M479" i="39"/>
  <c r="M472" i="39"/>
  <c r="L479" i="39"/>
  <c r="M476" i="39"/>
  <c r="M475" i="39"/>
  <c r="M477" i="39"/>
  <c r="M471" i="39"/>
  <c r="E17" i="36"/>
  <c r="C17" i="36"/>
  <c r="A1" i="71"/>
  <c r="N15" i="71"/>
  <c r="K16" i="71"/>
  <c r="N17" i="71"/>
  <c r="K18" i="71"/>
  <c r="K20" i="71"/>
  <c r="K22" i="71"/>
  <c r="K24" i="71"/>
  <c r="A31" i="71"/>
  <c r="L35" i="71"/>
  <c r="G35" i="71"/>
  <c r="I22" i="71"/>
  <c r="A15" i="71"/>
  <c r="G15" i="71"/>
  <c r="E22" i="71"/>
  <c r="U336" i="39"/>
  <c r="U329" i="39"/>
  <c r="U328" i="39"/>
  <c r="U327" i="39"/>
  <c r="U322" i="39"/>
  <c r="U321" i="39"/>
  <c r="U320" i="39"/>
  <c r="T336" i="39"/>
  <c r="T329" i="39"/>
  <c r="T328" i="39"/>
  <c r="T327" i="39"/>
  <c r="T322" i="39"/>
  <c r="T321" i="39"/>
  <c r="T320" i="39"/>
  <c r="S336" i="39"/>
  <c r="S329" i="39"/>
  <c r="S328" i="39"/>
  <c r="S327" i="39"/>
  <c r="S322" i="39"/>
  <c r="S321" i="39"/>
  <c r="S320" i="39"/>
  <c r="R336" i="39"/>
  <c r="R329" i="39"/>
  <c r="R328" i="39"/>
  <c r="R327" i="39"/>
  <c r="R322" i="39"/>
  <c r="R321" i="39"/>
  <c r="R320" i="39"/>
  <c r="P393" i="39"/>
  <c r="O393" i="39"/>
  <c r="P392" i="39"/>
  <c r="O392" i="39"/>
  <c r="E394" i="39"/>
  <c r="G394" i="39"/>
  <c r="A385" i="39"/>
  <c r="N397" i="39"/>
  <c r="B397" i="39"/>
  <c r="L55" i="31"/>
  <c r="L56" i="31"/>
  <c r="Z59" i="31"/>
  <c r="R59" i="31"/>
  <c r="X59" i="31"/>
  <c r="P59" i="31"/>
  <c r="V59" i="31"/>
  <c r="S55" i="31"/>
  <c r="Q55" i="31"/>
  <c r="A55" i="31"/>
  <c r="J8" i="33"/>
  <c r="J10" i="33"/>
  <c r="K158" i="33"/>
  <c r="J13" i="33"/>
  <c r="K59" i="33"/>
  <c r="K64" i="33"/>
  <c r="J174" i="33"/>
  <c r="J179" i="33"/>
  <c r="A65" i="33"/>
  <c r="A180" i="33"/>
  <c r="N56" i="33"/>
  <c r="L183" i="33"/>
  <c r="K144" i="33"/>
  <c r="K145" i="33"/>
  <c r="K143" i="33"/>
  <c r="Q17" i="33"/>
  <c r="J54" i="33"/>
  <c r="J76" i="33"/>
  <c r="J88" i="33"/>
  <c r="J39" i="33"/>
  <c r="J29" i="33"/>
  <c r="J17" i="33"/>
  <c r="J103" i="33"/>
  <c r="J53" i="33"/>
  <c r="J38" i="33"/>
  <c r="J26" i="33"/>
  <c r="J16" i="33"/>
  <c r="J102" i="33"/>
  <c r="J49" i="33"/>
  <c r="J37" i="33"/>
  <c r="J25" i="33"/>
  <c r="J15" i="33"/>
  <c r="J47" i="33"/>
  <c r="J34" i="33"/>
  <c r="J24" i="33"/>
  <c r="J14" i="33"/>
  <c r="J30" i="33"/>
  <c r="J18" i="33"/>
  <c r="J46" i="33"/>
  <c r="J33" i="33"/>
  <c r="J23" i="33"/>
  <c r="J41" i="33"/>
  <c r="J45" i="33"/>
  <c r="J32" i="33"/>
  <c r="J22" i="33"/>
  <c r="J42" i="33"/>
  <c r="J31" i="33"/>
  <c r="J21" i="33"/>
  <c r="K65" i="33"/>
  <c r="K60" i="33"/>
  <c r="J40" i="33"/>
  <c r="J48" i="33"/>
  <c r="J50" i="33"/>
  <c r="J19" i="33"/>
  <c r="J27" i="33"/>
  <c r="J35" i="33"/>
  <c r="J43" i="33"/>
  <c r="J51" i="33"/>
  <c r="J20" i="33"/>
  <c r="J28" i="33"/>
  <c r="J36" i="33"/>
  <c r="J44" i="33"/>
  <c r="J52" i="33"/>
  <c r="K66" i="33"/>
  <c r="B15" i="70"/>
  <c r="A154" i="70"/>
  <c r="A123" i="70"/>
  <c r="A122" i="70"/>
  <c r="A104" i="70"/>
  <c r="A46" i="70"/>
  <c r="A69" i="70"/>
  <c r="A1" i="70"/>
  <c r="A105" i="70"/>
  <c r="J89" i="33"/>
  <c r="J79" i="33"/>
  <c r="J77" i="33"/>
  <c r="J81" i="33"/>
  <c r="J80" i="33"/>
  <c r="J104" i="33"/>
  <c r="J78" i="33"/>
  <c r="A47" i="70"/>
  <c r="A70" i="70"/>
  <c r="F34" i="11"/>
  <c r="G34" i="11"/>
  <c r="F35" i="11"/>
  <c r="G35" i="11"/>
  <c r="E31" i="11"/>
  <c r="M196" i="39"/>
  <c r="M197" i="39"/>
  <c r="M198" i="39"/>
  <c r="M199" i="39"/>
  <c r="L18" i="31"/>
  <c r="L19" i="31"/>
  <c r="L20" i="31"/>
  <c r="Y44" i="31"/>
  <c r="Y43" i="31"/>
  <c r="T44" i="31"/>
  <c r="T43" i="31"/>
  <c r="S43" i="31"/>
  <c r="X43" i="31"/>
  <c r="M11" i="39"/>
  <c r="M13" i="39"/>
  <c r="R24" i="39"/>
  <c r="V24" i="39"/>
  <c r="P24" i="39"/>
  <c r="T24" i="39"/>
  <c r="U14" i="39"/>
  <c r="P14" i="39"/>
  <c r="O13" i="39"/>
  <c r="A13" i="39"/>
  <c r="O12" i="39"/>
  <c r="A11" i="39"/>
  <c r="I6" i="35"/>
  <c r="I3" i="35"/>
  <c r="H58" i="36"/>
  <c r="J180" i="33"/>
  <c r="I4" i="35"/>
  <c r="J175" i="33"/>
  <c r="M234" i="39"/>
  <c r="M237" i="39"/>
  <c r="M236" i="39"/>
  <c r="M110" i="39"/>
  <c r="M235" i="39"/>
  <c r="M117" i="39"/>
  <c r="M158" i="39"/>
  <c r="M159" i="39"/>
  <c r="M161" i="39"/>
  <c r="M160" i="39"/>
  <c r="M336" i="39"/>
  <c r="M337" i="39"/>
  <c r="F9" i="64"/>
  <c r="J9" i="64"/>
  <c r="H9" i="64"/>
  <c r="F10" i="65"/>
  <c r="H10" i="65"/>
  <c r="D12" i="11"/>
  <c r="D12" i="10"/>
  <c r="D12" i="48"/>
  <c r="M260" i="39"/>
  <c r="L42" i="31"/>
  <c r="L44" i="31"/>
  <c r="L43" i="31"/>
  <c r="M547" i="39"/>
  <c r="M548" i="39"/>
  <c r="M549" i="39"/>
  <c r="K53" i="36"/>
  <c r="I53" i="36"/>
  <c r="G53" i="36"/>
  <c r="G50" i="36"/>
  <c r="O488" i="39"/>
  <c r="M493" i="39"/>
  <c r="M494" i="39"/>
  <c r="M495" i="39"/>
  <c r="M496" i="39"/>
  <c r="M497" i="39"/>
  <c r="M498" i="39"/>
  <c r="E498" i="39"/>
  <c r="E495" i="39"/>
  <c r="E492" i="39"/>
  <c r="C498" i="39"/>
  <c r="C495" i="39"/>
  <c r="M239" i="39"/>
  <c r="M240" i="39"/>
  <c r="M241" i="39"/>
  <c r="M242" i="39"/>
  <c r="M243" i="39"/>
  <c r="M244" i="39"/>
  <c r="M245" i="39"/>
  <c r="M246" i="39"/>
  <c r="H17" i="32"/>
  <c r="M163" i="39"/>
  <c r="M162" i="39"/>
  <c r="M517" i="39"/>
  <c r="A1" i="43"/>
  <c r="A1" i="42"/>
  <c r="A1" i="45"/>
  <c r="A79" i="36"/>
  <c r="A65" i="31"/>
  <c r="M12" i="39"/>
  <c r="M15" i="39"/>
  <c r="M16" i="39"/>
  <c r="B30" i="68"/>
  <c r="A8" i="68"/>
  <c r="B28" i="67"/>
  <c r="A1" i="67"/>
  <c r="B55" i="66"/>
  <c r="M40" i="66"/>
  <c r="B36" i="66"/>
  <c r="B35" i="66"/>
  <c r="B34" i="66"/>
  <c r="B33" i="66"/>
  <c r="B32" i="66"/>
  <c r="B31" i="66"/>
  <c r="A1" i="66"/>
  <c r="G38" i="36"/>
  <c r="G101" i="4"/>
  <c r="C8" i="66"/>
  <c r="D101" i="4"/>
  <c r="L101" i="4"/>
  <c r="G100" i="4"/>
  <c r="C6" i="66"/>
  <c r="D100" i="4"/>
  <c r="C5" i="66"/>
  <c r="M530" i="39"/>
  <c r="M524" i="39"/>
  <c r="L530" i="39"/>
  <c r="L524" i="39"/>
  <c r="M520" i="39"/>
  <c r="M531" i="39"/>
  <c r="M514" i="39"/>
  <c r="M505" i="39"/>
  <c r="L513" i="39"/>
  <c r="L505" i="39"/>
  <c r="M157" i="39"/>
  <c r="L162" i="39"/>
  <c r="L157" i="39"/>
  <c r="M151" i="39"/>
  <c r="H15" i="32"/>
  <c r="L239" i="39"/>
  <c r="M186" i="39"/>
  <c r="M189" i="39"/>
  <c r="M338" i="39"/>
  <c r="M317" i="39"/>
  <c r="L338" i="39"/>
  <c r="L317" i="39"/>
  <c r="M318" i="39"/>
  <c r="D17" i="11"/>
  <c r="B51" i="21"/>
  <c r="B50" i="21"/>
  <c r="A1" i="24"/>
  <c r="A66" i="24"/>
  <c r="A1" i="5"/>
  <c r="A157" i="5"/>
  <c r="F12" i="64"/>
  <c r="F13" i="64"/>
  <c r="J13" i="64"/>
  <c r="J15" i="64"/>
  <c r="C22" i="10"/>
  <c r="D19" i="10"/>
  <c r="H39" i="65"/>
  <c r="H35" i="65"/>
  <c r="H26" i="65"/>
  <c r="H12" i="64"/>
  <c r="H15" i="64"/>
  <c r="F13" i="65"/>
  <c r="G456" i="39"/>
  <c r="E456" i="39"/>
  <c r="A446" i="39"/>
  <c r="G529" i="39"/>
  <c r="E529" i="39"/>
  <c r="P145" i="39"/>
  <c r="B145" i="39"/>
  <c r="M258" i="39"/>
  <c r="M257" i="39"/>
  <c r="G17" i="36"/>
  <c r="G26" i="36"/>
  <c r="M414" i="39"/>
  <c r="M415" i="39"/>
  <c r="M416" i="39"/>
  <c r="M417" i="39"/>
  <c r="M418" i="39"/>
  <c r="H26" i="36"/>
  <c r="G25" i="36"/>
  <c r="G14" i="36"/>
  <c r="G15" i="36"/>
  <c r="M72" i="39"/>
  <c r="M265" i="39"/>
  <c r="E32" i="36"/>
  <c r="G20" i="36"/>
  <c r="H20" i="36"/>
  <c r="H11" i="36"/>
  <c r="A119" i="24"/>
  <c r="A118" i="24"/>
  <c r="A17" i="35"/>
  <c r="A16" i="35"/>
  <c r="A15" i="35"/>
  <c r="A14" i="35"/>
  <c r="E508" i="39"/>
  <c r="G39" i="36"/>
  <c r="G40" i="36"/>
  <c r="H18" i="32"/>
  <c r="M263" i="39"/>
  <c r="G41" i="36"/>
  <c r="M66" i="36"/>
  <c r="F36" i="11"/>
  <c r="G36" i="11"/>
  <c r="M108" i="33"/>
  <c r="L51" i="31"/>
  <c r="P65" i="36"/>
  <c r="B41" i="42"/>
  <c r="B37" i="43"/>
  <c r="N49" i="42"/>
  <c r="N50" i="43"/>
  <c r="N48" i="42"/>
  <c r="N49" i="43"/>
  <c r="N47" i="42"/>
  <c r="A47" i="42"/>
  <c r="N48" i="43"/>
  <c r="B48" i="43"/>
  <c r="N56" i="45"/>
  <c r="N55" i="45"/>
  <c r="N54" i="45"/>
  <c r="A54" i="45"/>
  <c r="B44" i="45"/>
  <c r="B43" i="45"/>
  <c r="K127" i="33"/>
  <c r="M193" i="33"/>
  <c r="A193" i="33"/>
  <c r="M192" i="33"/>
  <c r="A192" i="33"/>
  <c r="M321" i="39"/>
  <c r="I331" i="39"/>
  <c r="U331" i="39"/>
  <c r="G331" i="39"/>
  <c r="T331" i="39"/>
  <c r="E331" i="39"/>
  <c r="S331" i="39"/>
  <c r="C331" i="39"/>
  <c r="R331" i="39"/>
  <c r="K329" i="39"/>
  <c r="M329" i="39"/>
  <c r="K322" i="39"/>
  <c r="M322" i="39"/>
  <c r="K321" i="39"/>
  <c r="I324" i="39"/>
  <c r="U324" i="39"/>
  <c r="G324" i="39"/>
  <c r="E324" i="39"/>
  <c r="S324" i="39"/>
  <c r="C324" i="39"/>
  <c r="R324" i="39"/>
  <c r="M261" i="39"/>
  <c r="M259" i="39"/>
  <c r="S9" i="31"/>
  <c r="E433" i="39"/>
  <c r="I433" i="39"/>
  <c r="E432" i="39"/>
  <c r="E431" i="39"/>
  <c r="I431" i="39"/>
  <c r="E430" i="39"/>
  <c r="I430" i="39"/>
  <c r="E429" i="39"/>
  <c r="E428" i="39"/>
  <c r="B433" i="39"/>
  <c r="B432" i="39"/>
  <c r="B431" i="39"/>
  <c r="B430" i="39"/>
  <c r="B429" i="39"/>
  <c r="B428" i="39"/>
  <c r="A138" i="33"/>
  <c r="M58" i="39"/>
  <c r="M61" i="39"/>
  <c r="X9" i="39"/>
  <c r="Y9" i="39"/>
  <c r="AA9" i="39"/>
  <c r="V9" i="39"/>
  <c r="D3" i="4"/>
  <c r="C6" i="62"/>
  <c r="M339" i="39"/>
  <c r="M409" i="39"/>
  <c r="M413" i="39"/>
  <c r="A20" i="36"/>
  <c r="M164" i="39"/>
  <c r="M166" i="39"/>
  <c r="G21" i="36"/>
  <c r="K128" i="33"/>
  <c r="K327" i="39"/>
  <c r="K320" i="39"/>
  <c r="A449" i="33"/>
  <c r="A445" i="33"/>
  <c r="K13" i="49"/>
  <c r="K20" i="49"/>
  <c r="A27" i="36"/>
  <c r="A419" i="39"/>
  <c r="K12" i="49"/>
  <c r="G102" i="4"/>
  <c r="M102" i="4"/>
  <c r="D102" i="4"/>
  <c r="L34" i="31"/>
  <c r="L35" i="31"/>
  <c r="L36" i="31"/>
  <c r="L37" i="31"/>
  <c r="L38" i="31"/>
  <c r="L33" i="31"/>
  <c r="F27" i="49"/>
  <c r="F24" i="49"/>
  <c r="B34" i="31"/>
  <c r="B35" i="31"/>
  <c r="B36" i="31"/>
  <c r="B37" i="31"/>
  <c r="B38" i="31"/>
  <c r="B33" i="31"/>
  <c r="N17" i="49"/>
  <c r="N16" i="49"/>
  <c r="N15" i="49"/>
  <c r="N14" i="49"/>
  <c r="N13" i="49"/>
  <c r="K14" i="49"/>
  <c r="K15" i="49"/>
  <c r="K16" i="49"/>
  <c r="K17" i="49"/>
  <c r="C22" i="62"/>
  <c r="C18" i="62"/>
  <c r="C4" i="62"/>
  <c r="C22" i="61"/>
  <c r="C18" i="61"/>
  <c r="C4" i="61"/>
  <c r="C22" i="60"/>
  <c r="C18" i="60"/>
  <c r="C4" i="60"/>
  <c r="C22" i="59"/>
  <c r="C18" i="59"/>
  <c r="C4" i="59"/>
  <c r="C4" i="58"/>
  <c r="C22" i="58"/>
  <c r="C18" i="58"/>
  <c r="A46" i="62"/>
  <c r="A45" i="62"/>
  <c r="C31" i="62"/>
  <c r="B31" i="62"/>
  <c r="D21" i="62"/>
  <c r="C20" i="62"/>
  <c r="B20" i="62"/>
  <c r="A46" i="61"/>
  <c r="A45" i="61"/>
  <c r="C31" i="61"/>
  <c r="B31" i="61"/>
  <c r="D21" i="61"/>
  <c r="C20" i="61"/>
  <c r="B20" i="61"/>
  <c r="A46" i="60"/>
  <c r="A45" i="60"/>
  <c r="C31" i="60"/>
  <c r="B31" i="60"/>
  <c r="D21" i="60"/>
  <c r="C20" i="60"/>
  <c r="B20" i="60"/>
  <c r="A46" i="59"/>
  <c r="A45" i="59"/>
  <c r="C31" i="59"/>
  <c r="B31" i="59"/>
  <c r="D21" i="59"/>
  <c r="C20" i="59"/>
  <c r="B20" i="59"/>
  <c r="A46" i="58"/>
  <c r="A45" i="58"/>
  <c r="C31" i="58"/>
  <c r="B31" i="58"/>
  <c r="D21" i="58"/>
  <c r="C20" i="58"/>
  <c r="B20" i="58"/>
  <c r="C4" i="1"/>
  <c r="O24" i="53"/>
  <c r="O45" i="53"/>
  <c r="D18" i="53"/>
  <c r="O24" i="52"/>
  <c r="D18" i="52"/>
  <c r="O24" i="51"/>
  <c r="O45" i="51"/>
  <c r="D18" i="51"/>
  <c r="O24" i="50"/>
  <c r="D18" i="50"/>
  <c r="O24" i="25"/>
  <c r="O45" i="25"/>
  <c r="D18" i="25"/>
  <c r="O24" i="3"/>
  <c r="O45" i="3"/>
  <c r="D18" i="3"/>
  <c r="D72" i="53"/>
  <c r="B69" i="53"/>
  <c r="C14" i="53"/>
  <c r="AA49" i="53"/>
  <c r="O49" i="53"/>
  <c r="AI21" i="53"/>
  <c r="AE21" i="53"/>
  <c r="AA21" i="53"/>
  <c r="W21" i="53"/>
  <c r="S21" i="53"/>
  <c r="O21" i="53"/>
  <c r="D72" i="52"/>
  <c r="B77" i="52"/>
  <c r="C16" i="52"/>
  <c r="AA49" i="52"/>
  <c r="O49" i="52"/>
  <c r="O45" i="52"/>
  <c r="AI21" i="52"/>
  <c r="AE21" i="52"/>
  <c r="AA21" i="52"/>
  <c r="W21" i="52"/>
  <c r="S21" i="52"/>
  <c r="O21" i="52"/>
  <c r="D72" i="51"/>
  <c r="B77" i="51"/>
  <c r="C16" i="51"/>
  <c r="AA49" i="51"/>
  <c r="O49" i="51"/>
  <c r="AI21" i="51"/>
  <c r="AE21" i="51"/>
  <c r="AA21" i="51"/>
  <c r="W21" i="51"/>
  <c r="S21" i="51"/>
  <c r="O21" i="51"/>
  <c r="D72" i="50"/>
  <c r="B77" i="50"/>
  <c r="C16" i="50"/>
  <c r="AA49" i="50"/>
  <c r="O49" i="50"/>
  <c r="O45" i="50"/>
  <c r="AI21" i="50"/>
  <c r="AE21" i="50"/>
  <c r="AA21" i="50"/>
  <c r="W21" i="50"/>
  <c r="S21" i="50"/>
  <c r="O21" i="50"/>
  <c r="L102" i="4"/>
  <c r="C9" i="66"/>
  <c r="F20" i="17"/>
  <c r="F12" i="17"/>
  <c r="M7" i="17"/>
  <c r="L7" i="17"/>
  <c r="O10" i="49"/>
  <c r="C271" i="39"/>
  <c r="E271" i="39"/>
  <c r="M10" i="49"/>
  <c r="I4" i="49"/>
  <c r="I5" i="49"/>
  <c r="I6" i="49"/>
  <c r="I7" i="49"/>
  <c r="I8" i="49"/>
  <c r="I9" i="49"/>
  <c r="K119" i="33"/>
  <c r="A425" i="33"/>
  <c r="A421" i="33"/>
  <c r="I122" i="4"/>
  <c r="D6" i="4"/>
  <c r="A275" i="33"/>
  <c r="C245" i="39"/>
  <c r="A497" i="33"/>
  <c r="A493" i="33"/>
  <c r="A143" i="33"/>
  <c r="A489" i="33"/>
  <c r="A485" i="33"/>
  <c r="A125" i="33"/>
  <c r="A481" i="33"/>
  <c r="A477" i="33"/>
  <c r="A473" i="33"/>
  <c r="A469" i="33"/>
  <c r="A131" i="33"/>
  <c r="A465" i="33"/>
  <c r="A461" i="33"/>
  <c r="A128" i="33"/>
  <c r="A457" i="33"/>
  <c r="A453" i="33"/>
  <c r="A139" i="33"/>
  <c r="A441" i="33"/>
  <c r="A437" i="33"/>
  <c r="A137" i="33"/>
  <c r="A135" i="33"/>
  <c r="A429" i="33"/>
  <c r="A433" i="33"/>
  <c r="A133" i="33"/>
  <c r="A413" i="33"/>
  <c r="A132" i="33"/>
  <c r="D5" i="49"/>
  <c r="D15" i="49"/>
  <c r="D4" i="49"/>
  <c r="C12" i="49"/>
  <c r="F21" i="49"/>
  <c r="F18" i="49"/>
  <c r="E18" i="49"/>
  <c r="F15" i="49"/>
  <c r="F12" i="49"/>
  <c r="S34" i="31"/>
  <c r="D9" i="49"/>
  <c r="C27" i="49"/>
  <c r="D8" i="49"/>
  <c r="C24" i="49"/>
  <c r="D7" i="49"/>
  <c r="D21" i="49"/>
  <c r="D6" i="49"/>
  <c r="D18" i="49"/>
  <c r="E15" i="49"/>
  <c r="E27" i="49"/>
  <c r="E24" i="49"/>
  <c r="E21" i="49"/>
  <c r="E12" i="49"/>
  <c r="N21" i="43"/>
  <c r="P20" i="43"/>
  <c r="H19" i="34"/>
  <c r="H20" i="34"/>
  <c r="U9" i="31"/>
  <c r="A337" i="33"/>
  <c r="A333" i="33"/>
  <c r="N27" i="36"/>
  <c r="I25" i="36"/>
  <c r="G29" i="36"/>
  <c r="K125" i="33"/>
  <c r="M301" i="39"/>
  <c r="H32" i="11"/>
  <c r="M504" i="39"/>
  <c r="M503" i="39"/>
  <c r="I11" i="17"/>
  <c r="I16" i="17"/>
  <c r="E12" i="4"/>
  <c r="D13" i="4"/>
  <c r="J19" i="34"/>
  <c r="A19" i="34"/>
  <c r="C20" i="32"/>
  <c r="M297" i="39"/>
  <c r="Q315" i="39"/>
  <c r="N302" i="39"/>
  <c r="N303" i="39"/>
  <c r="Q305" i="39"/>
  <c r="F37" i="11"/>
  <c r="G37" i="11"/>
  <c r="H13" i="4"/>
  <c r="A495" i="33"/>
  <c r="A24" i="48"/>
  <c r="D22" i="48"/>
  <c r="A21" i="48"/>
  <c r="B17" i="48"/>
  <c r="A17" i="48"/>
  <c r="A9" i="48"/>
  <c r="B19" i="48"/>
  <c r="F3" i="48"/>
  <c r="A3" i="48"/>
  <c r="A28" i="10"/>
  <c r="A31" i="10"/>
  <c r="D29" i="10"/>
  <c r="A21" i="10"/>
  <c r="B21" i="10"/>
  <c r="J10" i="17"/>
  <c r="A10" i="17"/>
  <c r="E20" i="32"/>
  <c r="M298" i="39"/>
  <c r="B22" i="17"/>
  <c r="B18" i="17"/>
  <c r="D23" i="48"/>
  <c r="D24" i="48"/>
  <c r="A255" i="33"/>
  <c r="A253" i="33"/>
  <c r="A252" i="33"/>
  <c r="A250" i="33"/>
  <c r="O262" i="39"/>
  <c r="P264" i="39"/>
  <c r="P262" i="39"/>
  <c r="M262" i="39"/>
  <c r="L246" i="39"/>
  <c r="E245" i="39"/>
  <c r="K137" i="33"/>
  <c r="G37" i="36"/>
  <c r="K135" i="33"/>
  <c r="E425" i="39"/>
  <c r="G24" i="36"/>
  <c r="K131" i="33"/>
  <c r="E426" i="39"/>
  <c r="G426" i="39"/>
  <c r="G22" i="36"/>
  <c r="B8" i="45"/>
  <c r="B7" i="45"/>
  <c r="B6" i="45"/>
  <c r="M176" i="39"/>
  <c r="M177" i="39"/>
  <c r="M175" i="39"/>
  <c r="M174" i="39"/>
  <c r="M173" i="39"/>
  <c r="M172" i="39"/>
  <c r="H42" i="36"/>
  <c r="L47" i="31"/>
  <c r="L46" i="31"/>
  <c r="M507" i="39"/>
  <c r="M506" i="39"/>
  <c r="G28" i="36"/>
  <c r="M441" i="39"/>
  <c r="D26" i="11"/>
  <c r="G36" i="36"/>
  <c r="K134" i="33"/>
  <c r="K124" i="33"/>
  <c r="G35" i="36"/>
  <c r="K133" i="33"/>
  <c r="K132" i="33"/>
  <c r="G23" i="36"/>
  <c r="K129" i="33"/>
  <c r="K130" i="33"/>
  <c r="K120" i="33"/>
  <c r="G59" i="36"/>
  <c r="N82" i="33"/>
  <c r="M82" i="33"/>
  <c r="A417" i="33"/>
  <c r="A129" i="33"/>
  <c r="A409" i="33"/>
  <c r="A405" i="33"/>
  <c r="A134" i="33"/>
  <c r="C10" i="32"/>
  <c r="C241" i="39"/>
  <c r="C9" i="32"/>
  <c r="C253" i="39"/>
  <c r="C278" i="39"/>
  <c r="A126" i="33"/>
  <c r="G30" i="36"/>
  <c r="I151" i="33"/>
  <c r="I144" i="33"/>
  <c r="I148" i="33"/>
  <c r="I118" i="33"/>
  <c r="P419" i="39"/>
  <c r="Q419" i="39"/>
  <c r="R421" i="39"/>
  <c r="M264" i="39"/>
  <c r="X26" i="39"/>
  <c r="R26" i="39"/>
  <c r="V26" i="39"/>
  <c r="U26" i="39"/>
  <c r="M544" i="39"/>
  <c r="M543" i="39"/>
  <c r="M542" i="39"/>
  <c r="B79" i="8"/>
  <c r="L9" i="32"/>
  <c r="K172" i="33"/>
  <c r="K171" i="33"/>
  <c r="K170" i="33"/>
  <c r="K169" i="33"/>
  <c r="K168" i="33"/>
  <c r="K156" i="33"/>
  <c r="K155" i="33"/>
  <c r="K154" i="33"/>
  <c r="K153" i="33"/>
  <c r="K152" i="33"/>
  <c r="K150" i="33"/>
  <c r="K149" i="33"/>
  <c r="K147" i="33"/>
  <c r="K146" i="33"/>
  <c r="K142" i="33"/>
  <c r="K136" i="33"/>
  <c r="K123" i="33"/>
  <c r="K117" i="33"/>
  <c r="K116" i="33"/>
  <c r="R9" i="39"/>
  <c r="M267" i="39"/>
  <c r="M266" i="39"/>
  <c r="B8" i="17"/>
  <c r="K140" i="33"/>
  <c r="H14" i="32"/>
  <c r="H13" i="32"/>
  <c r="K121" i="33"/>
  <c r="K122" i="33"/>
  <c r="A140" i="33"/>
  <c r="A313" i="33"/>
  <c r="A309" i="33"/>
  <c r="Q33" i="31"/>
  <c r="W9" i="31"/>
  <c r="M335" i="39"/>
  <c r="M334" i="39"/>
  <c r="M333" i="39"/>
  <c r="M332" i="39"/>
  <c r="M331" i="39"/>
  <c r="M328" i="39"/>
  <c r="M327" i="39"/>
  <c r="M326" i="39"/>
  <c r="M325" i="39"/>
  <c r="M324" i="39"/>
  <c r="M320" i="39"/>
  <c r="M319" i="39"/>
  <c r="M316" i="39"/>
  <c r="M315" i="39"/>
  <c r="M156" i="39"/>
  <c r="M155" i="39"/>
  <c r="M154" i="39"/>
  <c r="M153" i="39"/>
  <c r="M152" i="39"/>
  <c r="I17" i="17"/>
  <c r="S25" i="31"/>
  <c r="G18" i="36"/>
  <c r="L26" i="31"/>
  <c r="L25" i="31"/>
  <c r="L24" i="31"/>
  <c r="L23" i="31"/>
  <c r="E10" i="32"/>
  <c r="E8" i="36"/>
  <c r="E9" i="32"/>
  <c r="E253" i="39"/>
  <c r="N18" i="43"/>
  <c r="B36" i="42"/>
  <c r="N18" i="42"/>
  <c r="B18" i="42"/>
  <c r="N20" i="42"/>
  <c r="B20" i="42"/>
  <c r="P336" i="39"/>
  <c r="B336" i="39"/>
  <c r="P334" i="39"/>
  <c r="B334" i="39"/>
  <c r="P331" i="39"/>
  <c r="B331" i="39"/>
  <c r="P324" i="39"/>
  <c r="B324" i="39"/>
  <c r="P327" i="39"/>
  <c r="B327" i="39"/>
  <c r="P320" i="39"/>
  <c r="B320" i="39"/>
  <c r="J24" i="17"/>
  <c r="A22" i="17"/>
  <c r="J21" i="17"/>
  <c r="A18" i="17"/>
  <c r="A385" i="33"/>
  <c r="A381" i="33"/>
  <c r="A365" i="33"/>
  <c r="A369" i="33"/>
  <c r="A361" i="33"/>
  <c r="A349" i="33"/>
  <c r="A353" i="33"/>
  <c r="A341" i="33"/>
  <c r="A345" i="33"/>
  <c r="A305" i="33"/>
  <c r="A301" i="33"/>
  <c r="A321" i="33"/>
  <c r="A317" i="33"/>
  <c r="A325" i="33"/>
  <c r="A329" i="33"/>
  <c r="H12" i="4"/>
  <c r="G14" i="4"/>
  <c r="A142" i="33"/>
  <c r="A141" i="33"/>
  <c r="A136" i="33"/>
  <c r="A150" i="33"/>
  <c r="A130" i="33"/>
  <c r="A127" i="33"/>
  <c r="A297" i="33"/>
  <c r="A124" i="33"/>
  <c r="A123" i="33"/>
  <c r="A122" i="33"/>
  <c r="A121" i="33"/>
  <c r="A120" i="33"/>
  <c r="A294" i="33"/>
  <c r="B119" i="33"/>
  <c r="L25" i="34"/>
  <c r="A1" i="34"/>
  <c r="A2" i="34"/>
  <c r="A50" i="5"/>
  <c r="M12" i="4"/>
  <c r="R4" i="39"/>
  <c r="M4" i="17"/>
  <c r="L4" i="32"/>
  <c r="AC26" i="39"/>
  <c r="P26" i="39"/>
  <c r="W9" i="39"/>
  <c r="P5" i="39"/>
  <c r="A4" i="39"/>
  <c r="K5" i="17"/>
  <c r="A4" i="17"/>
  <c r="K328" i="39"/>
  <c r="M455" i="38"/>
  <c r="H427" i="38"/>
  <c r="F427" i="38"/>
  <c r="D427" i="38"/>
  <c r="H422" i="38"/>
  <c r="H430" i="38"/>
  <c r="F422" i="38"/>
  <c r="F430" i="38"/>
  <c r="D422" i="38"/>
  <c r="M409" i="38"/>
  <c r="M361" i="38"/>
  <c r="M313" i="38"/>
  <c r="M266" i="38"/>
  <c r="A222" i="38"/>
  <c r="A269" i="38"/>
  <c r="A364" i="38"/>
  <c r="A412" i="38"/>
  <c r="A316" i="38"/>
  <c r="M219" i="38"/>
  <c r="H190" i="38"/>
  <c r="H181" i="38"/>
  <c r="H184" i="38"/>
  <c r="E190" i="38"/>
  <c r="E181" i="38"/>
  <c r="J188" i="38"/>
  <c r="J187" i="38"/>
  <c r="J182" i="38"/>
  <c r="A173" i="38"/>
  <c r="M170" i="38"/>
  <c r="N160" i="38"/>
  <c r="N158" i="38"/>
  <c r="J149" i="38"/>
  <c r="H147" i="38"/>
  <c r="A147" i="38"/>
  <c r="J138" i="38"/>
  <c r="J140" i="38"/>
  <c r="J142" i="38"/>
  <c r="H136" i="38"/>
  <c r="H138" i="38"/>
  <c r="H140" i="38"/>
  <c r="J132" i="38"/>
  <c r="H130" i="38"/>
  <c r="H132" i="38"/>
  <c r="A118" i="38"/>
  <c r="J85" i="38"/>
  <c r="J88" i="38"/>
  <c r="H85" i="38"/>
  <c r="H88" i="38"/>
  <c r="N78" i="38"/>
  <c r="A77" i="38"/>
  <c r="A120" i="38"/>
  <c r="A175" i="38"/>
  <c r="A224" i="38"/>
  <c r="A75" i="38"/>
  <c r="A52" i="38"/>
  <c r="A45" i="38"/>
  <c r="M12" i="38"/>
  <c r="K12" i="38"/>
  <c r="L10" i="38"/>
  <c r="K4" i="36"/>
  <c r="A4" i="36"/>
  <c r="A357" i="33"/>
  <c r="O9" i="4"/>
  <c r="O8" i="4"/>
  <c r="O7" i="4"/>
  <c r="M2" i="33"/>
  <c r="A2" i="33"/>
  <c r="N1" i="33"/>
  <c r="L1" i="33"/>
  <c r="A191" i="33"/>
  <c r="A190" i="33"/>
  <c r="A248" i="33"/>
  <c r="A258" i="33"/>
  <c r="I7" i="32"/>
  <c r="A5" i="32"/>
  <c r="L22" i="31"/>
  <c r="L21" i="31"/>
  <c r="S23" i="31"/>
  <c r="Q23" i="31"/>
  <c r="Q22" i="31"/>
  <c r="S22" i="31"/>
  <c r="U22" i="31"/>
  <c r="V22" i="31"/>
  <c r="Q6" i="31"/>
  <c r="A6" i="31"/>
  <c r="A23" i="48"/>
  <c r="L10" i="31"/>
  <c r="L9" i="31"/>
  <c r="L8" i="31"/>
  <c r="L7" i="31"/>
  <c r="Q12" i="31"/>
  <c r="N11" i="28"/>
  <c r="B11" i="28"/>
  <c r="L6" i="31"/>
  <c r="L5" i="31"/>
  <c r="J28" i="29"/>
  <c r="K27" i="29"/>
  <c r="J26" i="29"/>
  <c r="J14" i="29"/>
  <c r="J12" i="29"/>
  <c r="J9" i="29"/>
  <c r="J7" i="29"/>
  <c r="A7" i="29"/>
  <c r="N8" i="28"/>
  <c r="B8" i="28"/>
  <c r="A41" i="28"/>
  <c r="A1" i="28"/>
  <c r="F3" i="11"/>
  <c r="A3" i="11"/>
  <c r="F3" i="10"/>
  <c r="A3" i="10"/>
  <c r="A150" i="24"/>
  <c r="A100" i="24"/>
  <c r="A42" i="24"/>
  <c r="A65" i="24"/>
  <c r="A180" i="5"/>
  <c r="A179" i="5"/>
  <c r="J28" i="12"/>
  <c r="J26" i="12"/>
  <c r="J12" i="12"/>
  <c r="J14" i="12"/>
  <c r="A7" i="12"/>
  <c r="J9" i="12"/>
  <c r="J7" i="12"/>
  <c r="B59" i="21"/>
  <c r="B25" i="21"/>
  <c r="B53" i="21"/>
  <c r="A6" i="8"/>
  <c r="A5" i="8"/>
  <c r="A7" i="19"/>
  <c r="A6" i="19"/>
  <c r="A46" i="1"/>
  <c r="A45" i="1"/>
  <c r="A208" i="5"/>
  <c r="A156" i="5"/>
  <c r="A103" i="5"/>
  <c r="A5" i="7"/>
  <c r="A4" i="7"/>
  <c r="D72" i="25"/>
  <c r="B77" i="25"/>
  <c r="C16" i="25"/>
  <c r="AA49" i="25"/>
  <c r="O49" i="25"/>
  <c r="AI21" i="25"/>
  <c r="AE21" i="25"/>
  <c r="AA21" i="25"/>
  <c r="W21" i="25"/>
  <c r="S21" i="25"/>
  <c r="O21" i="25"/>
  <c r="D72" i="3"/>
  <c r="B69" i="3"/>
  <c r="C14" i="3"/>
  <c r="A13" i="12"/>
  <c r="M6" i="21"/>
  <c r="B6" i="21"/>
  <c r="A45" i="19"/>
  <c r="L126" i="16"/>
  <c r="A223" i="16"/>
  <c r="A218" i="16"/>
  <c r="C31" i="1"/>
  <c r="B31" i="1"/>
  <c r="B20" i="1"/>
  <c r="F6" i="9"/>
  <c r="D6" i="9"/>
  <c r="C20" i="1"/>
  <c r="A61" i="15"/>
  <c r="AA49" i="3"/>
  <c r="O49" i="3"/>
  <c r="O21" i="3"/>
  <c r="AI21" i="3"/>
  <c r="AE21" i="3"/>
  <c r="AA21" i="3"/>
  <c r="W21" i="3"/>
  <c r="S21" i="3"/>
  <c r="A93" i="15"/>
  <c r="A90" i="15"/>
  <c r="A89" i="15"/>
  <c r="A86" i="15"/>
  <c r="A85" i="15"/>
  <c r="A82" i="15"/>
  <c r="A78" i="15"/>
  <c r="C20" i="16"/>
  <c r="A228" i="16"/>
  <c r="B176" i="7"/>
  <c r="F30" i="12"/>
  <c r="D21" i="11"/>
  <c r="B21" i="11"/>
  <c r="A21" i="11"/>
  <c r="K27" i="12"/>
  <c r="A9" i="11"/>
  <c r="E38" i="11"/>
  <c r="E39" i="11"/>
  <c r="A9" i="10"/>
  <c r="B26" i="10"/>
  <c r="D21" i="1"/>
  <c r="A401" i="33"/>
  <c r="K11" i="32"/>
  <c r="H149" i="38"/>
  <c r="H179" i="38"/>
  <c r="H178" i="38"/>
  <c r="I14" i="32"/>
  <c r="I11" i="32"/>
  <c r="K139" i="33"/>
  <c r="K141" i="33"/>
  <c r="K138" i="33"/>
  <c r="H28" i="36"/>
  <c r="C492" i="39"/>
  <c r="A423" i="33"/>
  <c r="A439" i="33"/>
  <c r="A447" i="33"/>
  <c r="A431" i="33"/>
  <c r="N88" i="38"/>
  <c r="H90" i="38"/>
  <c r="N89" i="38"/>
  <c r="E22" i="32"/>
  <c r="D21" i="17"/>
  <c r="K14" i="32"/>
  <c r="U3" i="31"/>
  <c r="G13" i="4"/>
  <c r="B10" i="17"/>
  <c r="B15" i="17"/>
  <c r="A343" i="33"/>
  <c r="A359" i="33"/>
  <c r="A407" i="33"/>
  <c r="A73" i="15"/>
  <c r="A24" i="15"/>
  <c r="K16" i="32"/>
  <c r="K20" i="32"/>
  <c r="K157" i="33"/>
  <c r="I25" i="32"/>
  <c r="A29" i="10"/>
  <c r="C21" i="10"/>
  <c r="A397" i="33"/>
  <c r="G34" i="36"/>
  <c r="K126" i="33"/>
  <c r="A393" i="33"/>
  <c r="H41" i="36"/>
  <c r="M460" i="39"/>
  <c r="M461" i="39"/>
  <c r="M462" i="39"/>
  <c r="M463" i="39"/>
  <c r="M464" i="39"/>
  <c r="H39" i="36"/>
  <c r="M446" i="39"/>
  <c r="M445" i="39"/>
  <c r="M444" i="39"/>
  <c r="M442" i="39"/>
  <c r="M443" i="39"/>
  <c r="A7" i="5"/>
  <c r="B114" i="16"/>
  <c r="A164" i="24"/>
  <c r="B11" i="24"/>
  <c r="A5" i="33"/>
  <c r="B19" i="42"/>
  <c r="A1" i="6"/>
  <c r="A5" i="15"/>
  <c r="N49" i="28"/>
  <c r="B49" i="28"/>
  <c r="A116" i="38"/>
  <c r="A10" i="33"/>
  <c r="A6" i="52"/>
  <c r="A68" i="8"/>
  <c r="B35" i="21"/>
  <c r="A15" i="34"/>
  <c r="A28" i="6"/>
  <c r="A58" i="15"/>
  <c r="A1" i="19"/>
  <c r="A9" i="7"/>
  <c r="H25" i="19"/>
  <c r="A6" i="25"/>
  <c r="A73" i="38"/>
  <c r="A171" i="38"/>
  <c r="A220" i="38"/>
  <c r="A267" i="38"/>
  <c r="A362" i="38"/>
  <c r="A410" i="38"/>
  <c r="B19" i="45"/>
  <c r="C6" i="1"/>
  <c r="A225" i="33"/>
  <c r="A1" i="7"/>
  <c r="A195" i="16"/>
  <c r="A41" i="19"/>
  <c r="B19" i="43"/>
  <c r="N21" i="45"/>
  <c r="A1" i="48"/>
  <c r="B12" i="5"/>
  <c r="A6" i="3"/>
  <c r="A1" i="9"/>
  <c r="B18" i="12"/>
  <c r="B58" i="16"/>
  <c r="A6" i="24"/>
  <c r="A1" i="32"/>
  <c r="A1" i="38"/>
  <c r="O9" i="39"/>
  <c r="A191" i="5"/>
  <c r="A1" i="10"/>
  <c r="A1" i="8"/>
  <c r="B3" i="21"/>
  <c r="A130" i="24"/>
  <c r="B18" i="29"/>
  <c r="Q9" i="31"/>
  <c r="M42" i="39"/>
  <c r="M44" i="39"/>
  <c r="M45" i="39"/>
  <c r="M46" i="39"/>
  <c r="M47" i="39"/>
  <c r="M43" i="39"/>
  <c r="G15" i="4"/>
  <c r="K73" i="33"/>
  <c r="K74" i="33"/>
  <c r="J166" i="33"/>
  <c r="J109" i="33"/>
  <c r="A455" i="33"/>
  <c r="A452" i="33"/>
  <c r="B139" i="33"/>
  <c r="A351" i="33"/>
  <c r="A348" i="33"/>
  <c r="B130" i="33"/>
  <c r="A471" i="33"/>
  <c r="A375" i="33"/>
  <c r="A479" i="33"/>
  <c r="A335" i="33"/>
  <c r="A303" i="33"/>
  <c r="A487" i="33"/>
  <c r="A383" i="33"/>
  <c r="A380" i="33"/>
  <c r="B142" i="33"/>
  <c r="A311" i="33"/>
  <c r="A308" i="33"/>
  <c r="B121" i="33"/>
  <c r="R304" i="39"/>
  <c r="A327" i="33"/>
  <c r="S26" i="39"/>
  <c r="A251" i="33"/>
  <c r="A463" i="33"/>
  <c r="A319" i="33"/>
  <c r="A391" i="33"/>
  <c r="A399" i="33"/>
  <c r="A396" i="33"/>
  <c r="B126" i="33"/>
  <c r="A367" i="33"/>
  <c r="A364" i="33"/>
  <c r="B136" i="33"/>
  <c r="A415" i="33"/>
  <c r="A6" i="53"/>
  <c r="A6" i="50"/>
  <c r="C6" i="58"/>
  <c r="C6" i="59"/>
  <c r="C6" i="60"/>
  <c r="C6" i="61"/>
  <c r="N21" i="72"/>
  <c r="B19" i="72"/>
  <c r="A17" i="34"/>
  <c r="H17" i="34"/>
  <c r="I12" i="32"/>
  <c r="Q14" i="32"/>
  <c r="K22" i="32"/>
  <c r="P13" i="32"/>
  <c r="N13" i="32"/>
  <c r="T18" i="32"/>
  <c r="M323" i="39"/>
  <c r="M330" i="39"/>
  <c r="M86" i="39"/>
  <c r="M62" i="39"/>
  <c r="M85" i="39"/>
  <c r="M73" i="39"/>
  <c r="M82" i="39"/>
  <c r="M75" i="39"/>
  <c r="M83" i="39"/>
  <c r="M74" i="39"/>
  <c r="M80" i="39"/>
  <c r="M78" i="39"/>
  <c r="M79" i="39"/>
  <c r="M76" i="39"/>
  <c r="M81" i="39"/>
  <c r="M84" i="39"/>
  <c r="M77" i="39"/>
  <c r="M360" i="39"/>
  <c r="H14" i="36"/>
  <c r="P23" i="43"/>
  <c r="A203" i="16"/>
  <c r="R3" i="39"/>
  <c r="R21" i="72"/>
  <c r="V18" i="33"/>
  <c r="B23" i="71"/>
  <c r="A12" i="1"/>
  <c r="Q37" i="38"/>
  <c r="D21" i="29"/>
  <c r="C334" i="39"/>
  <c r="R334" i="39"/>
  <c r="R337" i="39"/>
  <c r="L100" i="4"/>
  <c r="A90" i="8"/>
  <c r="A25" i="8"/>
  <c r="G474" i="39"/>
  <c r="E490" i="39"/>
  <c r="C254" i="39"/>
  <c r="C279" i="39"/>
  <c r="O266" i="39"/>
  <c r="E240" i="39"/>
  <c r="E334" i="39"/>
  <c r="S334" i="39"/>
  <c r="S337" i="39"/>
  <c r="E278" i="39"/>
  <c r="J110" i="33"/>
  <c r="J86" i="33"/>
  <c r="J105" i="33"/>
  <c r="J106" i="33"/>
  <c r="J82" i="33"/>
  <c r="H15" i="36"/>
  <c r="B20" i="36"/>
  <c r="M385" i="39"/>
  <c r="L387" i="39"/>
  <c r="G334" i="39"/>
  <c r="T334" i="39"/>
  <c r="T324" i="39"/>
  <c r="N22" i="43"/>
  <c r="E60" i="36"/>
  <c r="K62" i="36"/>
  <c r="K23" i="32"/>
  <c r="D7" i="4"/>
  <c r="J4" i="9"/>
  <c r="S17" i="33"/>
  <c r="N4" i="32"/>
  <c r="M34" i="39"/>
  <c r="B69" i="52"/>
  <c r="C14" i="52"/>
  <c r="A340" i="33"/>
  <c r="B127" i="33"/>
  <c r="P71" i="33"/>
  <c r="N164" i="33"/>
  <c r="A157" i="33"/>
  <c r="A436" i="33"/>
  <c r="B137" i="33"/>
  <c r="A476" i="33"/>
  <c r="B138" i="33"/>
  <c r="A468" i="33"/>
  <c r="B131" i="33"/>
  <c r="A316" i="33"/>
  <c r="B122" i="33"/>
  <c r="A492" i="33"/>
  <c r="B143" i="33"/>
  <c r="A412" i="33"/>
  <c r="B129" i="33"/>
  <c r="C7" i="66"/>
  <c r="A75" i="8"/>
  <c r="M100" i="4"/>
  <c r="I334" i="39"/>
  <c r="U334" i="39"/>
  <c r="U337" i="39"/>
  <c r="A300" i="33"/>
  <c r="B120" i="33"/>
  <c r="E184" i="38"/>
  <c r="J181" i="38"/>
  <c r="J184" i="38"/>
  <c r="D114" i="4"/>
  <c r="D14" i="48"/>
  <c r="A14" i="48"/>
  <c r="I15" i="32"/>
  <c r="I20" i="32"/>
  <c r="C22" i="32"/>
  <c r="I16" i="32"/>
  <c r="A20" i="32"/>
  <c r="D14" i="11"/>
  <c r="A14" i="11"/>
  <c r="N90" i="38"/>
  <c r="N91" i="38"/>
  <c r="N104" i="38"/>
  <c r="B133" i="33"/>
  <c r="I26" i="32"/>
  <c r="A25" i="12"/>
  <c r="A6" i="12"/>
  <c r="K18" i="49"/>
  <c r="A6" i="51"/>
  <c r="A6" i="70"/>
  <c r="A168" i="70"/>
  <c r="A134" i="70"/>
  <c r="O11" i="70"/>
  <c r="B11" i="70"/>
  <c r="D430" i="38"/>
  <c r="N176" i="33"/>
  <c r="R28" i="39"/>
  <c r="V43" i="31"/>
  <c r="A265" i="33"/>
  <c r="D21" i="12"/>
  <c r="S31" i="38"/>
  <c r="O4" i="17"/>
  <c r="A267" i="33"/>
  <c r="L24" i="34"/>
  <c r="A233" i="33"/>
  <c r="A46" i="6"/>
  <c r="A18" i="6"/>
  <c r="B77" i="3"/>
  <c r="AT55" i="3"/>
  <c r="B55" i="3"/>
  <c r="B55" i="50"/>
  <c r="R316" i="39"/>
  <c r="S317" i="39"/>
  <c r="Q316" i="39"/>
  <c r="P316" i="39"/>
  <c r="P23" i="42"/>
  <c r="A11" i="33"/>
  <c r="P52" i="28"/>
  <c r="A61" i="8"/>
  <c r="A41" i="6"/>
  <c r="I2" i="35"/>
  <c r="J16" i="17"/>
  <c r="A15" i="17"/>
  <c r="N25" i="34"/>
  <c r="M3" i="17"/>
  <c r="L3" i="32"/>
  <c r="U15" i="31"/>
  <c r="A290" i="33"/>
  <c r="T38" i="38"/>
  <c r="N9" i="38"/>
  <c r="S15" i="31"/>
  <c r="A56" i="15"/>
  <c r="A43" i="19"/>
  <c r="A17" i="19"/>
  <c r="N304" i="39"/>
  <c r="B21" i="21"/>
  <c r="K331" i="39"/>
  <c r="M187" i="39"/>
  <c r="M188" i="39"/>
  <c r="A1" i="65"/>
  <c r="D14" i="4"/>
  <c r="D15" i="4"/>
  <c r="A1" i="64"/>
  <c r="A33" i="11"/>
  <c r="K4" i="35"/>
  <c r="K6" i="35"/>
  <c r="K3" i="35"/>
  <c r="A1" i="11"/>
  <c r="G9" i="4"/>
  <c r="M20" i="17"/>
  <c r="A20" i="17"/>
  <c r="L14" i="66"/>
  <c r="B14" i="66"/>
  <c r="B77" i="53"/>
  <c r="C16" i="53"/>
  <c r="A25" i="29"/>
  <c r="A1" i="33"/>
  <c r="A420" i="33"/>
  <c r="B132" i="33"/>
  <c r="N20" i="43"/>
  <c r="B20" i="43"/>
  <c r="G38" i="11"/>
  <c r="G39" i="11"/>
  <c r="A41" i="11"/>
  <c r="B25" i="11"/>
  <c r="A22" i="31"/>
  <c r="A9" i="31"/>
  <c r="C18" i="49"/>
  <c r="C17" i="49"/>
  <c r="D35" i="31"/>
  <c r="E254" i="39"/>
  <c r="E279" i="39"/>
  <c r="C21" i="49"/>
  <c r="C20" i="49"/>
  <c r="D36" i="31"/>
  <c r="A484" i="33"/>
  <c r="B125" i="33"/>
  <c r="A332" i="33"/>
  <c r="B124" i="33"/>
  <c r="A444" i="33"/>
  <c r="B135" i="33"/>
  <c r="A404" i="33"/>
  <c r="B134" i="33"/>
  <c r="A460" i="33"/>
  <c r="B128" i="33"/>
  <c r="A356" i="33"/>
  <c r="B150" i="33"/>
  <c r="A324" i="33"/>
  <c r="B123" i="33"/>
  <c r="B149" i="33"/>
  <c r="G506" i="39"/>
  <c r="E241" i="39"/>
  <c r="N305" i="39"/>
  <c r="A10" i="12"/>
  <c r="A51" i="5"/>
  <c r="B49" i="43"/>
  <c r="A104" i="5"/>
  <c r="C8" i="36"/>
  <c r="B69" i="51"/>
  <c r="C14" i="51"/>
  <c r="A6" i="29"/>
  <c r="M101" i="4"/>
  <c r="B56" i="66"/>
  <c r="B31" i="68"/>
  <c r="B29" i="67"/>
  <c r="C15" i="49"/>
  <c r="C14" i="49"/>
  <c r="D34" i="31"/>
  <c r="C240" i="39"/>
  <c r="A101" i="24"/>
  <c r="M513" i="39"/>
  <c r="C10" i="66"/>
  <c r="A314" i="38"/>
  <c r="A3" i="64"/>
  <c r="D24" i="49"/>
  <c r="C23" i="49"/>
  <c r="D37" i="31"/>
  <c r="A48" i="42"/>
  <c r="A43" i="24"/>
  <c r="A55" i="45"/>
  <c r="M526" i="39"/>
  <c r="AT45" i="3"/>
  <c r="C45" i="3"/>
  <c r="B45" i="52"/>
  <c r="B69" i="50"/>
  <c r="C14" i="50"/>
  <c r="I429" i="39"/>
  <c r="M527" i="39"/>
  <c r="P495" i="39"/>
  <c r="N496" i="39"/>
  <c r="B498" i="39"/>
  <c r="M529" i="39"/>
  <c r="M522" i="39"/>
  <c r="M523" i="39"/>
  <c r="M521" i="39"/>
  <c r="M525" i="39"/>
  <c r="M528" i="39"/>
  <c r="H142" i="38"/>
  <c r="A142" i="38"/>
  <c r="A140" i="38"/>
  <c r="F21" i="17"/>
  <c r="L21" i="17"/>
  <c r="J90" i="38"/>
  <c r="P87" i="38"/>
  <c r="P88" i="38"/>
  <c r="A318" i="38"/>
  <c r="A271" i="38"/>
  <c r="A366" i="38"/>
  <c r="A414" i="38"/>
  <c r="A10" i="29"/>
  <c r="A5" i="65"/>
  <c r="A12" i="61"/>
  <c r="L53" i="31"/>
  <c r="L52" i="31"/>
  <c r="D27" i="49"/>
  <c r="C26" i="49"/>
  <c r="D38" i="31"/>
  <c r="D12" i="49"/>
  <c r="C11" i="49"/>
  <c r="D33" i="31"/>
  <c r="A428" i="33"/>
  <c r="A12" i="59"/>
  <c r="B69" i="25"/>
  <c r="C14" i="25"/>
  <c r="J190" i="38"/>
  <c r="G49" i="36"/>
  <c r="I4" i="36"/>
  <c r="A3" i="36"/>
  <c r="G124" i="16"/>
  <c r="G139" i="16"/>
  <c r="I123" i="4"/>
  <c r="A12" i="58"/>
  <c r="A211" i="16"/>
  <c r="V16" i="31"/>
  <c r="R21" i="45"/>
  <c r="T4" i="39"/>
  <c r="A12" i="62"/>
  <c r="A12" i="60"/>
  <c r="O18" i="66"/>
  <c r="O22" i="66"/>
  <c r="A241" i="33"/>
  <c r="B115" i="16"/>
  <c r="U42" i="39"/>
  <c r="S37" i="38"/>
  <c r="A239" i="16"/>
  <c r="I10" i="49"/>
  <c r="C1" i="49"/>
  <c r="R264" i="39"/>
  <c r="O267" i="39"/>
  <c r="O268" i="39"/>
  <c r="O270" i="39"/>
  <c r="C27" i="36"/>
  <c r="A2" i="64"/>
  <c r="A3" i="65"/>
  <c r="N86" i="38"/>
  <c r="N87" i="38"/>
  <c r="F16" i="65"/>
  <c r="F14" i="65"/>
  <c r="H14" i="65"/>
  <c r="M165" i="39"/>
  <c r="K324" i="39"/>
  <c r="N12" i="49"/>
  <c r="K10" i="49"/>
  <c r="C22" i="1"/>
  <c r="C18" i="1"/>
  <c r="F15" i="64"/>
  <c r="M167" i="39"/>
  <c r="M509" i="39"/>
  <c r="O17" i="39"/>
  <c r="P492" i="39"/>
  <c r="N492" i="39"/>
  <c r="M59" i="39"/>
  <c r="M60" i="39"/>
  <c r="E435" i="39"/>
  <c r="M491" i="39"/>
  <c r="I432" i="39"/>
  <c r="M14" i="39"/>
  <c r="M492" i="39"/>
  <c r="O15" i="39"/>
  <c r="M412" i="39"/>
  <c r="M411" i="39"/>
  <c r="M410" i="39"/>
  <c r="M304" i="39"/>
  <c r="M303" i="39"/>
  <c r="S27" i="33"/>
  <c r="S37" i="33"/>
  <c r="Q33" i="33"/>
  <c r="A33" i="33"/>
  <c r="Q37" i="33"/>
  <c r="S35" i="33"/>
  <c r="Q27" i="33"/>
  <c r="A27" i="33"/>
  <c r="Q35" i="33"/>
  <c r="A35" i="33"/>
  <c r="D9" i="4"/>
  <c r="E8" i="4"/>
  <c r="Q306" i="39"/>
  <c r="A306" i="39"/>
  <c r="N21" i="17"/>
  <c r="K69" i="33"/>
  <c r="K70" i="33"/>
  <c r="J162" i="33"/>
  <c r="J163" i="33"/>
  <c r="S18" i="32"/>
  <c r="S17" i="32"/>
  <c r="D14" i="10"/>
  <c r="A14" i="10"/>
  <c r="I62" i="36"/>
  <c r="K63" i="36"/>
  <c r="K64" i="36"/>
  <c r="D22" i="17"/>
  <c r="D10" i="17"/>
  <c r="F10" i="17"/>
  <c r="C60" i="36"/>
  <c r="I64" i="36"/>
  <c r="M94" i="39"/>
  <c r="M99" i="39"/>
  <c r="M93" i="39"/>
  <c r="M92" i="39"/>
  <c r="M91" i="39"/>
  <c r="M95" i="39"/>
  <c r="M97" i="39"/>
  <c r="M98" i="39"/>
  <c r="M100" i="39"/>
  <c r="M87" i="39"/>
  <c r="M96" i="39"/>
  <c r="M101" i="39"/>
  <c r="M88" i="39"/>
  <c r="M89" i="39"/>
  <c r="M90" i="39"/>
  <c r="B14" i="36"/>
  <c r="M376" i="39"/>
  <c r="L370" i="39"/>
  <c r="L380" i="39"/>
  <c r="M372" i="39"/>
  <c r="M369" i="39"/>
  <c r="M373" i="39"/>
  <c r="M377" i="39"/>
  <c r="M364" i="39"/>
  <c r="M374" i="39"/>
  <c r="M378" i="39"/>
  <c r="M365" i="39"/>
  <c r="M379" i="39"/>
  <c r="M361" i="39"/>
  <c r="M366" i="39"/>
  <c r="L373" i="39"/>
  <c r="M381" i="39"/>
  <c r="M375" i="39"/>
  <c r="M371" i="39"/>
  <c r="L362" i="39"/>
  <c r="M363" i="39"/>
  <c r="M370" i="39"/>
  <c r="M380" i="39"/>
  <c r="M362" i="39"/>
  <c r="M66" i="39"/>
  <c r="M67" i="39"/>
  <c r="M64" i="39"/>
  <c r="M69" i="39"/>
  <c r="M70" i="39"/>
  <c r="M65" i="39"/>
  <c r="M63" i="39"/>
  <c r="M71" i="39"/>
  <c r="M68" i="39"/>
  <c r="M41" i="39"/>
  <c r="M40" i="39"/>
  <c r="M39" i="39"/>
  <c r="M35" i="39"/>
  <c r="M38" i="39"/>
  <c r="N120" i="38"/>
  <c r="A119" i="38"/>
  <c r="B55" i="52"/>
  <c r="F24" i="11"/>
  <c r="F27" i="11"/>
  <c r="B55" i="53"/>
  <c r="C16" i="3"/>
  <c r="D25" i="11"/>
  <c r="A25" i="11"/>
  <c r="D17" i="48"/>
  <c r="D19" i="48"/>
  <c r="A19" i="48"/>
  <c r="H7" i="9"/>
  <c r="J10" i="9"/>
  <c r="A7" i="9"/>
  <c r="D95" i="4"/>
  <c r="AA26" i="39"/>
  <c r="V28" i="39"/>
  <c r="A29" i="11"/>
  <c r="P15" i="33"/>
  <c r="P16" i="33"/>
  <c r="E506" i="39"/>
  <c r="E525" i="39"/>
  <c r="E474" i="39"/>
  <c r="C490" i="39"/>
  <c r="G364" i="39"/>
  <c r="G389" i="39"/>
  <c r="J108" i="33"/>
  <c r="J107" i="33"/>
  <c r="M395" i="39"/>
  <c r="M405" i="39"/>
  <c r="L395" i="39"/>
  <c r="L405" i="39"/>
  <c r="M387" i="39"/>
  <c r="E61" i="36"/>
  <c r="L184" i="33"/>
  <c r="J84" i="33"/>
  <c r="J91" i="33"/>
  <c r="J95" i="33"/>
  <c r="J83" i="33"/>
  <c r="J93" i="33"/>
  <c r="J90" i="33"/>
  <c r="J92" i="33"/>
  <c r="J94" i="33"/>
  <c r="J85" i="33"/>
  <c r="J99" i="33"/>
  <c r="J100" i="33"/>
  <c r="J96" i="33"/>
  <c r="J101" i="33"/>
  <c r="J98" i="33"/>
  <c r="J97" i="33"/>
  <c r="J87" i="33"/>
  <c r="B26" i="36"/>
  <c r="M397" i="39"/>
  <c r="M396" i="39"/>
  <c r="M406" i="39"/>
  <c r="M404" i="39"/>
  <c r="B15" i="36"/>
  <c r="M391" i="39"/>
  <c r="M400" i="39"/>
  <c r="M389" i="39"/>
  <c r="M401" i="39"/>
  <c r="M390" i="39"/>
  <c r="M402" i="39"/>
  <c r="M394" i="39"/>
  <c r="M399" i="39"/>
  <c r="M388" i="39"/>
  <c r="M403" i="39"/>
  <c r="L398" i="39"/>
  <c r="M398" i="39"/>
  <c r="M386" i="39"/>
  <c r="J317" i="39"/>
  <c r="I318" i="39"/>
  <c r="I317" i="39"/>
  <c r="T337" i="39"/>
  <c r="F317" i="39"/>
  <c r="E318" i="39"/>
  <c r="E317" i="39"/>
  <c r="K334" i="39"/>
  <c r="C318" i="39"/>
  <c r="C317" i="39"/>
  <c r="D317" i="39"/>
  <c r="L448" i="39"/>
  <c r="L457" i="39"/>
  <c r="M448" i="39"/>
  <c r="M457" i="39"/>
  <c r="G449" i="39"/>
  <c r="J164" i="33"/>
  <c r="K67" i="33"/>
  <c r="K68" i="33"/>
  <c r="B55" i="25"/>
  <c r="K71" i="33"/>
  <c r="K72" i="33"/>
  <c r="A162" i="33"/>
  <c r="A69" i="33"/>
  <c r="A160" i="33"/>
  <c r="A67" i="33"/>
  <c r="Q317" i="39"/>
  <c r="AB315" i="39"/>
  <c r="J167" i="33"/>
  <c r="D113" i="4"/>
  <c r="E112" i="4"/>
  <c r="I21" i="32"/>
  <c r="I24" i="32"/>
  <c r="I36" i="32"/>
  <c r="A284" i="33"/>
  <c r="D14" i="17"/>
  <c r="I23" i="32"/>
  <c r="I22" i="32"/>
  <c r="O19" i="70"/>
  <c r="A19" i="70"/>
  <c r="Z28" i="39"/>
  <c r="AD28" i="39"/>
  <c r="AA28" i="39"/>
  <c r="A88" i="38"/>
  <c r="A21" i="17"/>
  <c r="B55" i="51"/>
  <c r="P21" i="72"/>
  <c r="Y315" i="39"/>
  <c r="F44" i="11"/>
  <c r="U305" i="39"/>
  <c r="S315" i="39"/>
  <c r="Y316" i="39"/>
  <c r="G525" i="39"/>
  <c r="F122" i="4"/>
  <c r="D122" i="4"/>
  <c r="B45" i="53"/>
  <c r="B45" i="51"/>
  <c r="X28" i="39"/>
  <c r="M449" i="39"/>
  <c r="M455" i="39"/>
  <c r="M458" i="39"/>
  <c r="M459" i="39"/>
  <c r="M452" i="39"/>
  <c r="M453" i="39"/>
  <c r="M456" i="39"/>
  <c r="M451" i="39"/>
  <c r="M447" i="39"/>
  <c r="M450" i="39"/>
  <c r="A94" i="8"/>
  <c r="B113" i="7"/>
  <c r="A87" i="15"/>
  <c r="A44" i="8"/>
  <c r="B48" i="67"/>
  <c r="E43" i="15"/>
  <c r="A256" i="33"/>
  <c r="A80" i="15"/>
  <c r="A103" i="8"/>
  <c r="D98" i="4"/>
  <c r="A54" i="15"/>
  <c r="E24" i="8"/>
  <c r="F55" i="66"/>
  <c r="A33" i="15"/>
  <c r="A95" i="8"/>
  <c r="A83" i="15"/>
  <c r="A107" i="8"/>
  <c r="A176" i="16"/>
  <c r="B57" i="16"/>
  <c r="A92" i="15"/>
  <c r="A91" i="15"/>
  <c r="E98" i="4"/>
  <c r="A69" i="15"/>
  <c r="E34" i="8"/>
  <c r="F65" i="66"/>
  <c r="A84" i="15"/>
  <c r="A76" i="15"/>
  <c r="D96" i="4"/>
  <c r="A88" i="15"/>
  <c r="E33" i="15"/>
  <c r="A106" i="8"/>
  <c r="A109" i="8"/>
  <c r="A81" i="15"/>
  <c r="A226" i="16"/>
  <c r="B102" i="16"/>
  <c r="A98" i="8"/>
  <c r="A34" i="8"/>
  <c r="B40" i="68"/>
  <c r="A102" i="8"/>
  <c r="A43" i="15"/>
  <c r="E23" i="15"/>
  <c r="A205" i="33"/>
  <c r="A4" i="33"/>
  <c r="A9" i="33"/>
  <c r="Q42" i="39"/>
  <c r="B45" i="25"/>
  <c r="B45" i="50"/>
  <c r="N495" i="39"/>
  <c r="B495" i="39"/>
  <c r="F18" i="65"/>
  <c r="F17" i="65"/>
  <c r="H17" i="65"/>
  <c r="N10" i="17"/>
  <c r="N18" i="49"/>
  <c r="N20" i="49"/>
  <c r="A44" i="36"/>
  <c r="A482" i="39"/>
  <c r="L27" i="36"/>
  <c r="A389" i="33"/>
  <c r="A388" i="33"/>
  <c r="B140" i="33"/>
  <c r="G27" i="36"/>
  <c r="C32" i="36"/>
  <c r="M454" i="39"/>
  <c r="P90" i="38"/>
  <c r="A90" i="38"/>
  <c r="P91" i="38"/>
  <c r="D18" i="17"/>
  <c r="F18" i="17"/>
  <c r="F22" i="17"/>
  <c r="B492" i="39"/>
  <c r="H19" i="65"/>
  <c r="C23" i="10"/>
  <c r="D24" i="10"/>
  <c r="M29" i="66"/>
  <c r="B29" i="66"/>
  <c r="Q40" i="66"/>
  <c r="B27" i="66"/>
  <c r="Q18" i="66"/>
  <c r="S18" i="66"/>
  <c r="D78" i="4"/>
  <c r="P16" i="31"/>
  <c r="Q22" i="66"/>
  <c r="O40" i="66"/>
  <c r="B40" i="66"/>
  <c r="L29" i="17"/>
  <c r="P18" i="32"/>
  <c r="E44" i="8"/>
  <c r="F48" i="67"/>
  <c r="A77" i="15"/>
  <c r="E24" i="15"/>
  <c r="A99" i="8"/>
  <c r="P42" i="39"/>
  <c r="A110" i="8"/>
  <c r="A37" i="33"/>
  <c r="S16" i="32"/>
  <c r="N14" i="32"/>
  <c r="A14" i="32"/>
  <c r="L26" i="17"/>
  <c r="W26" i="39"/>
  <c r="A254" i="33"/>
  <c r="I63" i="36"/>
  <c r="I65" i="36"/>
  <c r="A60" i="36"/>
  <c r="D8" i="17"/>
  <c r="C61" i="36"/>
  <c r="L185" i="33"/>
  <c r="J182" i="33"/>
  <c r="M26" i="39"/>
  <c r="M27" i="39"/>
  <c r="D26" i="10"/>
  <c r="D30" i="10"/>
  <c r="D31" i="10"/>
  <c r="E23" i="48"/>
  <c r="D27" i="11"/>
  <c r="C33" i="11"/>
  <c r="D35" i="11"/>
  <c r="D37" i="11"/>
  <c r="D38" i="11"/>
  <c r="D116" i="4"/>
  <c r="D118" i="4"/>
  <c r="A233" i="16"/>
  <c r="P175" i="33"/>
  <c r="P176" i="33"/>
  <c r="A62" i="33"/>
  <c r="N57" i="33"/>
  <c r="H27" i="36"/>
  <c r="B42" i="36"/>
  <c r="M419" i="39"/>
  <c r="M367" i="39"/>
  <c r="M368" i="39"/>
  <c r="C41" i="11"/>
  <c r="D43" i="11"/>
  <c r="J7" i="9"/>
  <c r="H5" i="9"/>
  <c r="E449" i="39"/>
  <c r="E389" i="39"/>
  <c r="E364" i="39"/>
  <c r="A35" i="8"/>
  <c r="F40" i="68"/>
  <c r="B43" i="36"/>
  <c r="B51" i="36"/>
  <c r="G6" i="35"/>
  <c r="F7" i="35"/>
  <c r="A17" i="33"/>
  <c r="M393" i="39"/>
  <c r="M392" i="39"/>
  <c r="G317" i="39"/>
  <c r="H317" i="39"/>
  <c r="G318" i="39"/>
  <c r="Z315" i="39"/>
  <c r="L175" i="33"/>
  <c r="L176" i="33"/>
  <c r="P28" i="39"/>
  <c r="J25" i="34"/>
  <c r="U304" i="39"/>
  <c r="P297" i="39"/>
  <c r="A300" i="39"/>
  <c r="J165" i="33"/>
  <c r="J160" i="33"/>
  <c r="J111" i="33"/>
  <c r="W315" i="39"/>
  <c r="S42" i="39"/>
  <c r="A42" i="39"/>
  <c r="J3" i="32"/>
  <c r="O50" i="38"/>
  <c r="E45" i="8"/>
  <c r="F51" i="68"/>
  <c r="A67" i="15"/>
  <c r="A16" i="15"/>
  <c r="A34" i="15"/>
  <c r="U315" i="39"/>
  <c r="B50" i="68"/>
  <c r="E25" i="8"/>
  <c r="F29" i="67"/>
  <c r="A22" i="32"/>
  <c r="F14" i="17"/>
  <c r="F15" i="17"/>
  <c r="L10" i="17"/>
  <c r="A14" i="17"/>
  <c r="B65" i="66"/>
  <c r="E35" i="8"/>
  <c r="F41" i="68"/>
  <c r="D15" i="17"/>
  <c r="J26" i="17"/>
  <c r="O250" i="39"/>
  <c r="A250" i="39"/>
  <c r="A248" i="39"/>
  <c r="B38" i="67"/>
  <c r="F38" i="67"/>
  <c r="J4" i="32"/>
  <c r="Q54" i="31"/>
  <c r="I38" i="32"/>
  <c r="A35" i="32"/>
  <c r="A263" i="33"/>
  <c r="A105" i="33"/>
  <c r="S31" i="31"/>
  <c r="Q43" i="38"/>
  <c r="Q301" i="39"/>
  <c r="P295" i="39"/>
  <c r="A298" i="39"/>
  <c r="F8" i="4"/>
  <c r="A7" i="53"/>
  <c r="A235" i="16"/>
  <c r="R38" i="38"/>
  <c r="G2" i="35"/>
  <c r="S47" i="31"/>
  <c r="N106" i="38"/>
  <c r="A103" i="38"/>
  <c r="K3" i="17"/>
  <c r="M12" i="17"/>
  <c r="A12" i="17"/>
  <c r="F28" i="10"/>
  <c r="Q15" i="31"/>
  <c r="P4" i="39"/>
  <c r="P3" i="39"/>
  <c r="G3" i="35"/>
  <c r="O242" i="39"/>
  <c r="O234" i="39"/>
  <c r="A236" i="39"/>
  <c r="Q244" i="39"/>
  <c r="O240" i="39"/>
  <c r="A234" i="39"/>
  <c r="N7" i="38"/>
  <c r="A76" i="38"/>
  <c r="A174" i="38"/>
  <c r="A223" i="38"/>
  <c r="F21" i="48"/>
  <c r="A22" i="48"/>
  <c r="Q47" i="31"/>
  <c r="O241" i="39"/>
  <c r="O239" i="39"/>
  <c r="A235" i="39"/>
  <c r="T16" i="31"/>
  <c r="O37" i="38"/>
  <c r="N23" i="43"/>
  <c r="Q31" i="38"/>
  <c r="J24" i="34"/>
  <c r="A239" i="33"/>
  <c r="A78" i="33"/>
  <c r="P426" i="39"/>
  <c r="I426" i="39"/>
  <c r="N23" i="42"/>
  <c r="B23" i="42"/>
  <c r="A273" i="33"/>
  <c r="A108" i="33"/>
  <c r="T9" i="39"/>
  <c r="O11" i="39"/>
  <c r="Q50" i="38"/>
  <c r="A209" i="16"/>
  <c r="B63" i="16"/>
  <c r="K4" i="17"/>
  <c r="Q49" i="31"/>
  <c r="A49" i="31"/>
  <c r="S3" i="31"/>
  <c r="A286" i="33"/>
  <c r="O243" i="39"/>
  <c r="O233" i="39"/>
  <c r="A237" i="39"/>
  <c r="Q300" i="39"/>
  <c r="P274" i="39"/>
  <c r="A297" i="39"/>
  <c r="Q302" i="39"/>
  <c r="P296" i="39"/>
  <c r="A299" i="39"/>
  <c r="P21" i="45"/>
  <c r="B21" i="45"/>
  <c r="G4" i="35"/>
  <c r="F5" i="35"/>
  <c r="E46" i="11"/>
  <c r="A37" i="11"/>
  <c r="S305" i="39"/>
  <c r="P298" i="39"/>
  <c r="A302" i="39"/>
  <c r="B75" i="66"/>
  <c r="A10" i="10"/>
  <c r="A10" i="11"/>
  <c r="A10" i="48"/>
  <c r="E34" i="15"/>
  <c r="A64" i="8"/>
  <c r="F75" i="66"/>
  <c r="F50" i="68"/>
  <c r="E44" i="15"/>
  <c r="F28" i="67"/>
  <c r="F30" i="68"/>
  <c r="A44" i="15"/>
  <c r="A66" i="8"/>
  <c r="A86" i="8"/>
  <c r="A19" i="8"/>
  <c r="B174" i="7"/>
  <c r="A45" i="8"/>
  <c r="B41" i="68"/>
  <c r="B66" i="66"/>
  <c r="B39" i="67"/>
  <c r="F66" i="66"/>
  <c r="F31" i="68"/>
  <c r="A26" i="10"/>
  <c r="A30" i="31"/>
  <c r="A212" i="33"/>
  <c r="P38" i="38"/>
  <c r="A215" i="33"/>
  <c r="A179" i="16"/>
  <c r="B68" i="16"/>
  <c r="B179" i="7"/>
  <c r="B74" i="7"/>
  <c r="B162" i="7"/>
  <c r="B139" i="7"/>
  <c r="B123" i="7"/>
  <c r="B31" i="7"/>
  <c r="B108" i="7"/>
  <c r="A211" i="33"/>
  <c r="N38" i="38"/>
  <c r="U31" i="31"/>
  <c r="B160" i="7"/>
  <c r="B143" i="7"/>
  <c r="B107" i="7"/>
  <c r="C79" i="36"/>
  <c r="O47" i="38"/>
  <c r="A47" i="38"/>
  <c r="O31" i="38"/>
  <c r="Q31" i="31"/>
  <c r="B158" i="7"/>
  <c r="B134" i="7"/>
  <c r="B118" i="7"/>
  <c r="B106" i="7"/>
  <c r="S54" i="31"/>
  <c r="C80" i="36"/>
  <c r="C78" i="36"/>
  <c r="O29" i="38"/>
  <c r="A29" i="38"/>
  <c r="R16" i="31"/>
  <c r="B172" i="7"/>
  <c r="B156" i="7"/>
  <c r="B136" i="7"/>
  <c r="A93" i="7"/>
  <c r="F86" i="7"/>
  <c r="Q40" i="31"/>
  <c r="A40" i="31"/>
  <c r="A280" i="33"/>
  <c r="A98" i="33"/>
  <c r="A45" i="31"/>
  <c r="A221" i="33"/>
  <c r="N162" i="38"/>
  <c r="A157" i="38"/>
  <c r="A42" i="38"/>
  <c r="A214" i="33"/>
  <c r="A182" i="16"/>
  <c r="A99" i="7"/>
  <c r="B154" i="7"/>
  <c r="Q1" i="31"/>
  <c r="A1" i="31"/>
  <c r="A13" i="35"/>
  <c r="B165" i="7"/>
  <c r="B111" i="7"/>
  <c r="A219" i="33"/>
  <c r="G164" i="38"/>
  <c r="B149" i="7"/>
  <c r="B115" i="7"/>
  <c r="G163" i="38"/>
  <c r="S43" i="38"/>
  <c r="I72" i="36"/>
  <c r="A67" i="36"/>
  <c r="A70" i="8"/>
  <c r="B151" i="7"/>
  <c r="O43" i="38"/>
  <c r="B104" i="7"/>
  <c r="B146" i="7"/>
  <c r="B54" i="7"/>
  <c r="F85" i="7"/>
  <c r="B129" i="7"/>
  <c r="F81" i="7"/>
  <c r="U54" i="31"/>
  <c r="A186" i="16"/>
  <c r="B131" i="7"/>
  <c r="A185" i="16"/>
  <c r="B167" i="7"/>
  <c r="B126" i="7"/>
  <c r="B35" i="7"/>
  <c r="A208" i="33"/>
  <c r="A80" i="33"/>
  <c r="Q3" i="31"/>
  <c r="A3" i="31"/>
  <c r="A183" i="16"/>
  <c r="B169" i="7"/>
  <c r="B120" i="7"/>
  <c r="B41" i="36"/>
  <c r="B39" i="36"/>
  <c r="B52" i="36"/>
  <c r="B27" i="36"/>
  <c r="N30" i="36"/>
  <c r="C44" i="36"/>
  <c r="J18" i="49"/>
  <c r="A288" i="33"/>
  <c r="A7" i="51"/>
  <c r="M18" i="66"/>
  <c r="A11" i="58"/>
  <c r="A11" i="60"/>
  <c r="J21" i="9"/>
  <c r="B13" i="9"/>
  <c r="N52" i="28"/>
  <c r="B52" i="28"/>
  <c r="P328" i="39"/>
  <c r="B328" i="39"/>
  <c r="Q28" i="31"/>
  <c r="S12" i="31"/>
  <c r="P11" i="31"/>
  <c r="A12" i="31"/>
  <c r="A59" i="8"/>
  <c r="A11" i="8"/>
  <c r="A11" i="62"/>
  <c r="B141" i="7"/>
  <c r="A73" i="8"/>
  <c r="A11" i="1"/>
  <c r="Q14" i="31"/>
  <c r="P13" i="31"/>
  <c r="Q25" i="31"/>
  <c r="A25" i="31"/>
  <c r="A11" i="59"/>
  <c r="A11" i="61"/>
  <c r="A39" i="6"/>
  <c r="A14" i="6"/>
  <c r="Q26" i="39"/>
  <c r="A26" i="39"/>
  <c r="B28" i="36"/>
  <c r="D106" i="4"/>
  <c r="A237" i="16"/>
  <c r="C46" i="36"/>
  <c r="E44" i="36"/>
  <c r="D10" i="9"/>
  <c r="H10" i="9"/>
  <c r="H17" i="9"/>
  <c r="J17" i="9"/>
  <c r="A17" i="9"/>
  <c r="F56" i="66"/>
  <c r="F49" i="67"/>
  <c r="N58" i="33"/>
  <c r="K55" i="33"/>
  <c r="K57" i="33"/>
  <c r="E30" i="10"/>
  <c r="A30" i="10"/>
  <c r="D45" i="11"/>
  <c r="T28" i="39"/>
  <c r="A30" i="39"/>
  <c r="A177" i="33"/>
  <c r="M436" i="39"/>
  <c r="L423" i="39"/>
  <c r="M429" i="39"/>
  <c r="M423" i="39"/>
  <c r="M433" i="39"/>
  <c r="M437" i="39"/>
  <c r="M425" i="39"/>
  <c r="M420" i="39"/>
  <c r="M430" i="39"/>
  <c r="M426" i="39"/>
  <c r="M440" i="39"/>
  <c r="L436" i="39"/>
  <c r="M422" i="39"/>
  <c r="M432" i="39"/>
  <c r="M438" i="39"/>
  <c r="M435" i="39"/>
  <c r="M427" i="39"/>
  <c r="M439" i="39"/>
  <c r="M421" i="39"/>
  <c r="M431" i="39"/>
  <c r="M434" i="39"/>
  <c r="M428" i="39"/>
  <c r="M424" i="39"/>
  <c r="J2" i="9"/>
  <c r="A4" i="9"/>
  <c r="A4" i="38"/>
  <c r="F76" i="66"/>
  <c r="B119" i="16"/>
  <c r="F39" i="67"/>
  <c r="A50" i="38"/>
  <c r="A31" i="38"/>
  <c r="Q43" i="31"/>
  <c r="T59" i="31"/>
  <c r="A56" i="31"/>
  <c r="P299" i="39"/>
  <c r="A304" i="39"/>
  <c r="A176" i="33"/>
  <c r="N34" i="17"/>
  <c r="L28" i="17"/>
  <c r="N31" i="17"/>
  <c r="A61" i="33"/>
  <c r="J161" i="33"/>
  <c r="J159" i="33"/>
  <c r="A3" i="35"/>
  <c r="A3" i="39"/>
  <c r="A107" i="33"/>
  <c r="A15" i="31"/>
  <c r="A109" i="33"/>
  <c r="A37" i="38"/>
  <c r="A46" i="31"/>
  <c r="A7" i="3"/>
  <c r="A7" i="52"/>
  <c r="A7" i="25"/>
  <c r="A7" i="50"/>
  <c r="A116" i="33"/>
  <c r="O8" i="39"/>
  <c r="A9" i="39"/>
  <c r="A47" i="31"/>
  <c r="A52" i="31"/>
  <c r="B71" i="7"/>
  <c r="A43" i="38"/>
  <c r="J184" i="33"/>
  <c r="J185" i="33"/>
  <c r="J183" i="33"/>
  <c r="A86" i="33"/>
  <c r="B49" i="67"/>
  <c r="B51" i="68"/>
  <c r="B76" i="66"/>
  <c r="B62" i="7"/>
  <c r="A12" i="7"/>
  <c r="B15" i="7"/>
  <c r="B20" i="7"/>
  <c r="B57" i="7"/>
  <c r="B70" i="16"/>
  <c r="B49" i="7"/>
  <c r="A270" i="38"/>
  <c r="A365" i="38"/>
  <c r="A413" i="38"/>
  <c r="A317" i="38"/>
  <c r="A14" i="8"/>
  <c r="B28" i="7"/>
  <c r="B66" i="7"/>
  <c r="B42" i="7"/>
  <c r="B39" i="7"/>
  <c r="M22" i="66"/>
  <c r="B22" i="66"/>
  <c r="B18" i="66"/>
  <c r="A31" i="31"/>
  <c r="A373" i="33"/>
  <c r="I42" i="36"/>
  <c r="G44" i="36"/>
  <c r="L28" i="36"/>
  <c r="C48" i="36"/>
  <c r="C55" i="36"/>
  <c r="I56" i="36"/>
  <c r="I23" i="36"/>
  <c r="A82" i="33"/>
  <c r="A249" i="33"/>
  <c r="E46" i="36"/>
  <c r="E48" i="36"/>
  <c r="N28" i="36"/>
  <c r="N32" i="36"/>
  <c r="G428" i="39"/>
  <c r="A377" i="33"/>
  <c r="A372" i="33"/>
  <c r="B141" i="33"/>
  <c r="A62" i="15"/>
  <c r="A13" i="15"/>
  <c r="F11" i="9"/>
  <c r="K58" i="33"/>
  <c r="K56" i="33"/>
  <c r="A28" i="39"/>
  <c r="H44" i="36"/>
  <c r="M482" i="39"/>
  <c r="P42" i="31"/>
  <c r="P41" i="31"/>
  <c r="A24" i="34"/>
  <c r="A4" i="32"/>
  <c r="A3" i="17"/>
  <c r="A184" i="33"/>
  <c r="A57" i="33"/>
  <c r="J112" i="33"/>
  <c r="J114" i="33"/>
  <c r="J113" i="33"/>
  <c r="M47" i="36"/>
  <c r="M38" i="36"/>
  <c r="I48" i="36"/>
  <c r="M30" i="36"/>
  <c r="P33" i="36"/>
  <c r="P30" i="36"/>
  <c r="P421" i="39"/>
  <c r="A421" i="39"/>
  <c r="L32" i="36"/>
  <c r="E55" i="36"/>
  <c r="K48" i="36"/>
  <c r="M44" i="36"/>
  <c r="M46" i="36"/>
  <c r="J33" i="36"/>
  <c r="I428" i="39"/>
  <c r="I435" i="39"/>
  <c r="G435" i="39"/>
  <c r="A43" i="31"/>
  <c r="B44" i="36"/>
  <c r="B58" i="36"/>
  <c r="S28" i="31"/>
  <c r="A28" i="31"/>
  <c r="M483" i="39"/>
  <c r="M484" i="39"/>
  <c r="M485" i="39"/>
  <c r="M486" i="39"/>
  <c r="M61" i="36"/>
  <c r="M57" i="36"/>
  <c r="A48" i="36"/>
  <c r="M58" i="36"/>
  <c r="M60" i="36"/>
  <c r="A55" i="36"/>
  <c r="K56" i="36"/>
  <c r="J34" i="36"/>
  <c r="K63" i="33"/>
  <c r="J178" i="33"/>
  <c r="K62" i="33"/>
  <c r="K61" i="33"/>
  <c r="M32" i="39"/>
  <c r="M33" i="39"/>
  <c r="J176" i="33"/>
  <c r="M28" i="39"/>
  <c r="M29" i="39"/>
  <c r="J177" i="33"/>
  <c r="M30" i="39"/>
  <c r="M31" i="39"/>
  <c r="E49" i="36"/>
  <c r="C49" i="36"/>
  <c r="C34" i="36"/>
  <c r="E26" i="36"/>
  <c r="C18" i="36"/>
  <c r="E7" i="32"/>
  <c r="F8" i="64"/>
  <c r="H8" i="64"/>
</calcChain>
</file>

<file path=xl/comments1.xml><?xml version="1.0" encoding="utf-8"?>
<comments xmlns="http://schemas.openxmlformats.org/spreadsheetml/2006/main">
  <authors>
    <author>Author</author>
  </authors>
  <commentList>
    <comment ref="M11" authorId="0">
      <text>
        <r>
          <rPr>
            <b/>
            <sz val="9"/>
            <color indexed="81"/>
            <rFont val="Tahoma"/>
            <family val="2"/>
          </rPr>
          <t>Author:</t>
        </r>
        <r>
          <rPr>
            <sz val="9"/>
            <color indexed="81"/>
            <rFont val="Tahoma"/>
            <family val="2"/>
          </rPr>
          <t xml:space="preserve">
G</t>
        </r>
        <r>
          <rPr>
            <sz val="9"/>
            <color indexed="81"/>
            <rFont val="細明體"/>
            <family val="3"/>
            <charset val="136"/>
          </rPr>
          <t>欄要計算當</t>
        </r>
        <r>
          <rPr>
            <sz val="9"/>
            <color indexed="81"/>
            <rFont val="Tahoma"/>
            <family val="2"/>
          </rPr>
          <t>A</t>
        </r>
        <r>
          <rPr>
            <sz val="9"/>
            <color indexed="81"/>
            <rFont val="細明體"/>
            <family val="3"/>
            <charset val="136"/>
          </rPr>
          <t>欄大於</t>
        </r>
        <r>
          <rPr>
            <sz val="9"/>
            <color indexed="81"/>
            <rFont val="Tahoma"/>
            <family val="2"/>
          </rPr>
          <t xml:space="preserve">50 </t>
        </r>
        <r>
          <rPr>
            <sz val="9"/>
            <color indexed="81"/>
            <rFont val="細明體"/>
            <family val="3"/>
            <charset val="136"/>
          </rPr>
          <t>或</t>
        </r>
        <r>
          <rPr>
            <sz val="9"/>
            <color indexed="81"/>
            <rFont val="Tahoma"/>
            <family val="2"/>
          </rPr>
          <t xml:space="preserve"> B</t>
        </r>
        <r>
          <rPr>
            <sz val="9"/>
            <color indexed="81"/>
            <rFont val="細明體"/>
            <family val="3"/>
            <charset val="136"/>
          </rPr>
          <t>欄大於</t>
        </r>
        <r>
          <rPr>
            <sz val="9"/>
            <color indexed="81"/>
            <rFont val="Tahoma"/>
            <family val="2"/>
          </rPr>
          <t>50</t>
        </r>
        <r>
          <rPr>
            <sz val="9"/>
            <color indexed="81"/>
            <rFont val="細明體"/>
            <family val="3"/>
            <charset val="136"/>
          </rPr>
          <t>時，計算</t>
        </r>
        <r>
          <rPr>
            <sz val="9"/>
            <color indexed="81"/>
            <rFont val="Tahoma"/>
            <family val="2"/>
          </rPr>
          <t>C</t>
        </r>
        <r>
          <rPr>
            <sz val="9"/>
            <color indexed="81"/>
            <rFont val="細明體"/>
            <family val="3"/>
            <charset val="136"/>
          </rPr>
          <t>欄、</t>
        </r>
        <r>
          <rPr>
            <sz val="9"/>
            <color indexed="81"/>
            <rFont val="Tahoma"/>
            <family val="2"/>
          </rPr>
          <t>D</t>
        </r>
        <r>
          <rPr>
            <sz val="9"/>
            <color indexed="81"/>
            <rFont val="細明體"/>
            <family val="3"/>
            <charset val="136"/>
          </rPr>
          <t>欄、</t>
        </r>
        <r>
          <rPr>
            <sz val="9"/>
            <color indexed="81"/>
            <rFont val="Tahoma"/>
            <family val="2"/>
          </rPr>
          <t>E</t>
        </r>
        <r>
          <rPr>
            <sz val="9"/>
            <color indexed="81"/>
            <rFont val="細明體"/>
            <family val="3"/>
            <charset val="136"/>
          </rPr>
          <t>欄的和。
儲存格</t>
        </r>
        <r>
          <rPr>
            <sz val="9"/>
            <color indexed="81"/>
            <rFont val="Tahoma"/>
            <family val="2"/>
          </rPr>
          <t>G2</t>
        </r>
        <r>
          <rPr>
            <sz val="9"/>
            <color indexed="81"/>
            <rFont val="細明體"/>
            <family val="3"/>
            <charset val="136"/>
          </rPr>
          <t>：</t>
        </r>
        <r>
          <rPr>
            <sz val="9"/>
            <color indexed="81"/>
            <rFont val="Tahoma"/>
            <family val="2"/>
          </rPr>
          <t xml:space="preserve">{=SUM(IF((A2&gt;50)+(B2&gt;50),C2:E2))}
</t>
        </r>
        <r>
          <rPr>
            <sz val="9"/>
            <color indexed="81"/>
            <rFont val="細明體"/>
            <family val="3"/>
            <charset val="136"/>
          </rPr>
          <t>以上為陣列公式，輸入完成必須按</t>
        </r>
        <r>
          <rPr>
            <sz val="9"/>
            <color indexed="81"/>
            <rFont val="Tahoma"/>
            <family val="2"/>
          </rPr>
          <t>Ctrl+Shift+Enter</t>
        </r>
        <r>
          <rPr>
            <sz val="9"/>
            <color indexed="81"/>
            <rFont val="細明體"/>
            <family val="3"/>
            <charset val="136"/>
          </rPr>
          <t>鍵。
其中公式中的「</t>
        </r>
        <r>
          <rPr>
            <sz val="9"/>
            <color indexed="81"/>
            <rFont val="Tahoma"/>
            <family val="2"/>
          </rPr>
          <t>*</t>
        </r>
        <r>
          <rPr>
            <sz val="9"/>
            <color indexed="81"/>
            <rFont val="細明體"/>
            <family val="3"/>
            <charset val="136"/>
          </rPr>
          <t>」執行</t>
        </r>
        <r>
          <rPr>
            <sz val="9"/>
            <color indexed="81"/>
            <rFont val="Tahoma"/>
            <family val="2"/>
          </rPr>
          <t>AND</t>
        </r>
        <r>
          <rPr>
            <sz val="9"/>
            <color indexed="81"/>
            <rFont val="細明體"/>
            <family val="3"/>
            <charset val="136"/>
          </rPr>
          <t>運算，「</t>
        </r>
        <r>
          <rPr>
            <sz val="9"/>
            <color indexed="81"/>
            <rFont val="Tahoma"/>
            <family val="2"/>
          </rPr>
          <t>+</t>
        </r>
        <r>
          <rPr>
            <sz val="9"/>
            <color indexed="81"/>
            <rFont val="細明體"/>
            <family val="3"/>
            <charset val="136"/>
          </rPr>
          <t>」執行</t>
        </r>
        <r>
          <rPr>
            <sz val="9"/>
            <color indexed="81"/>
            <rFont val="Tahoma"/>
            <family val="2"/>
          </rPr>
          <t>OR</t>
        </r>
        <r>
          <rPr>
            <sz val="9"/>
            <color indexed="81"/>
            <rFont val="細明體"/>
            <family val="3"/>
            <charset val="136"/>
          </rPr>
          <t>運算。</t>
        </r>
      </text>
    </comment>
  </commentList>
</comments>
</file>

<file path=xl/sharedStrings.xml><?xml version="1.0" encoding="utf-8"?>
<sst xmlns="http://schemas.openxmlformats.org/spreadsheetml/2006/main" count="4330" uniqueCount="2113">
  <si>
    <t>auditor heading</t>
  </si>
  <si>
    <t>auditor footer</t>
  </si>
  <si>
    <t>start</t>
  </si>
  <si>
    <t>Y</t>
  </si>
  <si>
    <t xml:space="preserve">(FORMERLY KNOWN AS: </t>
    <phoneticPr fontId="13" type="noConversion"/>
  </si>
  <si>
    <t>)</t>
    <phoneticPr fontId="13" type="noConversion"/>
  </si>
  <si>
    <t>REPORTS AND FINANCIAL STATEMENTS</t>
  </si>
  <si>
    <t xml:space="preserve">FOR THE </t>
    <phoneticPr fontId="13" type="noConversion"/>
  </si>
  <si>
    <t xml:space="preserve"> ENDED </t>
    <phoneticPr fontId="13" type="noConversion"/>
  </si>
  <si>
    <t xml:space="preserve"> FROM </t>
    <phoneticPr fontId="13" type="noConversion"/>
  </si>
  <si>
    <t xml:space="preserve"> (DATE OF INCORPORATION) TO </t>
    <phoneticPr fontId="13" type="noConversion"/>
  </si>
  <si>
    <t>end</t>
  </si>
  <si>
    <t>heading</t>
  </si>
  <si>
    <t>table start</t>
  </si>
  <si>
    <t>CONTENTS</t>
  </si>
  <si>
    <t>PAGE(S)</t>
  </si>
  <si>
    <t>REPORT OF THE DIRECTOR</t>
  </si>
  <si>
    <t>section 1</t>
  </si>
  <si>
    <t>INDEPENDENT AUDITORS’ REPORT</t>
  </si>
  <si>
    <t>section 2</t>
  </si>
  <si>
    <t>INCOME STATEMENT</t>
  </si>
  <si>
    <t>section 3</t>
  </si>
  <si>
    <t>BALANCE SHEET</t>
  </si>
  <si>
    <t>section 4</t>
  </si>
  <si>
    <t>Y</t>
    <phoneticPr fontId="19" type="noConversion"/>
  </si>
  <si>
    <t>STATEMENT OF CHANGES IN EQUITY</t>
  </si>
  <si>
    <t>section 5</t>
  </si>
  <si>
    <t>NOTES TO THE FINANCIAL STATEMENTS</t>
  </si>
  <si>
    <t>section 6</t>
  </si>
  <si>
    <t>table end</t>
  </si>
  <si>
    <t>General:</t>
    <phoneticPr fontId="13" type="noConversion"/>
  </si>
  <si>
    <t>Company's name</t>
    <phoneticPr fontId="13" type="noConversion"/>
  </si>
  <si>
    <t>In Chinese</t>
    <phoneticPr fontId="13" type="noConversion"/>
  </si>
  <si>
    <t>Year/period ended:</t>
    <phoneticPr fontId="13" type="noConversion"/>
  </si>
  <si>
    <t>IF J6 AND K6 &lt;K3, SHOW 1</t>
    <phoneticPr fontId="13" type="noConversion"/>
  </si>
  <si>
    <t>IF J7 &lt; K4</t>
    <phoneticPr fontId="13" type="noConversion"/>
  </si>
  <si>
    <t>Year/period</t>
    <phoneticPr fontId="13" type="noConversion"/>
  </si>
  <si>
    <t>This year</t>
    <phoneticPr fontId="13" type="noConversion"/>
  </si>
  <si>
    <t>Last year</t>
    <phoneticPr fontId="13" type="noConversion"/>
  </si>
  <si>
    <t>Period from</t>
    <phoneticPr fontId="13" type="noConversion"/>
  </si>
  <si>
    <t>To</t>
    <phoneticPr fontId="13" type="noConversion"/>
  </si>
  <si>
    <t>No. of Months</t>
    <phoneticPr fontId="13" type="noConversion"/>
  </si>
  <si>
    <t>No. of Days</t>
    <phoneticPr fontId="13" type="noConversion"/>
  </si>
  <si>
    <t>Therefore over/within 18 months</t>
    <phoneticPr fontId="13" type="noConversion"/>
  </si>
  <si>
    <t>Registered office</t>
    <phoneticPr fontId="13" type="noConversion"/>
  </si>
  <si>
    <t>Room 705 (D), Ho King Commercial Centre, 2-16 Fa Yuen Street, Mongkok, Kowloon</t>
    <phoneticPr fontId="13" type="noConversion"/>
  </si>
  <si>
    <t>FLAT 1008, 10 FLOOR, WING TUCK COMMERCIAL CENTRE, 177-183 WING LOK STREET, WHEUNG WAN, HONG KONG</t>
    <phoneticPr fontId="13" type="noConversion"/>
  </si>
  <si>
    <t>11/F., FRONT BLOCK, HANG LOK BUILDING, 130 WING LOK ST., SHEUNG WAN, HK</t>
    <phoneticPr fontId="13" type="noConversion"/>
  </si>
  <si>
    <t>FLAT/RM A1, 9/F SILVERCORP INTERNATIONAL TOWER, 707-713 NATHAN ROAD, MONGKOK, KOWLOON</t>
    <phoneticPr fontId="13" type="noConversion"/>
  </si>
  <si>
    <t>FLAT/RM 04-05, 24/F, HOPEWELL CENTRE, 183 QUEEN'S ROAD EAST, WANCHAI, HK</t>
    <phoneticPr fontId="13" type="noConversion"/>
  </si>
  <si>
    <t>Rm 1902, Easey Comm. Bldg., 253-261 Hennessy Road, Wanchai, Hong Kong</t>
    <phoneticPr fontId="13" type="noConversion"/>
  </si>
  <si>
    <t>Room 37, 2/F, Tak Wun Building. 12-16 Pak Kung Street, Hung Hom, Kowloon.</t>
    <phoneticPr fontId="13" type="noConversion"/>
  </si>
  <si>
    <t>Clean/disclaimer</t>
    <phoneticPr fontId="13" type="noConversion"/>
  </si>
  <si>
    <t>1=Clean, 0=Disclaimer</t>
    <phoneticPr fontId="13" type="noConversion"/>
  </si>
  <si>
    <t>First audit?</t>
    <phoneticPr fontId="13" type="noConversion"/>
  </si>
  <si>
    <t>1=Yes, 0=No</t>
    <phoneticPr fontId="13" type="noConversion"/>
  </si>
  <si>
    <t>Any PPE?</t>
    <phoneticPr fontId="13" type="noConversion"/>
  </si>
  <si>
    <t>Related party transactions?</t>
    <phoneticPr fontId="13" type="noConversion"/>
  </si>
  <si>
    <t>Professional clearance</t>
    <phoneticPr fontId="13" type="noConversion"/>
  </si>
  <si>
    <t>Name of former auditor</t>
    <phoneticPr fontId="13" type="noConversion"/>
  </si>
  <si>
    <t>CHEUNG YIN LUN CERTIFIED PUBLIC ACCOUNTANT (PRACTISING)</t>
    <phoneticPr fontId="13" type="noConversion"/>
  </si>
  <si>
    <t>Address of former auditor, spread the address in 2 cells</t>
    <phoneticPr fontId="13" type="noConversion"/>
  </si>
  <si>
    <t>Room 2301, 23/F., Fu Fai Commercial Centre,</t>
    <phoneticPr fontId="13" type="noConversion"/>
  </si>
  <si>
    <t>27 Hillier Street, Sheung Wan, Hong Kong.</t>
    <phoneticPr fontId="13" type="noConversion"/>
  </si>
  <si>
    <t>Change of co. name?</t>
    <phoneticPr fontId="13" type="noConversion"/>
  </si>
  <si>
    <t>if yes, old co. name?</t>
    <phoneticPr fontId="13" type="noConversion"/>
  </si>
  <si>
    <t>Please fill in Eng and Chi name</t>
    <phoneticPr fontId="13" type="noConversion"/>
  </si>
  <si>
    <t>Since when?</t>
    <phoneticPr fontId="13" type="noConversion"/>
  </si>
  <si>
    <t>Change of financial year end?</t>
    <phoneticPr fontId="13" type="noConversion"/>
  </si>
  <si>
    <t>Date of board resolution?</t>
    <phoneticPr fontId="13" type="noConversion"/>
  </si>
  <si>
    <t>Last year end?</t>
    <phoneticPr fontId="13" type="noConversion"/>
  </si>
  <si>
    <t>i.e. 30 September</t>
    <phoneticPr fontId="13" type="noConversion"/>
  </si>
  <si>
    <t>Reason to change?</t>
    <phoneticPr fontId="13" type="noConversion"/>
  </si>
  <si>
    <t>Principal activities</t>
    <phoneticPr fontId="13" type="noConversion"/>
  </si>
  <si>
    <t>Presentation currency</t>
    <phoneticPr fontId="13" type="noConversion"/>
  </si>
  <si>
    <t>BR/Tax file no.</t>
    <phoneticPr fontId="13" type="noConversion"/>
  </si>
  <si>
    <t>http://www.gov.hk/en/residents/taxes/etax/services/brn_enquiry.htm</t>
    <phoneticPr fontId="13" type="noConversion"/>
  </si>
  <si>
    <t>No. of director(s)</t>
    <phoneticPr fontId="13" type="noConversion"/>
  </si>
  <si>
    <t>Director's name</t>
    <phoneticPr fontId="13" type="noConversion"/>
  </si>
  <si>
    <t>Relationship with</t>
    <phoneticPr fontId="13" type="noConversion"/>
  </si>
  <si>
    <t>the Company</t>
    <phoneticPr fontId="13" type="noConversion"/>
  </si>
  <si>
    <t>Director</t>
    <phoneticPr fontId="13" type="noConversion"/>
  </si>
  <si>
    <t>Current account</t>
    <phoneticPr fontId="13" type="noConversion"/>
  </si>
  <si>
    <t>Due to a director</t>
    <phoneticPr fontId="13" type="noConversion"/>
  </si>
  <si>
    <t>Due from a director</t>
    <phoneticPr fontId="13" type="noConversion"/>
  </si>
  <si>
    <t>Amount</t>
    <phoneticPr fontId="13" type="noConversion"/>
  </si>
  <si>
    <t>Note: if due to, show as negative ( )</t>
    <phoneticPr fontId="13" type="noConversion"/>
  </si>
  <si>
    <t>Terms</t>
    <phoneticPr fontId="13" type="noConversion"/>
  </si>
  <si>
    <t>Director's emoluments:</t>
    <phoneticPr fontId="13" type="noConversion"/>
  </si>
  <si>
    <t>Emoluments:</t>
    <phoneticPr fontId="13" type="noConversion"/>
  </si>
  <si>
    <t>141D</t>
    <phoneticPr fontId="13" type="noConversion"/>
  </si>
  <si>
    <t>No. of shareholder(s)</t>
    <phoneticPr fontId="13" type="noConversion"/>
  </si>
  <si>
    <t>Shareholder/shareholders</t>
    <phoneticPr fontId="13" type="noConversion"/>
  </si>
  <si>
    <t>his/her/their</t>
    <phoneticPr fontId="13" type="noConversion"/>
  </si>
  <si>
    <t>his</t>
    <phoneticPr fontId="13" type="noConversion"/>
  </si>
  <si>
    <t>her</t>
    <phoneticPr fontId="13" type="noConversion"/>
  </si>
  <si>
    <t>their</t>
    <phoneticPr fontId="13" type="noConversion"/>
  </si>
  <si>
    <t>I/We</t>
    <phoneticPr fontId="13" type="noConversion"/>
  </si>
  <si>
    <t>Shareholder's name</t>
    <phoneticPr fontId="13" type="noConversion"/>
  </si>
  <si>
    <t>Letter of support</t>
    <phoneticPr fontId="13" type="noConversion"/>
  </si>
  <si>
    <t>Net liabilities</t>
    <phoneticPr fontId="13" type="noConversion"/>
  </si>
  <si>
    <t>fill in negative ()</t>
    <phoneticPr fontId="13" type="noConversion"/>
  </si>
  <si>
    <t>Petty cash confirmation</t>
    <phoneticPr fontId="13" type="noConversion"/>
  </si>
  <si>
    <t>Adjustment</t>
    <phoneticPr fontId="13" type="noConversion"/>
  </si>
  <si>
    <t>Net loss or profits before tax</t>
    <phoneticPr fontId="13" type="noConversion"/>
  </si>
  <si>
    <t>Please select "Profit"/"Loss"</t>
    <phoneticPr fontId="13" type="noConversion"/>
  </si>
  <si>
    <t>Profit</t>
    <phoneticPr fontId="13" type="noConversion"/>
  </si>
  <si>
    <t>Loss</t>
    <phoneticPr fontId="13" type="noConversion"/>
  </si>
  <si>
    <t>if loss, show as negative ()</t>
    <phoneticPr fontId="13" type="noConversion"/>
  </si>
  <si>
    <t>Tax expenses</t>
    <phoneticPr fontId="13" type="noConversion"/>
  </si>
  <si>
    <t>Net loss or profits after tax</t>
    <phoneticPr fontId="13" type="noConversion"/>
  </si>
  <si>
    <t>For accounts</t>
    <phoneticPr fontId="13" type="noConversion"/>
  </si>
  <si>
    <t>Tax computation</t>
    <phoneticPr fontId="13" type="noConversion"/>
  </si>
  <si>
    <t>year of assessment</t>
    <phoneticPr fontId="13" type="noConversion"/>
  </si>
  <si>
    <t>Basic period</t>
    <phoneticPr fontId="13" type="noConversion"/>
  </si>
  <si>
    <t>Interest income</t>
    <phoneticPr fontId="13" type="noConversion"/>
  </si>
  <si>
    <t>Please fill in as negative amount (i.e. -1)</t>
    <phoneticPr fontId="13" type="noConversion"/>
  </si>
  <si>
    <t>If no interest income, please fill in "0"</t>
    <phoneticPr fontId="13" type="noConversion"/>
  </si>
  <si>
    <t>Tax loss b/f</t>
    <phoneticPr fontId="13" type="noConversion"/>
  </si>
  <si>
    <t>Bank confirmation</t>
    <phoneticPr fontId="13" type="noConversion"/>
  </si>
  <si>
    <t>Bank's name</t>
    <phoneticPr fontId="13" type="noConversion"/>
  </si>
  <si>
    <t>Account number</t>
    <phoneticPr fontId="13" type="noConversion"/>
  </si>
  <si>
    <t>Auditor</t>
    <phoneticPr fontId="13" type="noConversion"/>
  </si>
  <si>
    <t>Auditor's name</t>
    <phoneticPr fontId="13" type="noConversion"/>
  </si>
  <si>
    <t>Uniwin International CPA Limited</t>
    <phoneticPr fontId="13" type="noConversion"/>
  </si>
  <si>
    <t>眾和國際會計師事務所有限公司</t>
    <phoneticPr fontId="13" type="noConversion"/>
  </si>
  <si>
    <t>Auditor's address</t>
    <phoneticPr fontId="13" type="noConversion"/>
  </si>
  <si>
    <t>Auditor's fax number</t>
    <phoneticPr fontId="13" type="noConversion"/>
  </si>
  <si>
    <t>Auditor's tel number</t>
    <phoneticPr fontId="13" type="noConversion"/>
  </si>
  <si>
    <t>TAX REP</t>
    <phoneticPr fontId="13" type="noConversion"/>
  </si>
  <si>
    <t>BANK CONF.</t>
    <phoneticPr fontId="13" type="noConversion"/>
  </si>
  <si>
    <t>Auditor's BR number</t>
    <phoneticPr fontId="13" type="noConversion"/>
  </si>
  <si>
    <t>excel 去掉公式方法二：</t>
    <phoneticPr fontId="13" type="noConversion"/>
  </si>
  <si>
    <t>在需要去掉公式的工作表，按ALT+F11，打开VBE编辑器，插入——模块，复制下面代码去掉公式保留值内容，按F5键运行即可去掉公式保留内容。</t>
    <phoneticPr fontId="13" type="noConversion"/>
  </si>
  <si>
    <t>Sub excel去掉公式()
    Dim sh As Worksheet
    For Each sh In Sheets
        sh.UsedRange = sh.UsedRange.Value
    Next
End Sub</t>
    <phoneticPr fontId="13" type="noConversion"/>
  </si>
  <si>
    <t xml:space="preserve">TO PDF </t>
    <phoneticPr fontId="13" type="noConversion"/>
  </si>
  <si>
    <t>http://smallpdf.com/zh-TW/word-to-pdf</t>
  </si>
  <si>
    <t>Issues:</t>
    <phoneticPr fontId="13" type="noConversion"/>
  </si>
  <si>
    <t>如何跳頁?</t>
    <phoneticPr fontId="13" type="noConversion"/>
  </si>
  <si>
    <t>如多一頁, 自動打印出該頁?</t>
    <phoneticPr fontId="13" type="noConversion"/>
  </si>
  <si>
    <t>如有2活頁, 一個是保留意見, 一個不保留意見, 可不可只出現一個活頁?</t>
    <phoneticPr fontId="13" type="noConversion"/>
  </si>
  <si>
    <t>要lock cell.只可動藍色部色.</t>
    <phoneticPr fontId="13" type="noConversion"/>
  </si>
  <si>
    <t>但打密碼可再動.</t>
    <phoneticPr fontId="13" type="noConversion"/>
  </si>
  <si>
    <t>Can use "if" to insert a colume?</t>
    <phoneticPr fontId="13" type="noConversion"/>
  </si>
  <si>
    <t>Word:</t>
    <phoneticPr fontId="13" type="noConversion"/>
  </si>
  <si>
    <t>有header,其他冇header</t>
    <phoneticPr fontId="13" type="noConversion"/>
  </si>
  <si>
    <t>Section4, how to automatically change pages numbers, i.e. financial statements from "4" to "11".</t>
    <phoneticPr fontId="13" type="noConversion"/>
  </si>
  <si>
    <t>Director’s remuneration confirmation</t>
    <phoneticPr fontId="13" type="noConversion"/>
  </si>
  <si>
    <t>Letter of engagement</t>
    <phoneticPr fontId="13" type="noConversion"/>
  </si>
  <si>
    <t>Letter of representation</t>
    <phoneticPr fontId="13" type="noConversion"/>
  </si>
  <si>
    <t>Letter of no stock</t>
    <phoneticPr fontId="13" type="noConversion"/>
  </si>
  <si>
    <t>Audit confirmation (related parties)</t>
    <phoneticPr fontId="13" type="noConversion"/>
  </si>
  <si>
    <t>Consent to apply section 141D</t>
    <phoneticPr fontId="13" type="noConversion"/>
  </si>
  <si>
    <t>Audit adjustment</t>
    <phoneticPr fontId="13" type="noConversion"/>
  </si>
  <si>
    <t>7. 1 Clearance letter</t>
  </si>
  <si>
    <t>11. 1 Audit confirmation (Others, i.e. suppliers, customers)</t>
  </si>
  <si>
    <t>8. 1 Cash Certificate</t>
  </si>
  <si>
    <t>9. 1 Stock Certificate</t>
  </si>
  <si>
    <t>1. 4 Audited Accounts</t>
  </si>
  <si>
    <t>16. Audited Accounts (Consolidation)</t>
  </si>
  <si>
    <t>17. Client’s confirmation on properties value</t>
  </si>
  <si>
    <t>18. Unadjusted errors</t>
  </si>
  <si>
    <t>19. Management letter</t>
  </si>
  <si>
    <t>20. Tax return</t>
  </si>
  <si>
    <t>21. Agreements (consultancy services)</t>
  </si>
  <si>
    <t>22. Invoice</t>
  </si>
  <si>
    <t>23. AR documents</t>
  </si>
  <si>
    <t>NOTICE OF</t>
  </si>
  <si>
    <t>PARTICULARS AS TO REMUNERATION</t>
  </si>
  <si>
    <t>OF, AND LOANS TO DIRECTORS</t>
  </si>
  <si>
    <t>TO</t>
  </si>
  <si>
    <t xml:space="preserve">ENDED </t>
    <phoneticPr fontId="13" type="noConversion"/>
  </si>
  <si>
    <t xml:space="preserve"> </t>
    <phoneticPr fontId="13" type="noConversion"/>
  </si>
  <si>
    <t>I HEREBY DECLARE that the undermentioned statement:</t>
    <phoneticPr fontId="13" type="noConversion"/>
  </si>
  <si>
    <t>(A)</t>
    <phoneticPr fontId="13" type="noConversion"/>
  </si>
  <si>
    <t xml:space="preserve">includes the whole of the emoluments, pensions and compensation for loss of office received and receivable by me from the above Company </t>
    <phoneticPr fontId="13" type="noConversion"/>
  </si>
  <si>
    <t xml:space="preserve">and its subsidiaries and any other company or person by way of remuneration for my services as director of the Company or any Subsidiary </t>
    <phoneticPr fontId="13" type="noConversion"/>
  </si>
  <si>
    <t xml:space="preserve">thereof or in connection with the management of the Company or any Subsidiary thereof in respect of the period referred to above as required </t>
    <phoneticPr fontId="13" type="noConversion"/>
  </si>
  <si>
    <t xml:space="preserve">(B) </t>
    <phoneticPr fontId="13" type="noConversion"/>
  </si>
  <si>
    <t xml:space="preserve">includes the amount of all loans made to me during the above period and of loans made to be before the commencement of the above period </t>
    <phoneticPr fontId="13" type="noConversion"/>
  </si>
  <si>
    <t>Name</t>
    <phoneticPr fontId="19" type="noConversion"/>
  </si>
  <si>
    <t>From the Company</t>
    <phoneticPr fontId="19" type="noConversion"/>
  </si>
  <si>
    <t>From the Subsidiary Company(ies)</t>
    <phoneticPr fontId="19" type="noConversion"/>
  </si>
  <si>
    <t>From any other Company or person in relation to such service</t>
    <phoneticPr fontId="19" type="noConversion"/>
  </si>
  <si>
    <t>Position</t>
    <phoneticPr fontId="19" type="noConversion"/>
  </si>
  <si>
    <t>DIRECTOR</t>
    <phoneticPr fontId="19" type="noConversion"/>
  </si>
  <si>
    <t>As Director</t>
    <phoneticPr fontId="19" type="noConversion"/>
  </si>
  <si>
    <t>As Executive</t>
    <phoneticPr fontId="19" type="noConversion"/>
  </si>
  <si>
    <t>(A)</t>
    <phoneticPr fontId="19" type="noConversion"/>
  </si>
  <si>
    <t>(1)</t>
    <phoneticPr fontId="19" type="noConversion"/>
  </si>
  <si>
    <t>EMOLUMENTS :-</t>
    <phoneticPr fontId="19" type="noConversion"/>
  </si>
  <si>
    <t>Fees</t>
    <phoneticPr fontId="19" type="noConversion"/>
  </si>
  <si>
    <t>Salary and bonus</t>
    <phoneticPr fontId="19" type="noConversion"/>
  </si>
  <si>
    <t>Commission</t>
    <phoneticPr fontId="19" type="noConversion"/>
  </si>
  <si>
    <t>Expense Allowance in excess of actual expenses</t>
    <phoneticPr fontId="19" type="noConversion"/>
  </si>
  <si>
    <t xml:space="preserve">Contributions to a pension fund paid by any of </t>
    <phoneticPr fontId="19" type="noConversion"/>
  </si>
  <si>
    <t>the Companies</t>
    <phoneticPr fontId="19" type="noConversion"/>
  </si>
  <si>
    <t>Contributions to Mandatory provident fund</t>
    <phoneticPr fontId="19" type="noConversion"/>
  </si>
  <si>
    <t xml:space="preserve">Estimated money value of any benefits received </t>
    <phoneticPr fontId="19" type="noConversion"/>
  </si>
  <si>
    <t>otherwise than in cash</t>
    <phoneticPr fontId="19" type="noConversion"/>
  </si>
  <si>
    <t>e.g.</t>
    <phoneticPr fontId="19" type="noConversion"/>
  </si>
  <si>
    <t>Insurance</t>
    <phoneticPr fontId="19" type="noConversion"/>
  </si>
  <si>
    <t>(2)</t>
    <phoneticPr fontId="19" type="noConversion"/>
  </si>
  <si>
    <t>PENSIONS :-</t>
    <phoneticPr fontId="19" type="noConversion"/>
  </si>
  <si>
    <t>Pensions received (other than from a properly</t>
    <phoneticPr fontId="19" type="noConversion"/>
  </si>
  <si>
    <t>constitued persion fund) including</t>
    <phoneticPr fontId="19" type="noConversion"/>
  </si>
  <si>
    <t>superannuation allowances, superannuation</t>
    <phoneticPr fontId="19" type="noConversion"/>
  </si>
  <si>
    <t>gratuities, or similar payments</t>
    <phoneticPr fontId="19" type="noConversion"/>
  </si>
  <si>
    <t>As Director :</t>
    <phoneticPr fontId="19" type="noConversion"/>
  </si>
  <si>
    <t>As Executive :</t>
    <phoneticPr fontId="19" type="noConversion"/>
  </si>
  <si>
    <t>(3)</t>
    <phoneticPr fontId="19" type="noConversion"/>
  </si>
  <si>
    <t>COMPENSATION FOR LOSS OF OFFICE</t>
    <phoneticPr fontId="19" type="noConversion"/>
  </si>
  <si>
    <t>NIL</t>
    <phoneticPr fontId="19" type="noConversion"/>
  </si>
  <si>
    <t>By the Company or a Subsidiary thereof</t>
    <phoneticPr fontId="19" type="noConversion"/>
  </si>
  <si>
    <t>By any other pension under a guarantee from or on a security provided by the Company or a Subsidiary thereof</t>
    <phoneticPr fontId="19" type="noConversion"/>
  </si>
  <si>
    <t>(B)</t>
    <phoneticPr fontId="19" type="noConversion"/>
  </si>
  <si>
    <t>LOANS :-</t>
    <phoneticPr fontId="19" type="noConversion"/>
  </si>
  <si>
    <t>Loans received during the year</t>
    <phoneticPr fontId="19" type="noConversion"/>
  </si>
  <si>
    <t>Less: Loans included above repaid during the year</t>
    <phoneticPr fontId="19" type="noConversion"/>
  </si>
  <si>
    <t>Add: Loans made in previous year(s) still</t>
    <phoneticPr fontId="19" type="noConversion"/>
  </si>
  <si>
    <t>outstanding at balance sheet date</t>
    <phoneticPr fontId="19" type="noConversion"/>
  </si>
  <si>
    <t>Sign:</t>
    <phoneticPr fontId="13" type="noConversion"/>
  </si>
  <si>
    <t>Date:</t>
    <phoneticPr fontId="13" type="noConversion"/>
  </si>
  <si>
    <t xml:space="preserve">to be disclosed under Section </t>
    <phoneticPr fontId="13" type="noConversion"/>
  </si>
  <si>
    <t xml:space="preserve"> of the Companies Ordinance;</t>
    <phoneticPr fontId="13" type="noConversion"/>
  </si>
  <si>
    <t xml:space="preserve">which were outstanding at the expiration thereof as required to be disclosed under Section </t>
    <phoneticPr fontId="13" type="noConversion"/>
  </si>
  <si>
    <t xml:space="preserve"> of the Companies Ordinance.</t>
    <phoneticPr fontId="13" type="noConversion"/>
  </si>
  <si>
    <t>Dear Sir,</t>
    <phoneticPr fontId="13" type="noConversion"/>
  </si>
  <si>
    <t xml:space="preserve"> (the "Company")</t>
    <phoneticPr fontId="13" type="noConversion"/>
  </si>
  <si>
    <t>I confirm that the Company did not establish any bank account during the period.</t>
    <phoneticPr fontId="13" type="noConversion"/>
  </si>
  <si>
    <t>Yours faithfully,</t>
    <phoneticPr fontId="13" type="noConversion"/>
  </si>
  <si>
    <t>Signature:</t>
    <phoneticPr fontId="13" type="noConversion"/>
  </si>
  <si>
    <t>Title: Director</t>
    <phoneticPr fontId="13" type="noConversion"/>
  </si>
  <si>
    <t xml:space="preserve">Messrs. </t>
    <phoneticPr fontId="13" type="noConversion"/>
  </si>
  <si>
    <t xml:space="preserve">During the course of your audit of </t>
    <phoneticPr fontId="13" type="noConversion"/>
  </si>
  <si>
    <t xml:space="preserve">financial statements for the </t>
    <phoneticPr fontId="13" type="noConversion"/>
  </si>
  <si>
    <t xml:space="preserve">ended </t>
    <phoneticPr fontId="13" type="noConversion"/>
  </si>
  <si>
    <t xml:space="preserve">, the </t>
    <phoneticPr fontId="13" type="noConversion"/>
  </si>
  <si>
    <t xml:space="preserve">following representations are made to you by management and </t>
    <phoneticPr fontId="13" type="noConversion"/>
  </si>
  <si>
    <t>.</t>
    <phoneticPr fontId="13" type="noConversion"/>
  </si>
  <si>
    <t xml:space="preserve">acknowledge as </t>
    <phoneticPr fontId="13" type="noConversion"/>
  </si>
  <si>
    <t>under the Companies Ordinance for preparing financial statements, in accordance with the Small and Medium-sized Entity Financial Reporting Standard (SME-FRS) issued by the Hong Kong Institute of Certified Public Accountants that give a true and fair view and for making accurate representations to you as auditors.</t>
    <phoneticPr fontId="13" type="noConversion"/>
  </si>
  <si>
    <t xml:space="preserve">confirm that all accounting records have been made available to you for the purposes of your audit, in accordance with your terms of engagement, and that all transactions undertaken by the company have been properly reflected and recorded in the accounting records. All other records and related information, including minutes of all management and </t>
    <phoneticPr fontId="13" type="noConversion"/>
  </si>
  <si>
    <t xml:space="preserve">meetings, have been made available to you. </t>
    <phoneticPr fontId="13" type="noConversion"/>
  </si>
  <si>
    <t>have given you unrestricted access to persons within the company in order to obtain audit evidence and have provided any additional information that you have requested for the purposes of your audit.</t>
    <phoneticPr fontId="13" type="noConversion"/>
  </si>
  <si>
    <t xml:space="preserve">confirm that significant assumptions used by </t>
    <phoneticPr fontId="13" type="noConversion"/>
  </si>
  <si>
    <t>in making accounting estimates, including those measured at fair value, are reasonable.</t>
    <phoneticPr fontId="13" type="noConversion"/>
  </si>
  <si>
    <t>confirm that all known actual or possible litigation and claims whose effects should be considered when preparing the financial statements have been disclosed to the auditors and accounted for and disclosed in accordance with SME-FRF &amp; SME-FRS.</t>
    <phoneticPr fontId="13" type="noConversion"/>
  </si>
  <si>
    <t>confirm that there have been no events since the balance sheet date which require disclosing or which would materially affect the amounts in the financial statements, other than those already disclosed or included in the financial statements.</t>
    <phoneticPr fontId="13" type="noConversion"/>
  </si>
  <si>
    <t xml:space="preserve">confirm that the related party relationships and transactions disclosed are a complete list of such relationships and transactions and that </t>
    <phoneticPr fontId="13" type="noConversion"/>
  </si>
  <si>
    <t>not aware of any further related parties or transactions.</t>
    <phoneticPr fontId="13" type="noConversion"/>
  </si>
  <si>
    <t xml:space="preserve">confirm that all related party relationships and transactions have been accounted for and disclosed in accordance with the Small and Medium-sized Entity Financial Reporting Standard (SME-FRS). </t>
    <phoneticPr fontId="13" type="noConversion"/>
  </si>
  <si>
    <t>understand that 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t>
    <phoneticPr fontId="13" type="noConversion"/>
  </si>
  <si>
    <t xml:space="preserve">confirm that the company has had, at no time during the </t>
    <phoneticPr fontId="13" type="noConversion"/>
  </si>
  <si>
    <t xml:space="preserve"> , any arrangement, transaction or agreement to provide credit facilities (including loans, quasi-loans or credit transactions) for </t>
    <phoneticPr fontId="13" type="noConversion"/>
  </si>
  <si>
    <t>, nor to guarantee nor provide security for such matters, except as already disclosed in the financial statements.</t>
    <phoneticPr fontId="13" type="noConversion"/>
  </si>
  <si>
    <t>confirm that the company has not contracted for any capital expenditure other than as disclosed in the financial statements.</t>
    <phoneticPr fontId="13" type="noConversion"/>
  </si>
  <si>
    <t xml:space="preserve">confirm that </t>
    <phoneticPr fontId="13" type="noConversion"/>
  </si>
  <si>
    <t>not aware of any possible or actual instance of non-compliance with those laws and regulations which provide a legal framework within which the company conducts its business and which are central to the company's ability to conduct its business and as disclosed in the financial statements.</t>
    <phoneticPr fontId="13" type="noConversion"/>
  </si>
  <si>
    <t xml:space="preserve">acknowledge </t>
    <phoneticPr fontId="13" type="noConversion"/>
  </si>
  <si>
    <t xml:space="preserve">responsibility for the design and implementation of controls to prevent and detect fraud. </t>
    <phoneticPr fontId="13" type="noConversion"/>
  </si>
  <si>
    <t xml:space="preserve">disclosed to you the results of </t>
    <phoneticPr fontId="13" type="noConversion"/>
  </si>
  <si>
    <t>risk assessment of the risk of fraud in the business.</t>
    <phoneticPr fontId="13" type="noConversion"/>
  </si>
  <si>
    <t xml:space="preserve">confirm that there have been no actual or suspected instances of fraud involving management or employees who have a significant role in internal control of that could have a material effect on the financial statements. </t>
    <phoneticPr fontId="13" type="noConversion"/>
  </si>
  <si>
    <t xml:space="preserve">also confirm that </t>
    <phoneticPr fontId="13" type="noConversion"/>
  </si>
  <si>
    <t>not aware of any allegations of fraud by former employees, regulators or others.</t>
    <phoneticPr fontId="13" type="noConversion"/>
  </si>
  <si>
    <t xml:space="preserve">confirm that, in our opinion, the company is a going concern as the </t>
    <phoneticPr fontId="13" type="noConversion"/>
  </si>
  <si>
    <t xml:space="preserve"> confirmed </t>
    <phoneticPr fontId="13" type="noConversion"/>
  </si>
  <si>
    <t xml:space="preserve"> intention to provide continuing support to the Company.</t>
    <phoneticPr fontId="13" type="noConversion"/>
  </si>
  <si>
    <t>confirm that there is no unadjusted misstatement revealed in this audit.</t>
    <phoneticPr fontId="13" type="noConversion"/>
  </si>
  <si>
    <t>Date</t>
    <phoneticPr fontId="13" type="noConversion"/>
  </si>
  <si>
    <t>The Board of Directors</t>
  </si>
  <si>
    <t>Dear Sirs,</t>
  </si>
  <si>
    <t>Objective of services</t>
  </si>
  <si>
    <t>Responsibilities of Directors</t>
  </si>
  <si>
    <t>Our audit will be conducted on the basis that you acknowledge and understand that you have responsibility:</t>
    <phoneticPr fontId="13" type="noConversion"/>
  </si>
  <si>
    <t xml:space="preserve">You have requested that we audit the financial statements of </t>
    <phoneticPr fontId="13" type="noConversion"/>
  </si>
  <si>
    <t xml:space="preserve">a.   </t>
    <phoneticPr fontId="13" type="noConversion"/>
  </si>
  <si>
    <t>To maintain proper books of accounts of the company;</t>
    <phoneticPr fontId="13" type="noConversion"/>
  </si>
  <si>
    <t>. We are pleased to confirm our acceptance and our understanding of this audit engagement by means of this letter. Our audit will be conducted with the objective of our expressing an opinion on the financial statements.</t>
    <phoneticPr fontId="13" type="noConversion"/>
  </si>
  <si>
    <t xml:space="preserve">b.   </t>
    <phoneticPr fontId="13" type="noConversion"/>
  </si>
  <si>
    <t xml:space="preserve">For the preparation of financial statements which give a true and fair view in accordance with the </t>
    <phoneticPr fontId="13" type="noConversion"/>
  </si>
  <si>
    <t xml:space="preserve">Small and Medium-sized Entity Financial Reporting Standard (SME-FRS) and have been prepared in </t>
    <phoneticPr fontId="13" type="noConversion"/>
  </si>
  <si>
    <t>accordance with the Companies Ordinance;</t>
    <phoneticPr fontId="13" type="noConversion"/>
  </si>
  <si>
    <t>b</t>
    <phoneticPr fontId="13" type="noConversion"/>
  </si>
  <si>
    <t xml:space="preserve">c.   </t>
    <phoneticPr fontId="13" type="noConversion"/>
  </si>
  <si>
    <t>For such internal control as you determine is necessary to enable the preparation of financial statements</t>
    <phoneticPr fontId="13" type="noConversion"/>
  </si>
  <si>
    <t xml:space="preserve">that are free from material misstatement, whether due to fraud or error; and  </t>
    <phoneticPr fontId="13" type="noConversion"/>
  </si>
  <si>
    <t xml:space="preserve">d.   </t>
    <phoneticPr fontId="13" type="noConversion"/>
  </si>
  <si>
    <t>To provide us with:</t>
    <phoneticPr fontId="13" type="noConversion"/>
  </si>
  <si>
    <t xml:space="preserve">(i)  </t>
    <phoneticPr fontId="13" type="noConversion"/>
  </si>
  <si>
    <t xml:space="preserve">Access to all information of which you are aware that is relevant to the preparation of the financial </t>
    <phoneticPr fontId="13" type="noConversion"/>
  </si>
  <si>
    <t>statements such as company's books of account and all other relevant records and documentation,</t>
    <phoneticPr fontId="13" type="noConversion"/>
  </si>
  <si>
    <t>including minutes of all management and shareholders' meetings and other matters;</t>
    <phoneticPr fontId="13" type="noConversion"/>
  </si>
  <si>
    <t xml:space="preserve">(ii)  </t>
    <phoneticPr fontId="13" type="noConversion"/>
  </si>
  <si>
    <t>Additional information that we may request from you for the purpose of the audit; and</t>
    <phoneticPr fontId="13" type="noConversion"/>
  </si>
  <si>
    <t xml:space="preserve">(iii)  </t>
    <phoneticPr fontId="13" type="noConversion"/>
  </si>
  <si>
    <t>Unrestricted access to persons within the company from whom we determine it necessary to obtain</t>
    <phoneticPr fontId="13" type="noConversion"/>
  </si>
  <si>
    <t xml:space="preserve">audit evidence. </t>
    <phoneticPr fontId="13" type="noConversion"/>
  </si>
  <si>
    <t>(Page1 of 4)</t>
    <phoneticPr fontId="13" type="noConversion"/>
  </si>
  <si>
    <t>Address:</t>
    <phoneticPr fontId="13" type="noConversion"/>
  </si>
  <si>
    <t>Responsibilities of the auditor</t>
    <phoneticPr fontId="13" type="noConversion"/>
  </si>
  <si>
    <t>We have a statutory responsibility to report to the members whether in our opinion the financial statements</t>
    <phoneticPr fontId="13" type="noConversion"/>
  </si>
  <si>
    <t>give a true and fair view and whether they have been properly prepared in accordance with the Companies</t>
    <phoneticPr fontId="13" type="noConversion"/>
  </si>
  <si>
    <t>Ordinance. In arriving at our opinion, we are required to consider the following matters, and to report on any in</t>
    <phoneticPr fontId="13" type="noConversion"/>
  </si>
  <si>
    <t>respect of which we are not satisfied:</t>
    <phoneticPr fontId="13" type="noConversion"/>
  </si>
  <si>
    <t>a.</t>
    <phoneticPr fontId="13" type="noConversion"/>
  </si>
  <si>
    <t>whether proper books of account have been kept by the company and proper returns adequate for our audit</t>
    <phoneticPr fontId="13" type="noConversion"/>
  </si>
  <si>
    <t>have been received from branches not visited by us;</t>
    <phoneticPr fontId="13" type="noConversion"/>
  </si>
  <si>
    <t>b.</t>
    <phoneticPr fontId="13" type="noConversion"/>
  </si>
  <si>
    <t>whether the company's balance sheet and profit and loss account are in agreement with the books of account</t>
    <phoneticPr fontId="13" type="noConversion"/>
  </si>
  <si>
    <t>and returns; and</t>
    <phoneticPr fontId="13" type="noConversion"/>
  </si>
  <si>
    <t>c.</t>
    <phoneticPr fontId="13" type="noConversion"/>
  </si>
  <si>
    <t xml:space="preserve">whether we have obtained all the information and explanations which we consider necessary for the purposes </t>
    <phoneticPr fontId="13" type="noConversion"/>
  </si>
  <si>
    <t>of our audit.</t>
    <phoneticPr fontId="13" type="noConversion"/>
  </si>
  <si>
    <t>In addition, there are certain other matters which, according to the circumstances, may need to be dealt with in</t>
    <phoneticPr fontId="13" type="noConversion"/>
  </si>
  <si>
    <t>our report. For example, where the financial statements do not give details of Directors' remuneration or of loans</t>
    <phoneticPr fontId="13" type="noConversion"/>
  </si>
  <si>
    <t xml:space="preserve"> to officers, the Companies Ordinance requires us to disclose such matters in our report.</t>
    <phoneticPr fontId="13" type="noConversion"/>
  </si>
  <si>
    <t>We have a professional responsibility to report if the financial statements do not comply in any material respect</t>
    <phoneticPr fontId="13" type="noConversion"/>
  </si>
  <si>
    <t>with Hong Kong Financial Reporting Standards, unless in our opinion the noncompliance is justified in the</t>
    <phoneticPr fontId="13" type="noConversion"/>
  </si>
  <si>
    <t>circumstances. In determining whether or not the departure is justified, we consider:</t>
    <phoneticPr fontId="13" type="noConversion"/>
  </si>
  <si>
    <t>whether the departure is required in order for the financial statements to give a true and fair view; and</t>
    <phoneticPr fontId="13" type="noConversion"/>
  </si>
  <si>
    <t xml:space="preserve">b. </t>
    <phoneticPr fontId="13" type="noConversion"/>
  </si>
  <si>
    <t>whether adequate disclosure has been made concerning the departure.</t>
    <phoneticPr fontId="13" type="noConversion"/>
  </si>
  <si>
    <t>Scope of audit</t>
    <phoneticPr fontId="13" type="noConversion"/>
  </si>
  <si>
    <t>Our audit will be conducted in accordance with Hong Kong Standards on Auditing (HKSAs) issued by the Hong</t>
    <phoneticPr fontId="13" type="noConversion"/>
  </si>
  <si>
    <t>Kong Institute of Certified Public Accountants.  Those standards require that we comply with ethical</t>
    <phoneticPr fontId="13" type="noConversion"/>
  </si>
  <si>
    <t>requirements and plan and perform the audit to obtain reasonable assurance about whether the financial</t>
    <phoneticPr fontId="13" type="noConversion"/>
  </si>
  <si>
    <t>statements are free from material misstatement. An audit involves performing procedures to obtain audit</t>
    <phoneticPr fontId="13" type="noConversion"/>
  </si>
  <si>
    <t>evidence about the amounts and disclosures in the financial statements. The procedures selected depend on</t>
    <phoneticPr fontId="13" type="noConversion"/>
  </si>
  <si>
    <t>the auditor’s judgment, including the assessment of the risks of material misstatement of the financial statements,</t>
    <phoneticPr fontId="13" type="noConversion"/>
  </si>
  <si>
    <t>whether due to fraud or error. An audit also includes evaluating the appropriateness of accounting policies used</t>
    <phoneticPr fontId="13" type="noConversion"/>
  </si>
  <si>
    <t>and the reasonableness of accounting estimates made by you, as well as evaluating the overall presentation</t>
    <phoneticPr fontId="13" type="noConversion"/>
  </si>
  <si>
    <t>of the financial statements.</t>
    <phoneticPr fontId="13" type="noConversion"/>
  </si>
  <si>
    <t xml:space="preserve">Because of the inherent limitations of an audit, together with the inherent limitations of internal control, there </t>
    <phoneticPr fontId="13" type="noConversion"/>
  </si>
  <si>
    <t>is an unavoidable risk that some material misstatements may not be detected, even though the audit is</t>
    <phoneticPr fontId="13" type="noConversion"/>
  </si>
  <si>
    <t>properly planned and performed in accordance with HKSAs.</t>
    <phoneticPr fontId="13" type="noConversion"/>
  </si>
  <si>
    <t xml:space="preserve">In making our risk assessments, we consider internal control relevant to the entity’s preparation of the </t>
    <phoneticPr fontId="13" type="noConversion"/>
  </si>
  <si>
    <t>(Page2 of 4)</t>
    <phoneticPr fontId="13" type="noConversion"/>
  </si>
  <si>
    <t xml:space="preserve">financial statements in order to design audit procedures that are appropriate in the circumstances, but </t>
    <phoneticPr fontId="13" type="noConversion"/>
  </si>
  <si>
    <t xml:space="preserve">not for the purpose of expressing an opinion on the effectiveness of the entity’s internal control. </t>
    <phoneticPr fontId="13" type="noConversion"/>
  </si>
  <si>
    <t xml:space="preserve">However, we will communicate to you in writing concerning any significant deficiencies in internal </t>
    <phoneticPr fontId="13" type="noConversion"/>
  </si>
  <si>
    <t xml:space="preserve">control relevant to the audit of the financial statements that we have identified during the audit.  Any </t>
    <phoneticPr fontId="13" type="noConversion"/>
  </si>
  <si>
    <t xml:space="preserve">such report may not be provided to third parties without our prior written consent. Such consent will be </t>
    <phoneticPr fontId="13" type="noConversion"/>
  </si>
  <si>
    <t xml:space="preserve">granted only on the basis that such reports are not prepared with the interests of anyone other than the </t>
    <phoneticPr fontId="13" type="noConversion"/>
  </si>
  <si>
    <t>company in mind and that we accept no duty or responsibility to any other party as concerns the reports.</t>
    <phoneticPr fontId="13" type="noConversion"/>
  </si>
  <si>
    <t xml:space="preserve">As part of our audit procedures, we will request you to provide written confirmation concerning </t>
    <phoneticPr fontId="13" type="noConversion"/>
  </si>
  <si>
    <t xml:space="preserve">representations which we have received from you during the course of the audit on matters having a </t>
    <phoneticPr fontId="13" type="noConversion"/>
  </si>
  <si>
    <t>material effect on the financial statements.</t>
    <phoneticPr fontId="13" type="noConversion"/>
  </si>
  <si>
    <t xml:space="preserve">In order to assist us with the examination of your financial statements, we shall request sight of all </t>
    <phoneticPr fontId="13" type="noConversion"/>
  </si>
  <si>
    <t>documents or statements, including the chairman's statement, operating and financial review and the</t>
    <phoneticPr fontId="13" type="noConversion"/>
  </si>
  <si>
    <t xml:space="preserve">Directors' report, which are due to be issued with the financial statements. We are also entitled to attend </t>
    <phoneticPr fontId="13" type="noConversion"/>
  </si>
  <si>
    <t>all general meetings of the company and to receive notice of all such meetings.</t>
    <phoneticPr fontId="13" type="noConversion"/>
  </si>
  <si>
    <t xml:space="preserve">The responsibility for safeguarding the assets of the company and for the prevention and detection of </t>
    <phoneticPr fontId="13" type="noConversion"/>
  </si>
  <si>
    <t xml:space="preserve">fraud, error and non-compliance with law or regulations rests with you. However, we shall endeavour to </t>
    <phoneticPr fontId="13" type="noConversion"/>
  </si>
  <si>
    <t xml:space="preserve">plan our audit so that we have a reasonable expectation of detecting material misstatements in the </t>
    <phoneticPr fontId="13" type="noConversion"/>
  </si>
  <si>
    <t xml:space="preserve">financial statements or books of account (including those resulting from fraud, error or non-compliance </t>
    <phoneticPr fontId="13" type="noConversion"/>
  </si>
  <si>
    <t xml:space="preserve">with law or regulations), but our examination should not be relied upon to disclose all such material </t>
    <phoneticPr fontId="13" type="noConversion"/>
  </si>
  <si>
    <t>misstatements or frauds, errors or instances of non-compliance as may exist.</t>
    <phoneticPr fontId="13" type="noConversion"/>
  </si>
  <si>
    <t xml:space="preserve">We shall not be treated as having notice, for the purposes of our audit responsibilities, of information </t>
    <phoneticPr fontId="13" type="noConversion"/>
  </si>
  <si>
    <t>provided to members of our firm other than those engaged on the audit.</t>
    <phoneticPr fontId="13" type="noConversion"/>
  </si>
  <si>
    <t xml:space="preserve">Once we have issued our report we have no further direct responsibility in relation to the financial </t>
    <phoneticPr fontId="13" type="noConversion"/>
  </si>
  <si>
    <t>statements for that period. However, we expect that you will inform us of any material event occurring</t>
    <phoneticPr fontId="13" type="noConversion"/>
  </si>
  <si>
    <t xml:space="preserve">between the date of our report and that of the Annual General Meeting which may affect the financial </t>
    <phoneticPr fontId="13" type="noConversion"/>
  </si>
  <si>
    <t>statements.</t>
    <phoneticPr fontId="13" type="noConversion"/>
  </si>
  <si>
    <t>Reporting</t>
    <phoneticPr fontId="13" type="noConversion"/>
  </si>
  <si>
    <t>The form and content of our report may need to be amended in the light of our audit findings.</t>
    <phoneticPr fontId="13" type="noConversion"/>
  </si>
  <si>
    <t>(Page3 of 4)</t>
    <phoneticPr fontId="13" type="noConversion"/>
  </si>
  <si>
    <t>Fees</t>
    <phoneticPr fontId="13" type="noConversion"/>
  </si>
  <si>
    <t xml:space="preserve">Our fees are computed on the basis of the time spent on your affairs by the partners and our staff and on </t>
    <phoneticPr fontId="13" type="noConversion"/>
  </si>
  <si>
    <t xml:space="preserve">the levels of skill and responsibility involved plus out-of-pocket expenses. Unless otherwise agreed, our </t>
    <phoneticPr fontId="13" type="noConversion"/>
  </si>
  <si>
    <t>fees will be billed at appropriate intervals during the course of the audit and will be due on presentation.</t>
    <phoneticPr fontId="13" type="noConversion"/>
  </si>
  <si>
    <t>Agreement of terms</t>
    <phoneticPr fontId="13" type="noConversion"/>
  </si>
  <si>
    <t xml:space="preserve">Once it has been agreed, this letter will remain effective, from one audit appointment to another, until it </t>
    <phoneticPr fontId="13" type="noConversion"/>
  </si>
  <si>
    <t xml:space="preserve">is replaced. Please sign and return the enclosed copy of this letter to indicate your acknowledgement of, </t>
    <phoneticPr fontId="13" type="noConversion"/>
  </si>
  <si>
    <t xml:space="preserve">and agreement with, the arrangements for our audit of the financial statements including our respective </t>
    <phoneticPr fontId="13" type="noConversion"/>
  </si>
  <si>
    <t>responsibilities.</t>
    <phoneticPr fontId="13" type="noConversion"/>
  </si>
  <si>
    <t>We agree to the terms of this letter.</t>
    <phoneticPr fontId="13" type="noConversion"/>
  </si>
  <si>
    <t>(Signed)</t>
    <phoneticPr fontId="13" type="noConversion"/>
  </si>
  <si>
    <t>Director, for and on behalf of the board of</t>
    <phoneticPr fontId="13" type="noConversion"/>
  </si>
  <si>
    <t>(Page4 of 4)</t>
    <phoneticPr fontId="13" type="noConversion"/>
  </si>
  <si>
    <t>The Board of Director</t>
    <phoneticPr fontId="13" type="noConversion"/>
  </si>
  <si>
    <t>Dear Sirs,</t>
    <phoneticPr fontId="13" type="noConversion"/>
  </si>
  <si>
    <t>LETTER OF FINANCIAL SUPPORT</t>
    <phoneticPr fontId="13" type="noConversion"/>
  </si>
  <si>
    <t>Alternative: When shareholder is a Company which is other than HK Co, and there is amount due to the holding company.</t>
    <phoneticPr fontId="13" type="noConversion"/>
  </si>
  <si>
    <t>We hereby confirm that I will make available to the Company whatever financial support is required to enable the Company to meet in full its financial obligations, also we will not call the loan, amount due from the Company amounted to HK$1,461,250, until further notice.</t>
    <phoneticPr fontId="13" type="noConversion"/>
  </si>
  <si>
    <t>__________________________</t>
    <phoneticPr fontId="13" type="noConversion"/>
  </si>
  <si>
    <t xml:space="preserve"> recognise that as at </t>
    <phoneticPr fontId="13" type="noConversion"/>
  </si>
  <si>
    <t xml:space="preserve">, </t>
    <phoneticPr fontId="13" type="noConversion"/>
  </si>
  <si>
    <t xml:space="preserve"> (the "Company") had net </t>
    <phoneticPr fontId="13" type="noConversion"/>
  </si>
  <si>
    <t xml:space="preserve">liabilities of </t>
    <phoneticPr fontId="13" type="noConversion"/>
  </si>
  <si>
    <t xml:space="preserve"> hereby confirm that </t>
    <phoneticPr fontId="13" type="noConversion"/>
  </si>
  <si>
    <t xml:space="preserve"> will make available to the Company whatever financial support is required to enable the Company to meet in full its financial obligations.</t>
    <phoneticPr fontId="13" type="noConversion"/>
  </si>
  <si>
    <t>Shareholder</t>
    <phoneticPr fontId="13" type="noConversion"/>
  </si>
  <si>
    <t>To whom it may concern</t>
    <phoneticPr fontId="13" type="noConversion"/>
  </si>
  <si>
    <t>Dear Sir/Madam,</t>
    <phoneticPr fontId="13" type="noConversion"/>
  </si>
  <si>
    <t>Sales and purchases transactions</t>
  </si>
  <si>
    <t/>
  </si>
  <si>
    <t xml:space="preserve">We confirm that the sales and purchases transactions during the </t>
    <phoneticPr fontId="13" type="noConversion"/>
  </si>
  <si>
    <t xml:space="preserve">were wholly transported directly through the suppliers to the customers. No delivery notes were </t>
    <phoneticPr fontId="13" type="noConversion"/>
  </si>
  <si>
    <t>issued by the Company.</t>
    <phoneticPr fontId="13" type="noConversion"/>
  </si>
  <si>
    <t xml:space="preserve">Also, we confirm that no stock was kept by the Company as at </t>
    <phoneticPr fontId="13" type="noConversion"/>
  </si>
  <si>
    <t>AUDIT CONFIRMATION</t>
  </si>
  <si>
    <t>FOR DIRECTORS AND RELATED PARTIES</t>
  </si>
  <si>
    <t xml:space="preserve">Name of director / related party: </t>
    <phoneticPr fontId="13" type="noConversion"/>
  </si>
  <si>
    <t>Name of the company under examination:</t>
    <phoneticPr fontId="13" type="noConversion"/>
  </si>
  <si>
    <t>Relationship with the company concerned:</t>
    <phoneticPr fontId="13" type="noConversion"/>
  </si>
  <si>
    <t>We find that the transactions / balances on your account are as follows:-</t>
    <phoneticPr fontId="13" type="noConversion"/>
  </si>
  <si>
    <t xml:space="preserve">In the course of our regular examination of the account of the above company for the </t>
    <phoneticPr fontId="13" type="noConversion"/>
  </si>
  <si>
    <t>Terms of the account</t>
  </si>
  <si>
    <t>ended</t>
    <phoneticPr fontId="13" type="noConversion"/>
  </si>
  <si>
    <t>Total amount of</t>
  </si>
  <si>
    <t>Amount outstanding at</t>
  </si>
  <si>
    <t>including security,</t>
  </si>
  <si>
    <t>Account nature</t>
  </si>
  <si>
    <t>transactions / Maximum</t>
  </si>
  <si>
    <t xml:space="preserve">end of year: </t>
    <phoneticPr fontId="13" type="noConversion"/>
  </si>
  <si>
    <t>interest rate and</t>
  </si>
  <si>
    <t>repayment term</t>
  </si>
  <si>
    <t>NIL</t>
  </si>
  <si>
    <t>end of year: Due by /</t>
  </si>
  <si>
    <t>advance* during the year</t>
  </si>
  <si>
    <t>(Due to)* the company</t>
  </si>
  <si>
    <r>
      <t xml:space="preserve">   </t>
    </r>
    <r>
      <rPr>
        <sz val="10"/>
        <color theme="1"/>
        <rFont val="Times New Roman"/>
        <family val="1"/>
      </rPr>
      <t>repayment term</t>
    </r>
    <r>
      <rPr>
        <sz val="10.5"/>
        <color theme="1"/>
        <rFont val="Times New Roman"/>
        <family val="1"/>
      </rPr>
      <t xml:space="preserve"> </t>
    </r>
  </si>
  <si>
    <t>N/A</t>
  </si>
  <si>
    <t>* Delete whichever not applicable</t>
  </si>
  <si>
    <t xml:space="preserve">If the above information agrees with your records, please confirm by signing in the space provided </t>
    <phoneticPr fontId="13" type="noConversion"/>
  </si>
  <si>
    <t>below and returning this letter to us in the enclosed envelope.</t>
    <phoneticPr fontId="13" type="noConversion"/>
  </si>
  <si>
    <t>Yours faithfully,</t>
  </si>
  <si>
    <t>Confirmed:</t>
    <phoneticPr fontId="13" type="noConversion"/>
  </si>
  <si>
    <t>Date:</t>
  </si>
  <si>
    <t xml:space="preserve">                     </t>
  </si>
  <si>
    <t>Date:</t>
    <phoneticPr fontId="19" type="noConversion"/>
  </si>
  <si>
    <t>Dear Sir,</t>
    <phoneticPr fontId="19" type="noConversion"/>
  </si>
  <si>
    <t>CASH CERTIFICATE</t>
    <phoneticPr fontId="19" type="noConversion"/>
  </si>
  <si>
    <t>Yours faithfully,</t>
    <phoneticPr fontId="19" type="noConversion"/>
  </si>
  <si>
    <t xml:space="preserve">For and on behalf of </t>
    <phoneticPr fontId="13" type="noConversion"/>
  </si>
  <si>
    <t>Director</t>
    <phoneticPr fontId="19" type="noConversion"/>
  </si>
  <si>
    <t xml:space="preserve">Messrs. </t>
  </si>
  <si>
    <t xml:space="preserve">We hereby certify that the cash on hand of </t>
    <phoneticPr fontId="13" type="noConversion"/>
  </si>
  <si>
    <t xml:space="preserve"> at </t>
    <phoneticPr fontId="13" type="noConversion"/>
  </si>
  <si>
    <t xml:space="preserve"> amount to </t>
    <phoneticPr fontId="13" type="noConversion"/>
  </si>
  <si>
    <t>New VBA function is added</t>
    <phoneticPr fontId="13" type="noConversion"/>
  </si>
  <si>
    <t xml:space="preserve"> Only </t>
    <phoneticPr fontId="13" type="noConversion"/>
  </si>
  <si>
    <t>(</t>
    <phoneticPr fontId="13" type="noConversion"/>
  </si>
  <si>
    <t xml:space="preserve"> )</t>
    <phoneticPr fontId="13" type="noConversion"/>
  </si>
  <si>
    <t xml:space="preserve"> was correctly stated.</t>
    <phoneticPr fontId="13" type="noConversion"/>
  </si>
  <si>
    <t>359(1)(a)</t>
    <phoneticPr fontId="13" type="noConversion"/>
  </si>
  <si>
    <t xml:space="preserve">Accounts for the </t>
    <phoneticPr fontId="13" type="noConversion"/>
  </si>
  <si>
    <t xml:space="preserve">, being the </t>
    <phoneticPr fontId="13" type="noConversion"/>
  </si>
  <si>
    <t xml:space="preserve"> of </t>
  </si>
  <si>
    <t xml:space="preserve"> hereby agree to prepare the Company's accounts and the </t>
    <phoneticPr fontId="13" type="noConversion"/>
  </si>
  <si>
    <t xml:space="preserve">report for the captioned </t>
    <phoneticPr fontId="13" type="noConversion"/>
  </si>
  <si>
    <t xml:space="preserve"> in accordance with the provisions of </t>
    <phoneticPr fontId="13" type="noConversion"/>
  </si>
  <si>
    <t xml:space="preserve">Signed by the </t>
    <phoneticPr fontId="13" type="noConversion"/>
  </si>
  <si>
    <t xml:space="preserve"> of the Company</t>
  </si>
  <si>
    <t xml:space="preserve">Date: </t>
    <phoneticPr fontId="13" type="noConversion"/>
  </si>
  <si>
    <t>Tax File No.:</t>
    <phoneticPr fontId="13" type="noConversion"/>
  </si>
  <si>
    <t>The Assessor</t>
  </si>
  <si>
    <t>Profits Tax Section</t>
  </si>
  <si>
    <t>Inland Revenue Department</t>
  </si>
  <si>
    <t>Hong Kong</t>
  </si>
  <si>
    <t>Dear Sir,</t>
  </si>
  <si>
    <t>Appointment of Authorized Tax Representatives</t>
  </si>
  <si>
    <t>Yours truly,</t>
  </si>
  <si>
    <t>For and on behalf of</t>
  </si>
  <si>
    <t>Director</t>
  </si>
  <si>
    <t xml:space="preserve">              We have pleasure to inform you that we have appointed </t>
    <phoneticPr fontId="13" type="noConversion"/>
  </si>
  <si>
    <t xml:space="preserve"> (BR: </t>
    <phoneticPr fontId="13" type="noConversion"/>
  </si>
  <si>
    <t>), as our tax representatives in respect of all our tax affairs with immediate effect.</t>
    <phoneticPr fontId="13" type="noConversion"/>
  </si>
  <si>
    <t xml:space="preserve">Should there be any queries, please feel free to contact our representative at </t>
    <phoneticPr fontId="13" type="noConversion"/>
  </si>
  <si>
    <t xml:space="preserve">FILE NO. : </t>
    <phoneticPr fontId="13" type="noConversion"/>
  </si>
  <si>
    <t>COMPUTATION</t>
    <phoneticPr fontId="19" type="noConversion"/>
  </si>
  <si>
    <t>PROFITS TAX</t>
    <phoneticPr fontId="19" type="noConversion"/>
  </si>
  <si>
    <t xml:space="preserve">(Basis Period: </t>
    <phoneticPr fontId="13" type="noConversion"/>
  </si>
  <si>
    <t>Per Income Statement</t>
    <phoneticPr fontId="19" type="noConversion"/>
  </si>
  <si>
    <t>Inactive?</t>
    <phoneticPr fontId="13" type="noConversion"/>
  </si>
  <si>
    <t>If inactive = 1, not inactive = 0</t>
    <phoneticPr fontId="13" type="noConversion"/>
  </si>
  <si>
    <t xml:space="preserve">   attached herewith</t>
    <phoneticPr fontId="19" type="noConversion"/>
  </si>
  <si>
    <t xml:space="preserve">For the Year of Assessment </t>
    <phoneticPr fontId="13" type="noConversion"/>
  </si>
  <si>
    <t xml:space="preserve">Note: The Company was inactive during the </t>
    <phoneticPr fontId="13" type="noConversion"/>
  </si>
  <si>
    <t xml:space="preserve">for the year of assessment </t>
    <phoneticPr fontId="13" type="noConversion"/>
  </si>
  <si>
    <t>TAX LOSS B/F</t>
    <phoneticPr fontId="13" type="noConversion"/>
  </si>
  <si>
    <t xml:space="preserve">FINAL ASSESSMENT </t>
    <phoneticPr fontId="13" type="noConversion"/>
  </si>
  <si>
    <t>Final assessment:-</t>
    <phoneticPr fontId="19" type="noConversion"/>
  </si>
  <si>
    <t xml:space="preserve"> AND PROVISIONAL PAYMENT </t>
    <phoneticPr fontId="13" type="noConversion"/>
  </si>
  <si>
    <t>Tax @ 16.5%</t>
    <phoneticPr fontId="19" type="noConversion"/>
  </si>
  <si>
    <t>/</t>
    <phoneticPr fontId="13" type="noConversion"/>
  </si>
  <si>
    <t xml:space="preserve">Assessable profit for the year of assessment </t>
    <phoneticPr fontId="13" type="noConversion"/>
  </si>
  <si>
    <t>Provisional payment:-</t>
    <phoneticPr fontId="19" type="noConversion"/>
  </si>
  <si>
    <t>Total tax payable</t>
    <phoneticPr fontId="19" type="noConversion"/>
  </si>
  <si>
    <t>AUDIT ADJUSTMENT</t>
    <phoneticPr fontId="19" type="noConversion"/>
  </si>
  <si>
    <t>Dr.</t>
    <phoneticPr fontId="19" type="noConversion"/>
  </si>
  <si>
    <t>Cr.</t>
    <phoneticPr fontId="19" type="noConversion"/>
  </si>
  <si>
    <t xml:space="preserve"> Increase/
(decrease) in </t>
    <phoneticPr fontId="13" type="noConversion"/>
  </si>
  <si>
    <t>Tax expenses</t>
    <phoneticPr fontId="19" type="noConversion"/>
  </si>
  <si>
    <t>Tax payable</t>
    <phoneticPr fontId="19" type="noConversion"/>
  </si>
  <si>
    <t>as per client's management accounts</t>
  </si>
  <si>
    <t>as per audit account</t>
    <phoneticPr fontId="13" type="noConversion"/>
  </si>
  <si>
    <t xml:space="preserve">To record the tax expenses for the </t>
    <phoneticPr fontId="13" type="noConversion"/>
  </si>
  <si>
    <t>Approved by:</t>
    <phoneticPr fontId="19" type="noConversion"/>
  </si>
  <si>
    <t xml:space="preserve">REQUEST FOR BANK CONFIRMATION </t>
    <phoneticPr fontId="13" type="noConversion"/>
  </si>
  <si>
    <t>OF INFORMATION FOR AUDIT PURPOSES</t>
    <phoneticPr fontId="13" type="noConversion"/>
  </si>
  <si>
    <t xml:space="preserve">Please return direct to: </t>
    <phoneticPr fontId="13" type="noConversion"/>
  </si>
  <si>
    <t>Our ref.:</t>
    <phoneticPr fontId="13" type="noConversion"/>
  </si>
  <si>
    <t xml:space="preserve">Tel: </t>
    <phoneticPr fontId="13" type="noConversion"/>
  </si>
  <si>
    <t>To: The Manager</t>
    <phoneticPr fontId="13" type="noConversion"/>
  </si>
  <si>
    <t xml:space="preserve">        </t>
    <phoneticPr fontId="13" type="noConversion"/>
  </si>
  <si>
    <t xml:space="preserve">        Fax: </t>
    <phoneticPr fontId="13" type="noConversion"/>
  </si>
  <si>
    <t xml:space="preserve">A/C  </t>
    <phoneticPr fontId="13" type="noConversion"/>
  </si>
  <si>
    <t>(Customer’s Name)</t>
    <phoneticPr fontId="13" type="noConversion"/>
  </si>
  <si>
    <t xml:space="preserve">For the purposes of our annual audit please complete the attached form to show the following information relating to our affairs  </t>
    <phoneticPr fontId="13" type="noConversion"/>
  </si>
  <si>
    <t xml:space="preserve">with your bank as at the close of business on </t>
    <phoneticPr fontId="13" type="noConversion"/>
  </si>
  <si>
    <t xml:space="preserve">.  For each item, please state any factors which may limit the </t>
    <phoneticPr fontId="13" type="noConversion"/>
  </si>
  <si>
    <t>completeness of your reply; if there is nothing to report, stated “NONE”.</t>
    <phoneticPr fontId="13" type="noConversion"/>
  </si>
  <si>
    <t xml:space="preserve">Please confirm the position by completing the section headed “Bankers’ Confirmation ” on the final page of this request.  You are hereby authorized to return this request after completion and together with any remarks you may have to our auditors, Messrs. </t>
    <phoneticPr fontId="13" type="noConversion"/>
  </si>
  <si>
    <t>, at the address above.</t>
    <phoneticPr fontId="13" type="noConversion"/>
  </si>
  <si>
    <t xml:space="preserve">You are hereby authorized to debit my charge for this service to our account number    </t>
    <phoneticPr fontId="13" type="noConversion"/>
  </si>
  <si>
    <t>It is understood that your reply to this request will in no way prejudice your rights in respect of your General Lien as Bankers.</t>
    <phoneticPr fontId="13" type="noConversion"/>
  </si>
  <si>
    <t>(Authorised Signature and Chop)</t>
    <phoneticPr fontId="13" type="noConversion"/>
  </si>
  <si>
    <t>Item 1   Deposits, Fixed or at Call held in your books</t>
  </si>
  <si>
    <t>Receipt No.</t>
  </si>
  <si>
    <t>Date</t>
  </si>
  <si>
    <t>Amount</t>
  </si>
  <si>
    <t>Interest Rate</t>
  </si>
  <si>
    <t>Due Date</t>
  </si>
  <si>
    <t>Local Currency</t>
  </si>
  <si>
    <t>Foreign Currency</t>
  </si>
  <si>
    <t>Item 2   Savings Accounts held in your books</t>
  </si>
  <si>
    <t>Account No.</t>
  </si>
  <si>
    <t>Balance</t>
  </si>
  <si>
    <t>- 1 -</t>
    <phoneticPr fontId="13" type="noConversion"/>
  </si>
  <si>
    <t>Item 3   Current Account Balance/s held in your books. Please state whether in credit (Cr) or overdrawn (Dr)</t>
    <phoneticPr fontId="13" type="noConversion"/>
  </si>
  <si>
    <t>Item 4   Facilities granted to us. Please state by types of facilities</t>
    <phoneticPr fontId="13" type="noConversion"/>
  </si>
  <si>
    <t>Type of Facilities</t>
    <phoneticPr fontId="13" type="noConversion"/>
  </si>
  <si>
    <t>Reference No.</t>
    <phoneticPr fontId="13" type="noConversion"/>
  </si>
  <si>
    <t>Interest Rate</t>
    <phoneticPr fontId="13" type="noConversion"/>
  </si>
  <si>
    <t xml:space="preserve">Maturity 
Date   
</t>
    <phoneticPr fontId="13" type="noConversion"/>
  </si>
  <si>
    <t>Guarantor</t>
    <phoneticPr fontId="13" type="noConversion"/>
  </si>
  <si>
    <t>Item 5   Loan Account Debit Balance/s (Excluding Loans in connection with Inward cargoes) in your books</t>
    <phoneticPr fontId="13" type="noConversion"/>
  </si>
  <si>
    <t>Item 6   Accounts closed during the year to confirmation date</t>
    <phoneticPr fontId="13" type="noConversion"/>
  </si>
  <si>
    <t>Account type</t>
    <phoneticPr fontId="13" type="noConversion"/>
  </si>
  <si>
    <t>Date closed</t>
    <phoneticPr fontId="13" type="noConversion"/>
  </si>
  <si>
    <t>Item 7   Advances to Manufacturers and/or Packing Credits Account and/or Exports Loans granted outstanding in your books</t>
    <phoneticPr fontId="13" type="noConversion"/>
  </si>
  <si>
    <t>Item 8   Acceptances Outstanding in your books</t>
    <phoneticPr fontId="13" type="noConversion"/>
  </si>
  <si>
    <t xml:space="preserve">
Bills Receivable by you (Banker)</t>
    <phoneticPr fontId="13" type="noConversion"/>
  </si>
  <si>
    <t>Issue Date</t>
    <phoneticPr fontId="13" type="noConversion"/>
  </si>
  <si>
    <t>Maturity Date</t>
    <phoneticPr fontId="13" type="noConversion"/>
  </si>
  <si>
    <t xml:space="preserve">of which, goods </t>
    <phoneticPr fontId="13" type="noConversion"/>
  </si>
  <si>
    <t xml:space="preserve">released against </t>
    <phoneticPr fontId="13" type="noConversion"/>
  </si>
  <si>
    <t>Trust Receipt</t>
    <phoneticPr fontId="13" type="noConversion"/>
  </si>
  <si>
    <t xml:space="preserve">Bills held by you </t>
    <phoneticPr fontId="13" type="noConversion"/>
  </si>
  <si>
    <t>for Collection</t>
    <phoneticPr fontId="13" type="noConversion"/>
  </si>
  <si>
    <t>- 2 -</t>
    <phoneticPr fontId="13" type="noConversion"/>
  </si>
  <si>
    <t>Item 9   Partial payments held by you</t>
    <phoneticPr fontId="13" type="noConversion"/>
  </si>
  <si>
    <t xml:space="preserve">
On account of Item 7</t>
    <phoneticPr fontId="13" type="noConversion"/>
  </si>
  <si>
    <t>Item 10   Irrevocable Letters of Credit Outstanding in your books</t>
    <phoneticPr fontId="13" type="noConversion"/>
  </si>
  <si>
    <t>Balance Unutilized</t>
    <phoneticPr fontId="13" type="noConversion"/>
  </si>
  <si>
    <t>Item 11   Bills receivable by us (customer)</t>
    <phoneticPr fontId="13" type="noConversion"/>
  </si>
  <si>
    <t xml:space="preserve">
Bills purchased by you (and outstanding at this date)</t>
    <phoneticPr fontId="13" type="noConversion"/>
  </si>
  <si>
    <t xml:space="preserve">Bills held by you for </t>
    <phoneticPr fontId="13" type="noConversion"/>
  </si>
  <si>
    <t>Collection</t>
    <phoneticPr fontId="13" type="noConversion"/>
  </si>
  <si>
    <t>Item 12   Marginal deposit held by you</t>
    <phoneticPr fontId="13" type="noConversion"/>
  </si>
  <si>
    <t xml:space="preserve">
On account of Item 8 and Item 10 </t>
    <phoneticPr fontId="13" type="noConversion"/>
  </si>
  <si>
    <t xml:space="preserve">On account of Item </t>
    <phoneticPr fontId="13" type="noConversion"/>
  </si>
  <si>
    <t>Item 13   Loans granted in connection with Inward Cargoes</t>
    <phoneticPr fontId="13" type="noConversion"/>
  </si>
  <si>
    <t>Details of Cargo</t>
    <phoneticPr fontId="13" type="noConversion"/>
  </si>
  <si>
    <t>- 3 -</t>
    <phoneticPr fontId="13" type="noConversion"/>
  </si>
  <si>
    <t>Item 14   Guarantees</t>
    <phoneticPr fontId="13" type="noConversion"/>
  </si>
  <si>
    <t xml:space="preserve">Given by you on our </t>
    <phoneticPr fontId="13" type="noConversion"/>
  </si>
  <si>
    <t>To whom Issued</t>
    <phoneticPr fontId="13" type="noConversion"/>
  </si>
  <si>
    <t>behalf</t>
    <phoneticPr fontId="13" type="noConversion"/>
  </si>
  <si>
    <t>i) Shipping Guarantees</t>
    <phoneticPr fontId="13" type="noConversion"/>
  </si>
  <si>
    <t xml:space="preserve">ii) Others (specify the type </t>
    <phoneticPr fontId="13" type="noConversion"/>
  </si>
  <si>
    <t>of guarantee e.g. financial</t>
    <phoneticPr fontId="13" type="noConversion"/>
  </si>
  <si>
    <t>guarantee, performance</t>
    <phoneticPr fontId="13" type="noConversion"/>
  </si>
  <si>
    <t>bond, etc)</t>
    <phoneticPr fontId="13" type="noConversion"/>
  </si>
  <si>
    <t xml:space="preserve">Received by you on our </t>
    <phoneticPr fontId="13" type="noConversion"/>
  </si>
  <si>
    <t>Item 15   Derivative Contracts/Structured Product Contracts Outstanding</t>
    <phoneticPr fontId="13" type="noConversion"/>
  </si>
  <si>
    <t>Contract No.</t>
    <phoneticPr fontId="13" type="noConversion"/>
  </si>
  <si>
    <t>Notional Amount</t>
    <phoneticPr fontId="13" type="noConversion"/>
  </si>
  <si>
    <t>Contract Rate</t>
    <phoneticPr fontId="13" type="noConversion"/>
  </si>
  <si>
    <t>i) Exchange Rate Contracts</t>
    <phoneticPr fontId="13" type="noConversion"/>
  </si>
  <si>
    <t>ii) Interest Rate Contracts</t>
    <phoneticPr fontId="13" type="noConversion"/>
  </si>
  <si>
    <t xml:space="preserve">iii) Other derivative </t>
    <phoneticPr fontId="13" type="noConversion"/>
  </si>
  <si>
    <t xml:space="preserve">contracts/structured  </t>
    <phoneticPr fontId="13" type="noConversion"/>
  </si>
  <si>
    <t>product contracts</t>
    <phoneticPr fontId="13" type="noConversion"/>
  </si>
  <si>
    <t>Item 16   Other direct or contingent liabilities to you</t>
    <phoneticPr fontId="13" type="noConversion"/>
  </si>
  <si>
    <t>- 4 -</t>
    <phoneticPr fontId="13" type="noConversion"/>
  </si>
  <si>
    <t>Item 17   Securities and other documents of title held by you</t>
    <phoneticPr fontId="13" type="noConversion"/>
  </si>
  <si>
    <t xml:space="preserve">
Against Facilities granted</t>
    <phoneticPr fontId="13" type="noConversion"/>
  </si>
  <si>
    <t xml:space="preserve">
For Safe Custody </t>
    <phoneticPr fontId="13" type="noConversion"/>
  </si>
  <si>
    <t>BANKERS’ CONFIRMATION</t>
  </si>
  <si>
    <t>We confirm that the balances and information which we have inserted under items 1 to 17 above are correct and complete.</t>
  </si>
  <si>
    <t>This information is given in strictest confidence, for the purposes of your audit, without any responsibility for error or</t>
  </si>
  <si>
    <t>omission on the part of this Bank, its employees, agents or informants.</t>
  </si>
  <si>
    <t>Authorised signatory for and on behalf of the Bank</t>
  </si>
  <si>
    <t>- 5 -</t>
    <phoneticPr fontId="13" type="noConversion"/>
  </si>
  <si>
    <r>
      <t xml:space="preserve">        </t>
    </r>
    <r>
      <rPr>
        <sz val="10"/>
        <color theme="1"/>
        <rFont val="細明體"/>
        <family val="3"/>
        <charset val="136"/>
      </rPr>
      <t>上海商業銀行</t>
    </r>
    <phoneticPr fontId="13" type="noConversion"/>
  </si>
  <si>
    <r>
      <t xml:space="preserve">Uniwin International CPA Limited </t>
    </r>
    <r>
      <rPr>
        <b/>
        <u/>
        <sz val="18"/>
        <color theme="1"/>
        <rFont val="標楷體"/>
        <family val="4"/>
        <charset val="136"/>
      </rPr>
      <t>眾和國際會計師事務所有限公司</t>
    </r>
    <phoneticPr fontId="13" type="noConversion"/>
  </si>
  <si>
    <t>AD PRODUCTION LIMITED</t>
  </si>
  <si>
    <t>Address: Room 1405, 14/F, Lucky Centre, 165-171 Wanchai Road, Wanchai, Hong Kong</t>
  </si>
  <si>
    <t>INDEPENDENT AUDITOR’S REPORT</t>
  </si>
  <si>
    <t>(Incorporated in Hong Kong with limited liability)</t>
    <phoneticPr fontId="13" type="noConversion"/>
  </si>
  <si>
    <t>Report on the financial statements</t>
  </si>
  <si>
    <t>In addition, section 141D of the Companies Ordinance requires that the balance sheet together with the notes thereon should be prepared in accordance with the requirements of the Eleventh Schedule to that Ordinance.</t>
    <phoneticPr fontId="13" type="noConversion"/>
  </si>
  <si>
    <t>Auditor’s responsibility</t>
  </si>
  <si>
    <t xml:space="preserve">Our responsibility is to express an opinion on these financial statements based on our audit. This report is made solely to you, as a body, in accordance with section 141 of the Hong Kong Companies Ordinance, and for no other purpose. We conducted our audit in accordance with Hong Kong Standards on Auditing and with reference to PN 900 (Clarified)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</si>
  <si>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director, as well as evaluating the overall presentation of the financial statements. </t>
    <phoneticPr fontId="13" type="noConversion"/>
  </si>
  <si>
    <t>We believe that the audit evidence we have obtained is sufficient and appropriate to provide a basis for our audit opinion.</t>
    <phoneticPr fontId="13" type="noConversion"/>
  </si>
  <si>
    <t>Fundamental uncertainty</t>
    <phoneticPr fontId="13" type="noConversion"/>
  </si>
  <si>
    <t>(cont’d from page 2)</t>
  </si>
  <si>
    <t>Basis for Disclaimer of Opinion</t>
  </si>
  <si>
    <t>Account name</t>
    <phoneticPr fontId="13" type="noConversion"/>
  </si>
  <si>
    <t xml:space="preserve">Amount </t>
    <phoneticPr fontId="13" type="noConversion"/>
  </si>
  <si>
    <t>Turnover</t>
  </si>
  <si>
    <t>(2012: 12313513)</t>
    <phoneticPr fontId="13" type="noConversion"/>
  </si>
  <si>
    <t>Cost of turnover</t>
  </si>
  <si>
    <t>Administrative expenses</t>
  </si>
  <si>
    <t>Taxation</t>
  </si>
  <si>
    <t>Tax payables</t>
  </si>
  <si>
    <t>Amount due from a director</t>
  </si>
  <si>
    <t>Accruals</t>
  </si>
  <si>
    <t>Besides, the Company has the following account with the following amount, due to no bank statements and no bank audit confirmation received by us, we were unable to carry out the necessary audit procedures to ensure the ownership, existence, valuation, completeness and accuracy of the amount as well as the contingent liabilities. As a result, we were unable to quantify the financial effects and satisfy ourselves that whether this amount had been properly stated in the financial statements.</t>
  </si>
  <si>
    <t>Account name</t>
  </si>
  <si>
    <t>Bank balances</t>
  </si>
  <si>
    <t>Disclaimer of Opinion</t>
  </si>
  <si>
    <t>Because of the significant of the matters described in the above paragraph, we have not been able to obtain sufficient appropriate audit evidence to provide a basis for an audit opinion. Accordingly, we do not express an opinion on the financial statements. In all other respects, in our opinion the financial statements have been properly prepared in accordance with the Hong Kong Companies Ordinance.</t>
  </si>
  <si>
    <t>Report on other matters under section 141D of the Hong Kong Companies Ordinance</t>
    <phoneticPr fontId="13" type="noConversion"/>
  </si>
  <si>
    <t>In respect alone of inability to obtain sufficient appropriate audit evidence as mentioned above:</t>
  </si>
  <si>
    <r>
      <t>(a)</t>
    </r>
    <r>
      <rPr>
        <sz val="7"/>
        <color theme="1"/>
        <rFont val="Times New Roman"/>
        <family val="1"/>
      </rPr>
      <t xml:space="preserve">    </t>
    </r>
    <phoneticPr fontId="13" type="noConversion"/>
  </si>
  <si>
    <t>We have not obtained all the information and explanations that we considered necessary for the purpose of our audit; and</t>
    <phoneticPr fontId="13" type="noConversion"/>
  </si>
  <si>
    <r>
      <t>(b)</t>
    </r>
    <r>
      <rPr>
        <sz val="7"/>
        <color theme="1"/>
        <rFont val="Times New Roman"/>
        <family val="1"/>
      </rPr>
      <t xml:space="preserve">   </t>
    </r>
    <phoneticPr fontId="13" type="noConversion"/>
  </si>
  <si>
    <t>We were unable to determine whether proper books of account had been kept.</t>
    <phoneticPr fontId="13" type="noConversion"/>
  </si>
  <si>
    <t>Uniwin International CPA Limited</t>
  </si>
  <si>
    <t>Certified Public Accountants (Practising)</t>
  </si>
  <si>
    <t>Auditor – Ho Koon Wah</t>
  </si>
  <si>
    <t>Practising Certificate No.: P05919</t>
  </si>
  <si>
    <t xml:space="preserve">Hong Kong, </t>
    <phoneticPr fontId="13" type="noConversion"/>
  </si>
  <si>
    <t xml:space="preserve">FOR THE </t>
  </si>
  <si>
    <t>PERIOD FROM 1 FEBRUARY, 2013 (DATE OF INCORPORATION) TO 31 MARCH, 2014</t>
    <phoneticPr fontId="13" type="noConversion"/>
  </si>
  <si>
    <t>YEAR</t>
  </si>
  <si>
    <t xml:space="preserve"> ENDED </t>
  </si>
  <si>
    <t>31 DECEMBER, 2013</t>
  </si>
  <si>
    <t xml:space="preserve">TO THE </t>
    <phoneticPr fontId="13" type="noConversion"/>
  </si>
  <si>
    <t xml:space="preserve"> OF</t>
    <phoneticPr fontId="13" type="noConversion"/>
  </si>
  <si>
    <t xml:space="preserve"> responsibility for the financial statements</t>
    <phoneticPr fontId="13" type="noConversion"/>
  </si>
  <si>
    <t xml:space="preserve"> responsible for the preparation of financial statements in accordance with the Small and Medium-sized Entity Financial Reporting Standard (SME-FRS) issued by the Hong Kong Institute of Certified Public Accountants, and for such internal control as the </t>
    <phoneticPr fontId="13" type="noConversion"/>
  </si>
  <si>
    <t xml:space="preserve"> is necessary to enable the preparation of financial statements that are free from material misstatement, whether due to fraud or error. </t>
    <phoneticPr fontId="13" type="noConversion"/>
  </si>
  <si>
    <t xml:space="preserve">We have audited the financial statements of </t>
    <phoneticPr fontId="13" type="noConversion"/>
  </si>
  <si>
    <t xml:space="preserve"> (the "Company") set out on pages </t>
    <phoneticPr fontId="13" type="noConversion"/>
  </si>
  <si>
    <t xml:space="preserve"> to </t>
    <phoneticPr fontId="13" type="noConversion"/>
  </si>
  <si>
    <t xml:space="preserve">, which comprise the </t>
    <phoneticPr fontId="13" type="noConversion"/>
  </si>
  <si>
    <t>balance sheet</t>
    <phoneticPr fontId="13" type="noConversion"/>
  </si>
  <si>
    <t xml:space="preserve"> as at </t>
    <phoneticPr fontId="13" type="noConversion"/>
  </si>
  <si>
    <t xml:space="preserve">, and the </t>
    <phoneticPr fontId="13" type="noConversion"/>
  </si>
  <si>
    <t>income statement</t>
    <phoneticPr fontId="13" type="noConversion"/>
  </si>
  <si>
    <t xml:space="preserve"> and the </t>
    <phoneticPr fontId="13" type="noConversion"/>
  </si>
  <si>
    <t>statement of changes in equity</t>
    <phoneticPr fontId="13" type="noConversion"/>
  </si>
  <si>
    <t xml:space="preserve"> for the </t>
    <phoneticPr fontId="13" type="noConversion"/>
  </si>
  <si>
    <t xml:space="preserve"> ended </t>
    <phoneticPr fontId="13" type="noConversion"/>
  </si>
  <si>
    <t>, and a summary of significant accounting policies and other explanatory information.</t>
    <phoneticPr fontId="13" type="noConversion"/>
  </si>
  <si>
    <t xml:space="preserve">In forming our opinion, we have considered the adequacy of the disclosures made in the financial statements concerning the basis of preparation of the financial statements. At the balance sheet date, the Company had net liabilities of </t>
    <phoneticPr fontId="13" type="noConversion"/>
  </si>
  <si>
    <t xml:space="preserve"> (</t>
    <phoneticPr fontId="13" type="noConversion"/>
  </si>
  <si>
    <t xml:space="preserve">: </t>
    <phoneticPr fontId="13" type="noConversion"/>
  </si>
  <si>
    <t xml:space="preserve">).  The </t>
    <phoneticPr fontId="13" type="noConversion"/>
  </si>
  <si>
    <t xml:space="preserve">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t>
    <phoneticPr fontId="13" type="noConversion"/>
  </si>
  <si>
    <t xml:space="preserve">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t>
    <phoneticPr fontId="13" type="noConversion"/>
  </si>
  <si>
    <t xml:space="preserve"> and net </t>
    <phoneticPr fontId="13" type="noConversion"/>
  </si>
  <si>
    <t>heading</t>
    <phoneticPr fontId="13" type="noConversion"/>
  </si>
  <si>
    <t xml:space="preserve">REPORT OF THE </t>
    <phoneticPr fontId="13" type="noConversion"/>
  </si>
  <si>
    <t>Start</t>
    <phoneticPr fontId="13" type="noConversion"/>
  </si>
  <si>
    <t>Y</t>
    <phoneticPr fontId="13" type="noConversion"/>
  </si>
  <si>
    <t xml:space="preserve">On behalf of the Board of </t>
    <phoneticPr fontId="13" type="noConversion"/>
  </si>
  <si>
    <t xml:space="preserve">, I submit herewith its annual report together with the audited financial statements of the Company for the </t>
    <phoneticPr fontId="13" type="noConversion"/>
  </si>
  <si>
    <t>INCORPORATION</t>
    <phoneticPr fontId="13" type="noConversion"/>
  </si>
  <si>
    <t xml:space="preserve">The Company was incorporated on </t>
    <phoneticPr fontId="13" type="noConversion"/>
  </si>
  <si>
    <t>CHANGE OF COMPANY’S NAME</t>
    <phoneticPr fontId="13" type="noConversion"/>
  </si>
  <si>
    <t xml:space="preserve">The Company's name has been changed to </t>
    <phoneticPr fontId="13" type="noConversion"/>
  </si>
  <si>
    <t xml:space="preserve"> from </t>
    <phoneticPr fontId="13" type="noConversion"/>
  </si>
  <si>
    <t>PRINCIPAL ACTIVITY</t>
  </si>
  <si>
    <t xml:space="preserve">The principal activity of the Company was engaged in </t>
    <phoneticPr fontId="13" type="noConversion"/>
  </si>
  <si>
    <t xml:space="preserve"> during the </t>
    <phoneticPr fontId="13" type="noConversion"/>
  </si>
  <si>
    <t>OPERATING RESULTS AND DIVIDEND</t>
  </si>
  <si>
    <t xml:space="preserve">The results of the Company for the </t>
    <phoneticPr fontId="13" type="noConversion"/>
  </si>
  <si>
    <t xml:space="preserve"> and the state of the Company’s affairs at </t>
    <phoneticPr fontId="13" type="noConversion"/>
  </si>
  <si>
    <t xml:space="preserve"> are set out in the annexed financial statements.  The </t>
    <phoneticPr fontId="13" type="noConversion"/>
  </si>
  <si>
    <t xml:space="preserve"> not recommend the payment of a final dividend for the </t>
    <phoneticPr fontId="13" type="noConversion"/>
  </si>
  <si>
    <t xml:space="preserve">. </t>
    <phoneticPr fontId="13" type="noConversion"/>
  </si>
  <si>
    <t>CHANGE OF FINANCIAL YEAR END DATE</t>
  </si>
  <si>
    <t xml:space="preserve">Pursuant to a resolution of the Board of Director dated </t>
    <phoneticPr fontId="13" type="noConversion"/>
  </si>
  <si>
    <t xml:space="preserve">, the Company's financial year end date has been changed from </t>
    <phoneticPr fontId="13" type="noConversion"/>
  </si>
  <si>
    <t xml:space="preserve">. The accounts now presented cover a period of </t>
    <phoneticPr fontId="13" type="noConversion"/>
  </si>
  <si>
    <t>fifteen</t>
    <phoneticPr fontId="13" type="noConversion"/>
  </si>
  <si>
    <t>How to show 15 as fifteenth?</t>
    <phoneticPr fontId="13" type="noConversion"/>
  </si>
  <si>
    <t xml:space="preserve"> months from </t>
    <phoneticPr fontId="13" type="noConversion"/>
  </si>
  <si>
    <t xml:space="preserve">. Accordingly, the comparative figures (which cover a period of </t>
    <phoneticPr fontId="13" type="noConversion"/>
  </si>
  <si>
    <t>twelve</t>
    <phoneticPr fontId="13" type="noConversion"/>
  </si>
  <si>
    <t>1 October, 2011</t>
    <phoneticPr fontId="13" type="noConversion"/>
  </si>
  <si>
    <t>PROPERTY, PLANT AND EQUIPMENT</t>
    <phoneticPr fontId="13" type="noConversion"/>
  </si>
  <si>
    <t xml:space="preserve">Movements in property, plant and equipment during the </t>
    <phoneticPr fontId="13" type="noConversion"/>
  </si>
  <si>
    <t xml:space="preserve"> are set out in note </t>
    <phoneticPr fontId="13" type="noConversion"/>
  </si>
  <si>
    <t xml:space="preserve"> to the financial statements.</t>
    <phoneticPr fontId="13" type="noConversion"/>
  </si>
  <si>
    <t>ISSUED CAPITAL</t>
  </si>
  <si>
    <t>30 September, 2012</t>
    <phoneticPr fontId="13" type="noConversion"/>
  </si>
  <si>
    <t xml:space="preserve">) for the profit and loss account, statement of changes in equity and related notes are not comparable with those of the current period.  </t>
    <phoneticPr fontId="13" type="noConversion"/>
  </si>
  <si>
    <t xml:space="preserve">Movements in issued capital during the </t>
    <phoneticPr fontId="13" type="noConversion"/>
  </si>
  <si>
    <t xml:space="preserve">The </t>
    <phoneticPr fontId="13" type="noConversion"/>
  </si>
  <si>
    <t xml:space="preserve"> who held office during the </t>
    <phoneticPr fontId="13" type="noConversion"/>
  </si>
  <si>
    <t xml:space="preserve"> and up to the date of reporting </t>
    <phoneticPr fontId="13" type="noConversion"/>
  </si>
  <si>
    <t>:</t>
    <phoneticPr fontId="13" type="noConversion"/>
  </si>
  <si>
    <t xml:space="preserve">(Appointed on </t>
    <phoneticPr fontId="13" type="noConversion"/>
  </si>
  <si>
    <t>)</t>
  </si>
  <si>
    <t xml:space="preserve">Be care that the director's name is at cell "B" rather than "A", does it make any difference. </t>
    <phoneticPr fontId="13" type="noConversion"/>
  </si>
  <si>
    <t>Also, What if I need to add things in the left cell "D48"?</t>
    <phoneticPr fontId="13" type="noConversion"/>
  </si>
  <si>
    <t xml:space="preserve">In accordance with the Company’s Articles of Association, the </t>
    <phoneticPr fontId="13" type="noConversion"/>
  </si>
  <si>
    <t xml:space="preserve"> shall continue in office until the next annual general meeting.</t>
    <phoneticPr fontId="13" type="noConversion"/>
  </si>
  <si>
    <t xml:space="preserve">No contracts of significance to which the Company was a party and in which the director of the Company had a material interest subsisted at the end of the </t>
    <phoneticPr fontId="13" type="noConversion"/>
  </si>
  <si>
    <t xml:space="preserve"> or at any time during the </t>
    <phoneticPr fontId="13" type="noConversion"/>
  </si>
  <si>
    <t xml:space="preserve">At no time during the </t>
    <phoneticPr fontId="13" type="noConversion"/>
  </si>
  <si>
    <t xml:space="preserve"> was the Company a party to any arrangement to enable the director of the Company to obtain benefits by means of the acquisition of shares in or debentures of the Company or any other body corporate.</t>
    <phoneticPr fontId="13" type="noConversion"/>
  </si>
  <si>
    <t>AUDITORS</t>
  </si>
  <si>
    <t xml:space="preserve">The financial statements have been audited by Messrs. </t>
    <phoneticPr fontId="13" type="noConversion"/>
  </si>
  <si>
    <t xml:space="preserve"> who retire and, being eligible, offer themselves for re-appointment at the forthcoming annual general meeting.</t>
    <phoneticPr fontId="13" type="noConversion"/>
  </si>
  <si>
    <t>For and on behalf of the Board,</t>
  </si>
  <si>
    <t>________________________________</t>
  </si>
  <si>
    <t xml:space="preserve">                            </t>
  </si>
  <si>
    <t>Chairman</t>
  </si>
  <si>
    <t xml:space="preserve">Hong Kong,                                                                             </t>
  </si>
  <si>
    <t>end</t>
    <phoneticPr fontId="13" type="noConversion"/>
  </si>
  <si>
    <t>Other extra</t>
    <phoneticPr fontId="13" type="noConversion"/>
  </si>
  <si>
    <t xml:space="preserve">Address: </t>
    <phoneticPr fontId="13" type="noConversion"/>
  </si>
  <si>
    <t>heading2</t>
  </si>
  <si>
    <t>start</t>
    <phoneticPr fontId="13" type="noConversion"/>
  </si>
  <si>
    <t>No changes</t>
    <phoneticPr fontId="13" type="noConversion"/>
  </si>
  <si>
    <t>This is Cap. 32</t>
    <phoneticPr fontId="13" type="noConversion"/>
  </si>
  <si>
    <t>This is Cap. 622</t>
    <phoneticPr fontId="13" type="noConversion"/>
  </si>
  <si>
    <t>Opinion</t>
    <phoneticPr fontId="13" type="noConversion"/>
  </si>
  <si>
    <t>This is clean</t>
    <phoneticPr fontId="13" type="noConversion"/>
  </si>
  <si>
    <t>Basis for Disclaimer of Opinion</t>
    <phoneticPr fontId="13" type="noConversion"/>
  </si>
  <si>
    <t>This is disclaimer</t>
    <phoneticPr fontId="13" type="noConversion"/>
  </si>
  <si>
    <t>This is Cap. 32 and clean</t>
    <phoneticPr fontId="13" type="noConversion"/>
  </si>
  <si>
    <t>This is Cap. 622 and clean</t>
    <phoneticPr fontId="13" type="noConversion"/>
  </si>
  <si>
    <t>We report that we have obtained all the information and explanations which we have required.</t>
    <phoneticPr fontId="13" type="noConversion"/>
  </si>
  <si>
    <t>This is disclaimer, no matter Cap. 32 or 622</t>
    <phoneticPr fontId="13" type="noConversion"/>
  </si>
  <si>
    <t>Besides, the Company has the following account with the following amount, due to no bank statements and no bank audit confirmation received by us, we were unable to carry out the necessary audit procedures to ensure the ownership, existence, valuation, completeness and accuracy of the amount as well as the contingent liabilities. As a result, we were unable to quantify the financial effects and satisfy ourselves that whether this amount had been properly stated in the financial statements.</t>
    <phoneticPr fontId="13" type="noConversion"/>
  </si>
  <si>
    <t>Disclaimer of Opinion</t>
    <phoneticPr fontId="13" type="noConversion"/>
  </si>
  <si>
    <t>Because of the significant of the matters described in the above paragraph, we have not been able to obtain sufficient appropriate audit evidence to provide a basis for an audit opinion. Accordingly, we do not express an opinion on the financial statements and whether the financial statements have been properly prepared in accordance with the Hong Kong Companies Ordinance.</t>
    <phoneticPr fontId="13" type="noConversion"/>
  </si>
  <si>
    <t xml:space="preserve">Report on other matters under the Hong Kong Companies Ordinance, Cap. </t>
    <phoneticPr fontId="13" type="noConversion"/>
  </si>
  <si>
    <t>In respect alone of inability to obtain sufficient appropriate audit evidence as mentioned above:</t>
    <phoneticPr fontId="13" type="noConversion"/>
  </si>
  <si>
    <t>(a) We have not obtained all the information and explanations that we considered necessary for the purpose of our audit; and</t>
    <phoneticPr fontId="13" type="noConversion"/>
  </si>
  <si>
    <t>(b) We were unable to determine whether proper books of account had been kept.</t>
    <phoneticPr fontId="13" type="noConversion"/>
  </si>
  <si>
    <t>No changes</t>
  </si>
  <si>
    <t xml:space="preserve"> responsible for the preparation of financial statements in accordance with the Small and Medium-sized Entity Financial Reporting Standard (SME-FRS) issued by the Hong Kong Institute of Certified Public Accountants, and the Hong Kong Companies Ordinance, and for such internal control as the director determines is necessary to enable the preparation of financial statements that are free from material misstatement, whether due to fraud or error. </t>
    <phoneticPr fontId="13" type="noConversion"/>
  </si>
  <si>
    <t xml:space="preserve">In our opinion, the financial statements of the Company for the </t>
    <phoneticPr fontId="13" type="noConversion"/>
  </si>
  <si>
    <t xml:space="preserve"> according to the best of our information and explanations given to us, and as shown by the books of the Company.</t>
    <phoneticPr fontId="13" type="noConversion"/>
  </si>
  <si>
    <t xml:space="preserve"> are prepared, in all material respects, in accordance with the SME-FRS and have been properly prepared in compliance with the Hong Kong Companies Ordinance.</t>
    <phoneticPr fontId="13" type="noConversion"/>
  </si>
  <si>
    <t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t>
    <phoneticPr fontId="13" type="noConversion"/>
  </si>
  <si>
    <t xml:space="preserve">, as well as evaluating the overall presentation of the financial statements. </t>
    <phoneticPr fontId="13" type="noConversion"/>
  </si>
  <si>
    <t>Amount (</t>
    <phoneticPr fontId="13" type="noConversion"/>
  </si>
  <si>
    <t xml:space="preserve"> expenses</t>
    <phoneticPr fontId="13" type="noConversion"/>
  </si>
  <si>
    <r>
      <rPr>
        <sz val="12"/>
        <color theme="1"/>
        <rFont val="Calibri"/>
        <family val="2"/>
        <scheme val="minor"/>
      </rPr>
      <t>=IF(AND(A1&gt;B1,A1&lt;B3)=TRUE,7,0)</t>
    </r>
    <phoneticPr fontId="13" type="noConversion"/>
  </si>
  <si>
    <t>START</t>
    <phoneticPr fontId="13" type="noConversion"/>
  </si>
  <si>
    <t>LAST</t>
    <phoneticPr fontId="13" type="noConversion"/>
  </si>
  <si>
    <t xml:space="preserve">(Expressed in </t>
    <phoneticPr fontId="13" type="noConversion"/>
  </si>
  <si>
    <t>Notes</t>
    <phoneticPr fontId="19" type="noConversion"/>
  </si>
  <si>
    <t>Turnover</t>
    <phoneticPr fontId="19" type="noConversion"/>
  </si>
  <si>
    <t>=text(b2,"dd/mm/yyyy")</t>
    <phoneticPr fontId="13" type="noConversion"/>
  </si>
  <si>
    <t>Cost of turnover</t>
    <phoneticPr fontId="19" type="noConversion"/>
  </si>
  <si>
    <t>Other turnover</t>
    <phoneticPr fontId="19" type="noConversion"/>
  </si>
  <si>
    <t>Administrative expenses</t>
    <phoneticPr fontId="19" type="noConversion"/>
  </si>
  <si>
    <t xml:space="preserve"> from operations and before taxation</t>
    <phoneticPr fontId="13" type="noConversion"/>
  </si>
  <si>
    <t>Taxation</t>
    <phoneticPr fontId="19" type="noConversion"/>
  </si>
  <si>
    <t>table end</t>
    <phoneticPr fontId="13" type="noConversion"/>
  </si>
  <si>
    <t xml:space="preserve"> after taxation</t>
    <phoneticPr fontId="13" type="noConversion"/>
  </si>
  <si>
    <t xml:space="preserve">  The accompanying notes form an integral part of the financial statements.</t>
    <phoneticPr fontId="13" type="noConversion"/>
  </si>
  <si>
    <t xml:space="preserve">There were no recognised profits or losses other than the </t>
    <phoneticPr fontId="13" type="noConversion"/>
  </si>
  <si>
    <t xml:space="preserve">AS AT </t>
    <phoneticPr fontId="13" type="noConversion"/>
  </si>
  <si>
    <t>NON CURRENT ASSETS</t>
    <phoneticPr fontId="19" type="noConversion"/>
  </si>
  <si>
    <t xml:space="preserve">  Property, plant and equipment</t>
    <phoneticPr fontId="13" type="noConversion"/>
  </si>
  <si>
    <t>CURRENT ASSETS</t>
    <phoneticPr fontId="19" type="noConversion"/>
  </si>
  <si>
    <t>CONCATENATE</t>
    <phoneticPr fontId="13" type="noConversion"/>
  </si>
  <si>
    <t xml:space="preserve">  Inventories</t>
    <phoneticPr fontId="13" type="noConversion"/>
  </si>
  <si>
    <t xml:space="preserve">  Other receivables</t>
    <phoneticPr fontId="13" type="noConversion"/>
  </si>
  <si>
    <t>total of all director C/A (for section 6)</t>
    <phoneticPr fontId="13" type="noConversion"/>
  </si>
  <si>
    <t>total of all shareholders C/A (for section 6)</t>
    <phoneticPr fontId="13" type="noConversion"/>
  </si>
  <si>
    <t>Amount due to shareholders</t>
    <phoneticPr fontId="13" type="noConversion"/>
  </si>
  <si>
    <t>Amount due to a director</t>
    <phoneticPr fontId="13" type="noConversion"/>
  </si>
  <si>
    <t>CURRENT LIABILITIES</t>
    <phoneticPr fontId="19" type="noConversion"/>
  </si>
  <si>
    <t xml:space="preserve">NET CURRENT </t>
    <phoneticPr fontId="13" type="noConversion"/>
  </si>
  <si>
    <t xml:space="preserve">  Tax payables</t>
    <phoneticPr fontId="13" type="noConversion"/>
  </si>
  <si>
    <t xml:space="preserve">NET </t>
    <phoneticPr fontId="13" type="noConversion"/>
  </si>
  <si>
    <t>Combine when both are different</t>
    <phoneticPr fontId="13" type="noConversion"/>
  </si>
  <si>
    <t>Not to combine when both are same</t>
    <phoneticPr fontId="13" type="noConversion"/>
  </si>
  <si>
    <t>CAPITAL AND RESERVES</t>
    <phoneticPr fontId="19" type="noConversion"/>
  </si>
  <si>
    <t xml:space="preserve">  Issued capital</t>
    <phoneticPr fontId="13" type="noConversion"/>
  </si>
  <si>
    <t xml:space="preserve">  Other fund from a shareholder</t>
    <phoneticPr fontId="13" type="noConversion"/>
  </si>
  <si>
    <t xml:space="preserve">The financial statements on pages </t>
    <phoneticPr fontId="13" type="noConversion"/>
  </si>
  <si>
    <t xml:space="preserve">                           and are signed on its behalf by:</t>
    <phoneticPr fontId="13" type="noConversion"/>
  </si>
  <si>
    <t xml:space="preserve"> have been approved by the Board of </t>
    <phoneticPr fontId="13" type="noConversion"/>
  </si>
  <si>
    <t xml:space="preserve"> on </t>
    <phoneticPr fontId="13" type="noConversion"/>
  </si>
  <si>
    <t>_________________________________</t>
    <phoneticPr fontId="13" type="noConversion"/>
  </si>
  <si>
    <t>Total</t>
    <phoneticPr fontId="19" type="noConversion"/>
  </si>
  <si>
    <t>The wide of cell D7 need to adjust</t>
    <phoneticPr fontId="13" type="noConversion"/>
  </si>
  <si>
    <t xml:space="preserve">Balance as at </t>
    <phoneticPr fontId="13" type="noConversion"/>
  </si>
  <si>
    <t xml:space="preserve">Alloted during the </t>
    <phoneticPr fontId="13" type="noConversion"/>
  </si>
  <si>
    <t>(i.e. show both retained profits and accumulated losses)</t>
    <phoneticPr fontId="13" type="noConversion"/>
  </si>
  <si>
    <t>(i.e. only show retained profits or accumulated losses)</t>
    <phoneticPr fontId="13" type="noConversion"/>
  </si>
  <si>
    <t>GENERAL</t>
  </si>
  <si>
    <t>item</t>
  </si>
  <si>
    <t xml:space="preserve">. The registered office of the Company </t>
    <phoneticPr fontId="13" type="noConversion"/>
  </si>
  <si>
    <t xml:space="preserve">STATEMENT OF COMPLIANCE </t>
  </si>
  <si>
    <t xml:space="preserve">At the balance sheet date, the Company had net liabilities of </t>
    <phoneticPr fontId="13" type="noConversion"/>
  </si>
  <si>
    <t xml:space="preserve">The company qualifies for the reporting exemption as a small private company under section 359(1)(a) of the Hong Kong Companies Ordinance (Cap. 622) and is therefore entitled to prepare and present its financial statements in accordance with the Small and Medium-sized Entity Financial Reporting Standard (SME-FRS) issued by the Hong Kong Institute of Certified Public Accountants.  </t>
    <phoneticPr fontId="13" type="noConversion"/>
  </si>
  <si>
    <t>Cap.622</t>
    <phoneticPr fontId="13" type="noConversion"/>
  </si>
  <si>
    <t>Cap.32</t>
    <phoneticPr fontId="13" type="noConversion"/>
  </si>
  <si>
    <t xml:space="preserve"> agreed in writing to apply section 141D with respect to the company’s financial statements for the </t>
    <phoneticPr fontId="13" type="noConversion"/>
  </si>
  <si>
    <t>These financial statements comply with the Small and Medium-sized Entity Financial Reporting Standards issued by the Hong Kong Institute of Certified Public Accountants and have been prepared under the accrual basis of accounting.</t>
    <phoneticPr fontId="13" type="noConversion"/>
  </si>
  <si>
    <t>The measurement base adopted is the historical cost basis.</t>
  </si>
  <si>
    <t>SUMMARY OF SIGNIFICANT ACCOUNTING POLICIES</t>
  </si>
  <si>
    <t>Turnover is recognised when it is probable that the economic benefits will flow to the Company and when the turnover can be measured reliably, on the following bases:</t>
  </si>
  <si>
    <t>services income is recognised when the services are rendered to the customers; and</t>
    <phoneticPr fontId="13" type="noConversion"/>
  </si>
  <si>
    <t>sales of goods is recognised when the goods are delivered and the risks and rewards of ownership have passed to the customer; and</t>
    <phoneticPr fontId="13" type="noConversion"/>
  </si>
  <si>
    <t>Income tax expense represents current tax expense.  The income tax payable represents the amounts expected to be paid to the tax authority, using the tax rates that have been enacted or substantively enacted by the balance sheet date.</t>
  </si>
  <si>
    <t>Deferred tax is not provided.</t>
  </si>
  <si>
    <t xml:space="preserve">Bank balances </t>
  </si>
  <si>
    <t>Bank balances include demand deposits and other short-term highly liquid investments with original maturities of three months or less.</t>
  </si>
  <si>
    <t>Foreign exchange</t>
  </si>
  <si>
    <t>Related parties</t>
  </si>
  <si>
    <t>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t>
  </si>
  <si>
    <t>Property, plant and equipment are stated at cost less accumulated depreciation and accumulated impairment losses.</t>
  </si>
  <si>
    <t>The depreciable amount of an item of property, plant and equipment is allocated on a systematic basis over its estimated useful life using the straight-line method. The principal annual rates used for depreciation are as follows:</t>
  </si>
  <si>
    <t>Decoration</t>
  </si>
  <si>
    <t>Furniture &amp; fixtures</t>
  </si>
  <si>
    <t>Equipment</t>
  </si>
  <si>
    <t>Motor vehicle</t>
  </si>
  <si>
    <t>Impairment of assets</t>
  </si>
  <si>
    <t>Leases</t>
    <phoneticPr fontId="13" type="noConversion"/>
  </si>
  <si>
    <t>Leases that substantially transfer to the Company all the risks and rewards of  ownership of assets, other than legal title, are accounted for as finance leases.  At the  inception of the lease, finance lease is capitalised at the lower of the fair value of the leased asset or, if lower, the present value of the minimum lease payments.</t>
  </si>
  <si>
    <t>Lease payments are allocated between the capital and finance charges.  The corresponding rental obligations, net of finance charges, are recorded as obligations under finance leases. Finance charges are charged to the income statement in proportion to the capital balances outstanding.  Assets acquired through hire purchase contracts of a financing nature are accounted for as assets acquired through finance leases and are depreciated over their estimated useful lives.</t>
  </si>
  <si>
    <t>TURNOVER</t>
  </si>
  <si>
    <t>trade+services</t>
    <phoneticPr fontId="13" type="noConversion"/>
  </si>
  <si>
    <t>services</t>
    <phoneticPr fontId="13" type="noConversion"/>
  </si>
  <si>
    <t>trading</t>
    <phoneticPr fontId="13" type="noConversion"/>
  </si>
  <si>
    <t xml:space="preserve">The turnover represents the amounts received or receivable for the goods sold to the customers during the </t>
    <phoneticPr fontId="13" type="noConversion"/>
  </si>
  <si>
    <t xml:space="preserve">Turnover represents the amounts received or receivable for the services rendered to customers during the </t>
    <phoneticPr fontId="13" type="noConversion"/>
  </si>
  <si>
    <t>Sales income</t>
    <phoneticPr fontId="13" type="noConversion"/>
  </si>
  <si>
    <t xml:space="preserve"> is arrived at:</t>
    <phoneticPr fontId="13" type="noConversion"/>
  </si>
  <si>
    <t>Audit and other professional fees</t>
    <phoneticPr fontId="13" type="noConversion"/>
  </si>
  <si>
    <t>Commission expenses</t>
    <phoneticPr fontId="13" type="noConversion"/>
  </si>
  <si>
    <t>Depreciation expenses</t>
  </si>
  <si>
    <t>this year</t>
    <phoneticPr fontId="13" type="noConversion"/>
  </si>
  <si>
    <t>last year</t>
    <phoneticPr fontId="13" type="noConversion"/>
  </si>
  <si>
    <t xml:space="preserve">Exchange </t>
    <phoneticPr fontId="13" type="noConversion"/>
  </si>
  <si>
    <t>Rental expenses</t>
  </si>
  <si>
    <t>Director's remuneration</t>
  </si>
  <si>
    <t>Not 1st year</t>
    <phoneticPr fontId="13" type="noConversion"/>
  </si>
  <si>
    <t xml:space="preserve"> - Fees</t>
  </si>
  <si>
    <t>1st year</t>
    <phoneticPr fontId="13" type="noConversion"/>
  </si>
  <si>
    <t xml:space="preserve"> - Other emoluments</t>
  </si>
  <si>
    <t>Offset</t>
    <phoneticPr fontId="13" type="noConversion"/>
  </si>
  <si>
    <t>TAXATION</t>
  </si>
  <si>
    <t>Tax loss</t>
    <phoneticPr fontId="13" type="noConversion"/>
  </si>
  <si>
    <t>Profit tax</t>
    <phoneticPr fontId="13" type="noConversion"/>
  </si>
  <si>
    <t>1st audit</t>
    <phoneticPr fontId="13" type="noConversion"/>
  </si>
  <si>
    <t>2nd audit</t>
    <phoneticPr fontId="13" type="noConversion"/>
  </si>
  <si>
    <t xml:space="preserve">No Hong Kong Profits Tax has been provided as the Company did not generate any assessable profit after setting off against the tax losses brought forward during the </t>
    <phoneticPr fontId="13" type="noConversion"/>
  </si>
  <si>
    <t xml:space="preserve">No Hong Kong Profits Tax has been provided as the Company did not generate any assessable profit during the </t>
    <phoneticPr fontId="13" type="noConversion"/>
  </si>
  <si>
    <t xml:space="preserve">Hong Kong Profits Tax has been provided at the rate of 16.5% on the estimated assessable profit arising in Hong Kong during the </t>
    <phoneticPr fontId="13" type="noConversion"/>
  </si>
  <si>
    <t xml:space="preserve">Hong Kong Profits Tax has been provided at the rate of 16.5% </t>
    <phoneticPr fontId="13" type="noConversion"/>
  </si>
  <si>
    <t xml:space="preserve">: 16.5%) </t>
    <phoneticPr fontId="13" type="noConversion"/>
  </si>
  <si>
    <t xml:space="preserve">on the estimated assessable profit arising in Hong Kong during the </t>
    <phoneticPr fontId="13" type="noConversion"/>
  </si>
  <si>
    <t xml:space="preserve">For the year of assessment </t>
    <phoneticPr fontId="13" type="noConversion"/>
  </si>
  <si>
    <t>PROPERTY, PLANT AND EQUIPMENT</t>
  </si>
  <si>
    <t>Total</t>
  </si>
  <si>
    <t>Cost</t>
  </si>
  <si>
    <t xml:space="preserve">As at </t>
    <phoneticPr fontId="13" type="noConversion"/>
  </si>
  <si>
    <t>Addition</t>
  </si>
  <si>
    <t>Accumulated depreciation</t>
  </si>
  <si>
    <t>Net Book Value</t>
  </si>
  <si>
    <t xml:space="preserve">Particulars of the </t>
    <phoneticPr fontId="13" type="noConversion"/>
  </si>
  <si>
    <t xml:space="preserve"> disclosed pursuant to Section </t>
    <phoneticPr fontId="13" type="noConversion"/>
  </si>
  <si>
    <t xml:space="preserve"> of the Companies Ordinance is as follows:</t>
    <phoneticPr fontId="13" type="noConversion"/>
  </si>
  <si>
    <t>Balance as at</t>
  </si>
  <si>
    <t>outstanding</t>
    <phoneticPr fontId="13" type="noConversion"/>
  </si>
  <si>
    <t>Name of director(s)</t>
    <phoneticPr fontId="13" type="noConversion"/>
  </si>
  <si>
    <t xml:space="preserve">during the </t>
    <phoneticPr fontId="13" type="noConversion"/>
  </si>
  <si>
    <t>The amount is unsecured, interest free and repayable on demand.</t>
  </si>
  <si>
    <t>table start</t>
    <phoneticPr fontId="13" type="noConversion"/>
  </si>
  <si>
    <t>Authorised</t>
  </si>
  <si>
    <t>Delete authroised shares when Cap. 622</t>
    <phoneticPr fontId="13" type="noConversion"/>
  </si>
  <si>
    <t>Issued and fully paid</t>
  </si>
  <si>
    <t>MATERIAL RELATED PARTY TRANSACTIONS</t>
    <phoneticPr fontId="13" type="noConversion"/>
  </si>
  <si>
    <t>During the year, the Company has entered into the transactions with the following party:</t>
    <phoneticPr fontId="13" type="noConversion"/>
  </si>
  <si>
    <t>Name of party</t>
    <phoneticPr fontId="13" type="noConversion"/>
  </si>
  <si>
    <t>-</t>
    <phoneticPr fontId="13" type="noConversion"/>
  </si>
  <si>
    <t>COMPARATIVE FIGURES</t>
    <phoneticPr fontId="13" type="noConversion"/>
  </si>
  <si>
    <t xml:space="preserve">There are no comparative figures for the prior period as the financial statement is the first financial statement adopted by the Company. </t>
    <phoneticPr fontId="13" type="noConversion"/>
  </si>
  <si>
    <t xml:space="preserve">Our audit will be conducted on the basis that you acknowledge and understand that you have responsibility: </t>
    <phoneticPr fontId="13" type="noConversion"/>
  </si>
  <si>
    <t>To prepare financial statements which the financial position of the Company as at the end of the financial year and of its financial performance for the financial year are in accordance with the Small and Medium-sized Entity Financial Reporting Standard (SME-FRS) and the Companies Ordinance ("CO");</t>
    <phoneticPr fontId="13" type="noConversion"/>
  </si>
  <si>
    <t>To take all reasonable steps to ensure the Company keeps sufficient accounting records which show and explain the transactions of the Company, disclose with reasonable accuracy, at any time, the financial position and financial performance of the Company;</t>
    <phoneticPr fontId="13" type="noConversion"/>
  </si>
  <si>
    <t xml:space="preserve">To ensure that the financial statements comply with section 383 (Notes to Financial Statements to Contain Information on Directors' Emoluments etc) of the CO which must contain in the notes to the financial statements, the information prescribed by the Companies (Disclosure of Information about Benefits of Directors) Regulation (Cap. 622G); </t>
    <phoneticPr fontId="13" type="noConversion"/>
  </si>
  <si>
    <t xml:space="preserve">For such internal control as you determine is necessary to enable the preparation of financial statements that are free from material misstatement, whether due to fraud or error; </t>
    <phoneticPr fontId="13" type="noConversion"/>
  </si>
  <si>
    <t>e.</t>
    <phoneticPr fontId="13" type="noConversion"/>
  </si>
  <si>
    <t>Access to all information of which you are aware that is relevant to the preparation of the   financial statements such as company's books of account and all other relevant records and documentation, including minutes of all management and shareholders' meetings and other matters;</t>
    <phoneticPr fontId="13" type="noConversion"/>
  </si>
  <si>
    <t xml:space="preserve">Unrestricted access to persons within the company from whom we determine it necessary to obtain audit evidence. </t>
    <phoneticPr fontId="13" type="noConversion"/>
  </si>
  <si>
    <t>f.</t>
    <phoneticPr fontId="13" type="noConversion"/>
  </si>
  <si>
    <t xml:space="preserve">To provide us with (i) any proposed written resolution and (ii) any other document relating to the resolution that is required to be sent to a member of the Company, or before the circulation of written resolution to a member of the Company; and </t>
    <phoneticPr fontId="13" type="noConversion"/>
  </si>
  <si>
    <t>g.</t>
    <phoneticPr fontId="13" type="noConversion"/>
  </si>
  <si>
    <t xml:space="preserve">To notify us any passed written resolution within 15 days after resolution is passed. </t>
    <phoneticPr fontId="13" type="noConversion"/>
  </si>
  <si>
    <t>You are also responsible for the preparation and approval of the directors' report in accordance with the CO.</t>
    <phoneticPr fontId="13" type="noConversion"/>
  </si>
  <si>
    <t xml:space="preserve">We have a statutory responsibility to prepare a report to the members to state whether in our opinion the the financial position and financial performance of the Company for the financial year are in accordance with the SME-FRS and whether they have been properly prepared in compliance with the CO. We shall also state our opinion in the auditor's report if we are of the opinion that: </t>
    <phoneticPr fontId="13" type="noConversion"/>
  </si>
  <si>
    <t xml:space="preserve">adequate accounting records have not been kept by the Company; or </t>
    <phoneticPr fontId="13" type="noConversion"/>
  </si>
  <si>
    <t>the financial statements are not in agreement with the accounting records in any material respect; and</t>
    <phoneticPr fontId="13" type="noConversion"/>
  </si>
  <si>
    <t xml:space="preserve">We shall also state the fact in the auditor's report if we have failed to obtain all the information and explanations that, to the best of our knowledge and belief, are necessary and material for the purpose of the audit. </t>
    <phoneticPr fontId="13" type="noConversion"/>
  </si>
  <si>
    <t>In addition, where the financial statements do not contain information relating to directors' remuneration or loans to officers under section 383(1) of the CO, the CO requires us to include in our report, as far as we are reasonably able to do so, a statement giving the particulars that are required to be, but have not been, contained in the financial statements.</t>
    <phoneticPr fontId="13" type="noConversion"/>
  </si>
  <si>
    <t xml:space="preserve">We have a professional responsibility to report if the financial statements do not comply in any material respect with SME-FRS, unless in our opinion the noncompliance is justified in the circumstances. In determining whether or not the departure is justified, we consider: </t>
    <phoneticPr fontId="13" type="noConversion"/>
  </si>
  <si>
    <t xml:space="preserve">whether the departure is required in order for the (consolidated)* financial statements to give a true and fair view; and </t>
    <phoneticPr fontId="13" type="noConversion"/>
  </si>
  <si>
    <t xml:space="preserve">whether adequate disclosure has been made concerning the departure. </t>
    <phoneticPr fontId="13" type="noConversion"/>
  </si>
  <si>
    <t xml:space="preserve">We are required to read the information in the directors' report for the financial year to identify and report Inconsistencies with the financial statements. As required by the CO, if we are of the opinion that the information in the directors' report for a financial year is not consistent with the financial statements for the financial year, we shall state that opinion in our auditor's report; and we may bring that opinion to the members' attention at a general meeting. However, we are not required to audit or review the director's report and accordingly we will not express an opinion or review conclusion or any assurance on it. </t>
    <phoneticPr fontId="13" type="noConversion"/>
  </si>
  <si>
    <t xml:space="preserve">Our audit will be conducted in accordance with Hong Kong Standards on Auditing ("HKSAs") issued by the Hong Kong Institute of Certified Public Accountants. Those standards require that we comply with ethical requirements and plan and perform the audit to obtain reasonable assurance about whether the financial statements are free from material misstatement. 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An audit also includes evaluating the appropriateness of accounting policies used and the reasonableness of accounting estimates made by you, as well as evaluating the overall presentation of the financial statements. </t>
    <phoneticPr fontId="13" type="noConversion"/>
  </si>
  <si>
    <t xml:space="preserve">Because of the inherent limitations of an audit, together with the inherent limitations of internal control, there is an unavoidable risk that some material misstatements may not be detected, even though the audit is properly planned and performed in accordance with HKSAs. </t>
    <phoneticPr fontId="13" type="noConversion"/>
  </si>
  <si>
    <t>In making our risk assessments, we consider internal control relevant to the entity’s preparation of the financial statements in order to design audit procedures that are appropriate in the circumstances, but not for the purpose of expressing an opinion on the effectiveness of the entity’s internal control. However, we will communicate to you in writing concerning any significant deficiencies in internal control relevant to the audit of the financial statements that we have identified during the audit. Any such report may not be provided to third parties without our prior written consent. Such consent will be granted only on the basis that such reports are not prepared with the interests of anyone</t>
    <phoneticPr fontId="13" type="noConversion"/>
  </si>
  <si>
    <t xml:space="preserve">As part of our audit procedures, we will request you to provide written confirmation concerning representations which we have received from you during the course of the audit in connection with the audit. In connection with representations and the supply of information to us generally, we draw your attention to section 412 of the CO which sets out the rights of the auditor in relation to obtaining information from a person that is a related entity as defined in this section of the CO. You are also referred to section 413 of the CO which sets out the offences relating to section 412 of the CO. </t>
    <phoneticPr fontId="13" type="noConversion"/>
  </si>
  <si>
    <t xml:space="preserve">In order to assist us with the audit of your financial statements, we shall request sight of all documents or statements, including the chairman's statement, operating and financial review and the directors' report, which are due to be issued with the financial statements. We are also entitled to attend all general meetings of the Company and to receive notice of all such meetings. </t>
    <phoneticPr fontId="13" type="noConversion"/>
  </si>
  <si>
    <t>The responsibility for safeguarding the assets of the Company (and its subsidiaries)* and for the prevention and detection of fraud, error and non-compliance with law or regulations rests with you. However, we shall endeavour to plan our audit so that we have a reasonable expectation of detecting material misstatements in the financial statements or books of account (including those resulting from fraud, error or non-compliance with law or regulations), but our audit should not be relied upon to disclose all such material misstatements or frauds, errors or instances of non-compliance as may exist.</t>
    <phoneticPr fontId="13" type="noConversion"/>
  </si>
  <si>
    <t xml:space="preserve">We shall not be treated as having notice, for the purposes of our audit responsibilities, of information provided to members of our firm other than those engaged on the audit (for example information provided in connection with accounting, taxation and other services). </t>
    <phoneticPr fontId="13" type="noConversion"/>
  </si>
  <si>
    <t>Once we have issued our report we have no further direct responsibility in relation to the financial statements for that period. However, you agree that you will inform us of any material event occurring between the date of our report and that of the Annual General Meeting which may affect the financial statements.</t>
    <phoneticPr fontId="13" type="noConversion"/>
  </si>
  <si>
    <t>Our fees are computed on the basis of the time spent on your affairs by the partners and our staff and on the levels of skill and responsibility involved plus out-of-pocket expenses. Unless otherwise agreed, our fees will be billed at appropriate intervals during the course of the audit and will be due on presentation.</t>
    <phoneticPr fontId="13" type="noConversion"/>
  </si>
  <si>
    <t>Once it has been agreed, this letter will remain effective, from one audit appointment to another, until it is replaced. Please sign and return the enclosed copy of this letter to indicate your acknowledgement of, and agreement with, the arrangements for our audit of the financial statements including our respective responsibilities.</t>
    <phoneticPr fontId="13" type="noConversion"/>
  </si>
  <si>
    <r>
      <rPr>
        <sz val="14"/>
        <color theme="1"/>
        <rFont val="細明體"/>
        <family val="3"/>
        <charset val="136"/>
      </rPr>
      <t>日期</t>
    </r>
    <r>
      <rPr>
        <sz val="14"/>
        <color theme="1"/>
        <rFont val="Times New Roman"/>
        <family val="1"/>
      </rPr>
      <t xml:space="preserve">: </t>
    </r>
    <phoneticPr fontId="13" type="noConversion"/>
  </si>
  <si>
    <t>日的審計及報稅服務</t>
    <phoneticPr fontId="13" type="noConversion"/>
  </si>
  <si>
    <r>
      <rPr>
        <sz val="14"/>
        <color theme="1"/>
        <rFont val="細明體"/>
        <family val="3"/>
        <charset val="136"/>
      </rPr>
      <t>本所已於</t>
    </r>
    <r>
      <rPr>
        <sz val="14"/>
        <color theme="1"/>
        <rFont val="Times New Roman"/>
        <family val="1"/>
      </rPr>
      <t>2015</t>
    </r>
    <r>
      <rPr>
        <sz val="14"/>
        <color theme="1"/>
        <rFont val="細明體"/>
        <family val="3"/>
        <charset val="136"/>
      </rPr>
      <t>年</t>
    </r>
    <r>
      <rPr>
        <sz val="14"/>
        <color theme="1"/>
        <rFont val="Times New Roman"/>
        <family val="1"/>
      </rPr>
      <t>5</t>
    </r>
    <r>
      <rPr>
        <sz val="14"/>
        <color theme="1"/>
        <rFont val="細明體"/>
        <family val="3"/>
        <charset val="136"/>
      </rPr>
      <t>月</t>
    </r>
    <r>
      <rPr>
        <sz val="14"/>
        <color theme="1"/>
        <rFont val="Times New Roman"/>
        <family val="1"/>
      </rPr>
      <t>8</t>
    </r>
    <r>
      <rPr>
        <sz val="14"/>
        <color theme="1"/>
        <rFont val="細明體"/>
        <family val="3"/>
        <charset val="136"/>
      </rPr>
      <t>日為貴司提交審計報告，也收到稅局確認直到該日未有發出</t>
    </r>
    <r>
      <rPr>
        <sz val="14"/>
        <color theme="1"/>
        <rFont val="Times New Roman"/>
        <family val="1"/>
      </rPr>
      <t>2014/15</t>
    </r>
    <r>
      <rPr>
        <sz val="14"/>
        <color theme="1"/>
        <rFont val="細明體"/>
        <family val="3"/>
        <charset val="136"/>
      </rPr>
      <t>年度的利得稅報稅表。</t>
    </r>
    <phoneticPr fontId="13" type="noConversion"/>
  </si>
  <si>
    <t>因報稅表是只會發予貴司的注冊地址，日後如貴司收到報稅表，請盡快通知我所，讓我所有足夠的時候為貴司填報及遞交報稅表，以避免遲交罰款。</t>
    <phoneticPr fontId="13" type="noConversion"/>
  </si>
  <si>
    <t>謝謝，祝好。</t>
    <phoneticPr fontId="13" type="noConversion"/>
  </si>
  <si>
    <t>此敬</t>
    <phoneticPr fontId="13" type="noConversion"/>
  </si>
  <si>
    <t xml:space="preserve">TO: </t>
    <phoneticPr fontId="13" type="noConversion"/>
  </si>
  <si>
    <t xml:space="preserve">Re: Audit and taxation services for the </t>
    <phoneticPr fontId="13" type="noConversion"/>
  </si>
  <si>
    <t xml:space="preserve">We have submitted the audited accounts for your Company to the IRD on 8 May, 2015, also the IRD confirmed that the Profits tax return for the year of assessment 2014/15 was not yet issued. </t>
    <phoneticPr fontId="13" type="noConversion"/>
  </si>
  <si>
    <t>As the return will only be post to your Company's registered address, once the Profits tax return is subsequent issued to your Company, please provide to us the said return as soon as possible, therefore we have sufficient time to fill and submit the return for your Company and to avoid late submission penalty.</t>
    <phoneticPr fontId="13" type="noConversion"/>
  </si>
  <si>
    <t>Thank you for your kind attention.</t>
    <phoneticPr fontId="13" type="noConversion"/>
  </si>
  <si>
    <t xml:space="preserve">Your faithfully, </t>
    <phoneticPr fontId="13" type="noConversion"/>
  </si>
  <si>
    <t>Commissioner of Inland Revenue</t>
    <phoneticPr fontId="13" type="noConversion"/>
  </si>
  <si>
    <t xml:space="preserve">Revenue Tower
</t>
    <phoneticPr fontId="13" type="noConversion"/>
  </si>
  <si>
    <t>5 Gloucester Road</t>
    <phoneticPr fontId="13" type="noConversion"/>
  </si>
  <si>
    <t>Wanchai</t>
    <phoneticPr fontId="13" type="noConversion"/>
  </si>
  <si>
    <t>Hong Kong</t>
    <phoneticPr fontId="13" type="noConversion"/>
  </si>
  <si>
    <t>Profits Tax</t>
    <phoneticPr fontId="13" type="noConversion"/>
  </si>
  <si>
    <t xml:space="preserve">Year of Assessment </t>
    <phoneticPr fontId="13" type="noConversion"/>
  </si>
  <si>
    <t xml:space="preserve">BR NO.: </t>
    <phoneticPr fontId="13" type="noConversion"/>
  </si>
  <si>
    <t xml:space="preserve">The audited financial statements for the </t>
    <phoneticPr fontId="13" type="noConversion"/>
  </si>
  <si>
    <t xml:space="preserve"> are now enclosed for your reference.</t>
    <phoneticPr fontId="13" type="noConversion"/>
  </si>
  <si>
    <t>In order to avoid the lost by mail, please send us the Profits Tax Return (BIR 51) directly for client’s completion.</t>
    <phoneticPr fontId="13" type="noConversion"/>
  </si>
  <si>
    <t xml:space="preserve">FILE NO.: </t>
    <phoneticPr fontId="13" type="noConversion"/>
  </si>
  <si>
    <t>Please present the return to the bearer of this letter.</t>
    <phoneticPr fontId="13" type="noConversion"/>
  </si>
  <si>
    <t>Thank you for your attention.</t>
    <phoneticPr fontId="13" type="noConversion"/>
  </si>
  <si>
    <t>Private and Confidential</t>
    <phoneticPr fontId="13" type="noConversion"/>
  </si>
  <si>
    <t>Attn: Sir</t>
    <phoneticPr fontId="13" type="noConversion"/>
  </si>
  <si>
    <t xml:space="preserve">Our ref: </t>
    <phoneticPr fontId="13" type="noConversion"/>
  </si>
  <si>
    <t xml:space="preserve">We have been nominated to act as auditors of </t>
    <phoneticPr fontId="13" type="noConversion"/>
  </si>
  <si>
    <t>In order to assist us in determining whether to accept such nomination, we should be grateful if you would advise if there are any circumstances surrounding the proposed change of which we should be aware and any professional or other reasons why we should not accept the appointment and providing us with such information as you consider appropriate to be made available to us.</t>
    <phoneticPr fontId="13" type="noConversion"/>
  </si>
  <si>
    <t>We should be grateful if you would advise and confirm the arrangement of our meeting at your earliest convenience.</t>
    <phoneticPr fontId="13" type="noConversion"/>
  </si>
  <si>
    <t>Should you have any questions or require further clarifications, please do not hesitate to contact us.</t>
    <phoneticPr fontId="13" type="noConversion"/>
  </si>
  <si>
    <t>If we do not hear from you by 2 weeks time from date of request, we will assume that you are not aware of any circumstances which may affect our decision to accept this appointment.</t>
    <phoneticPr fontId="13" type="noConversion"/>
  </si>
  <si>
    <t>ABC LIMITED</t>
  </si>
  <si>
    <t>For this section, no need header like balance sheet.</t>
    <phoneticPr fontId="13" type="noConversion"/>
  </si>
  <si>
    <t>title</t>
    <phoneticPr fontId="13" type="noConversion"/>
  </si>
  <si>
    <t>The principal activity of the Company is general trading and product design.</t>
  </si>
  <si>
    <t>Movements in issued capital during the year are set out in note 8 to the financial statements.</t>
  </si>
  <si>
    <t>DIRECTOR’S INTEREST</t>
  </si>
  <si>
    <t>year</t>
    <phoneticPr fontId="13" type="noConversion"/>
  </si>
  <si>
    <t>The financial statements have been audited by Messrs. Uniwin International CPA Limited Certified Public Accountants (Practising) who retire and, being eligible, offer themselves for re-appointment at the forthcoming annual general meeting.</t>
    <phoneticPr fontId="13" type="noConversion"/>
  </si>
  <si>
    <t>The accompanying notes form an integral part of the financial statements.</t>
  </si>
  <si>
    <t>30.6.2013</t>
    <phoneticPr fontId="19" type="noConversion"/>
  </si>
  <si>
    <t>30.6.2012</t>
    <phoneticPr fontId="19" type="noConversion"/>
  </si>
  <si>
    <t>Property, plant and equipment</t>
    <phoneticPr fontId="13" type="noConversion"/>
  </si>
  <si>
    <t>Deposit</t>
    <phoneticPr fontId="13" type="noConversion"/>
  </si>
  <si>
    <t xml:space="preserve">Bank balances </t>
    <phoneticPr fontId="13" type="noConversion"/>
  </si>
  <si>
    <t>Accruals</t>
    <phoneticPr fontId="13" type="noConversion"/>
  </si>
  <si>
    <t>Issued capital</t>
    <phoneticPr fontId="13" type="noConversion"/>
  </si>
  <si>
    <t>The accompanying notes form an integral part of the financial statements.</t>
    <phoneticPr fontId="13" type="noConversion"/>
  </si>
  <si>
    <t xml:space="preserve">          __________________________</t>
    <phoneticPr fontId="13" type="noConversion"/>
  </si>
  <si>
    <t xml:space="preserve">           Director</t>
    <phoneticPr fontId="13" type="noConversion"/>
  </si>
  <si>
    <t>Share capital</t>
    <phoneticPr fontId="19" type="noConversion"/>
  </si>
  <si>
    <t>Balance as at 1 July, 2012</t>
    <phoneticPr fontId="19" type="noConversion"/>
  </si>
  <si>
    <t>Profit for the year</t>
    <phoneticPr fontId="19" type="noConversion"/>
  </si>
  <si>
    <t>Balance as at 30 June, 2013</t>
    <phoneticPr fontId="19" type="noConversion"/>
  </si>
  <si>
    <t>Balance as at 1 July, 2011</t>
    <phoneticPr fontId="19" type="noConversion"/>
  </si>
  <si>
    <t>Loss for the year</t>
    <phoneticPr fontId="19" type="noConversion"/>
  </si>
  <si>
    <t>Balance as at 30 June, 2012</t>
    <phoneticPr fontId="19" type="noConversion"/>
  </si>
  <si>
    <r>
      <t>1.</t>
    </r>
    <r>
      <rPr>
        <b/>
        <sz val="7"/>
        <color theme="1"/>
        <rFont val="Times New Roman"/>
        <family val="1"/>
      </rPr>
      <t>         </t>
    </r>
    <phoneticPr fontId="13" type="noConversion"/>
  </si>
  <si>
    <t>GENERAL</t>
    <phoneticPr fontId="13" type="noConversion"/>
  </si>
  <si>
    <t>ABC LIMITED (“the Company”) is a private limited liability company. The principal activity of the company is general trading and product design. The registered office of the Company is located at Unit 704, 7/F., Bright Way Tower, 33 Mong Kok Road, Mong Kok, Kowloon, Hong Kong.</t>
    <phoneticPr fontId="13" type="noConversion"/>
  </si>
  <si>
    <r>
      <t>2.</t>
    </r>
    <r>
      <rPr>
        <b/>
        <sz val="7"/>
        <color theme="1"/>
        <rFont val="Times New Roman"/>
        <family val="1"/>
      </rPr>
      <t xml:space="preserve">          </t>
    </r>
    <phoneticPr fontId="13" type="noConversion"/>
  </si>
  <si>
    <t xml:space="preserve">STATEMENT OF COMPLIANCE </t>
    <phoneticPr fontId="13" type="noConversion"/>
  </si>
  <si>
    <t>At the balance sheet date, the Company had net liabilities of HK$371,548 (2012: HK$413,868). The shareholder confirmed his intention to provide continuing financial support to the Company. Consequently, the financial statements have been prepared on a going concern basis and do not include any adjustments that would result from a failure to obtain such financial support.</t>
    <phoneticPr fontId="13" type="noConversion"/>
  </si>
  <si>
    <t>The company qualifies under the Companies Ordinance to prepare and present its financial statements in accordance with section 141D of that Ordinance.  The company’s shareholder has agreed in writing to apply section 141D with respect to the company’s financial statements for the year ended 30 June, 2013.</t>
    <phoneticPr fontId="13" type="noConversion"/>
  </si>
  <si>
    <t>The measurement base adopted is the historical cost basis.</t>
    <phoneticPr fontId="13" type="noConversion"/>
  </si>
  <si>
    <r>
      <t>3.</t>
    </r>
    <r>
      <rPr>
        <b/>
        <sz val="7"/>
        <color theme="1"/>
        <rFont val="Times New Roman"/>
        <family val="1"/>
      </rPr>
      <t xml:space="preserve">          </t>
    </r>
    <r>
      <rPr>
        <b/>
        <sz val="11"/>
        <color theme="1"/>
        <rFont val="Times New Roman"/>
        <family val="1"/>
      </rPr>
      <t>SUMMARY OF SIGNIFICANT ACCOUNTING POLICIES</t>
    </r>
    <phoneticPr fontId="13" type="noConversion"/>
  </si>
  <si>
    <t xml:space="preserve">The principal accounting policies applied in the preparation of these financial statements are set </t>
  </si>
  <si>
    <t>out below:</t>
    <phoneticPr fontId="13" type="noConversion"/>
  </si>
  <si>
    <r>
      <t>a.</t>
    </r>
    <r>
      <rPr>
        <sz val="7"/>
        <color theme="1"/>
        <rFont val="Times New Roman"/>
        <family val="1"/>
      </rPr>
      <t xml:space="preserve">           </t>
    </r>
    <r>
      <rPr>
        <sz val="11"/>
        <color theme="1"/>
        <rFont val="Times New Roman"/>
        <family val="1"/>
      </rPr>
      <t>Turnover</t>
    </r>
  </si>
  <si>
    <t xml:space="preserve">Turnover is recognised when it is probable that the economic benefits will flow to the </t>
  </si>
  <si>
    <t>Company and when the turnover can be measured reliably, on the following bases:</t>
  </si>
  <si>
    <t xml:space="preserve">(i)   sales of goods is recognised when the goods are delivered and the risks and rewards </t>
    <phoneticPr fontId="13" type="noConversion"/>
  </si>
  <si>
    <t>of ownership have passed to the customer; and</t>
    <phoneticPr fontId="13" type="noConversion"/>
  </si>
  <si>
    <t>(ii)   interest income is recognised as it accrues using the effective interest method.</t>
    <phoneticPr fontId="13" type="noConversion"/>
  </si>
  <si>
    <t>3.  SUMMARY OF SIGNIFICANT ACCOUNTING POLICIES - continued</t>
    <phoneticPr fontId="13" type="noConversion"/>
  </si>
  <si>
    <r>
      <t>b.</t>
    </r>
    <r>
      <rPr>
        <sz val="7"/>
        <color theme="1"/>
        <rFont val="Times New Roman"/>
        <family val="1"/>
      </rPr>
      <t xml:space="preserve">           </t>
    </r>
    <r>
      <rPr>
        <sz val="11"/>
        <color theme="1"/>
        <rFont val="Times New Roman"/>
        <family val="1"/>
      </rPr>
      <t>Taxation</t>
    </r>
    <phoneticPr fontId="13" type="noConversion"/>
  </si>
  <si>
    <t xml:space="preserve">Income tax expense represents current tax expense.  The income tax payable represents </t>
  </si>
  <si>
    <t xml:space="preserve">the amounts expected to be paid to the tax authority, using the tax rates that have been </t>
  </si>
  <si>
    <t>enacted or substantively enacted by the balance sheet date.</t>
  </si>
  <si>
    <r>
      <t>c.</t>
    </r>
    <r>
      <rPr>
        <sz val="7"/>
        <color theme="1"/>
        <rFont val="Times New Roman"/>
        <family val="1"/>
      </rPr>
      <t xml:space="preserve">           </t>
    </r>
    <r>
      <rPr>
        <sz val="11"/>
        <color theme="1"/>
        <rFont val="Times New Roman"/>
        <family val="1"/>
      </rPr>
      <t>Other receivables</t>
    </r>
    <phoneticPr fontId="13" type="noConversion"/>
  </si>
  <si>
    <t xml:space="preserve">Other receivables are stated at estimated realisable value after each debt has been </t>
  </si>
  <si>
    <t xml:space="preserve">considered individually.  Where the payment of a debt becomes doubtful a provision is </t>
  </si>
  <si>
    <t>made and charged to the income statement.</t>
  </si>
  <si>
    <r>
      <t>d.</t>
    </r>
    <r>
      <rPr>
        <sz val="7"/>
        <color theme="1"/>
        <rFont val="Times New Roman"/>
        <family val="1"/>
      </rPr>
      <t xml:space="preserve">           </t>
    </r>
    <r>
      <rPr>
        <sz val="11"/>
        <color theme="1"/>
        <rFont val="Times New Roman"/>
        <family val="1"/>
      </rPr>
      <t>Other payables</t>
    </r>
    <phoneticPr fontId="13" type="noConversion"/>
  </si>
  <si>
    <t xml:space="preserve">Other payables are recognised initially at the transaction price and subsequently measured </t>
  </si>
  <si>
    <t>at amortised cost using the effective interest method.</t>
  </si>
  <si>
    <r>
      <t>e.</t>
    </r>
    <r>
      <rPr>
        <sz val="7"/>
        <color theme="1"/>
        <rFont val="Times New Roman"/>
        <family val="1"/>
      </rPr>
      <t xml:space="preserve">           </t>
    </r>
    <r>
      <rPr>
        <sz val="11"/>
        <color theme="1"/>
        <rFont val="Times New Roman"/>
        <family val="1"/>
      </rPr>
      <t xml:space="preserve">Bank balances </t>
    </r>
    <phoneticPr fontId="13" type="noConversion"/>
  </si>
  <si>
    <t xml:space="preserve">Bank balances include demand deposits and other short-term highly liquid investments with </t>
  </si>
  <si>
    <t>original maturities of three months or less.</t>
  </si>
  <si>
    <r>
      <t>f.</t>
    </r>
    <r>
      <rPr>
        <sz val="7"/>
        <color theme="1"/>
        <rFont val="Times New Roman"/>
        <family val="1"/>
      </rPr>
      <t xml:space="preserve">           </t>
    </r>
    <r>
      <rPr>
        <sz val="11"/>
        <color theme="1"/>
        <rFont val="Times New Roman"/>
        <family val="1"/>
      </rPr>
      <t>Foreign exchange</t>
    </r>
    <phoneticPr fontId="13" type="noConversion"/>
  </si>
  <si>
    <t xml:space="preserve">Foreign currency transactions are converted at the exchange rate applicable at the </t>
  </si>
  <si>
    <t xml:space="preserve">transaction date. Foreign currency monetary items are translated into Hong Kong Dollars </t>
  </si>
  <si>
    <t xml:space="preserve">using exchange rates applicable at the balance sheet date. Gains and losses on foreign </t>
  </si>
  <si>
    <t>exchange are recognised in the income statement.</t>
  </si>
  <si>
    <r>
      <t>g.</t>
    </r>
    <r>
      <rPr>
        <sz val="7"/>
        <color theme="1"/>
        <rFont val="Times New Roman"/>
        <family val="1"/>
      </rPr>
      <t xml:space="preserve">           </t>
    </r>
    <r>
      <rPr>
        <sz val="11"/>
        <color theme="1"/>
        <rFont val="Times New Roman"/>
        <family val="1"/>
      </rPr>
      <t>Related parties</t>
    </r>
    <phoneticPr fontId="13" type="noConversion"/>
  </si>
  <si>
    <t xml:space="preserve">Parties are considered to be related if one party has the ability, directly or indirectly, to </t>
  </si>
  <si>
    <t xml:space="preserve">control the other party or exercise significant influence over the other party in making </t>
  </si>
  <si>
    <t xml:space="preserve">financial and operating decisions. Parties are also considered to be related if they are </t>
  </si>
  <si>
    <t xml:space="preserve">subject to common control or common significant influence. Related parties may be </t>
  </si>
  <si>
    <t>individuals or corporate entities.</t>
  </si>
  <si>
    <t>3.  SUMMARY OF SIGNIFICANT ACCOUNTING POLICIES - continued</t>
  </si>
  <si>
    <r>
      <t>h.</t>
    </r>
    <r>
      <rPr>
        <sz val="7"/>
        <color theme="1"/>
        <rFont val="Times New Roman"/>
        <family val="1"/>
      </rPr>
      <t xml:space="preserve">           </t>
    </r>
    <r>
      <rPr>
        <sz val="11"/>
        <color theme="1"/>
        <rFont val="Times New Roman"/>
        <family val="1"/>
      </rPr>
      <t>Property, plant and equipment</t>
    </r>
    <phoneticPr fontId="13" type="noConversion"/>
  </si>
  <si>
    <t xml:space="preserve">Property, plant and equipment are stated at cost less accumulated depreciation and </t>
  </si>
  <si>
    <t>accumulated impairment losses.</t>
  </si>
  <si>
    <t xml:space="preserve">The depreciable amount of an item of property, plant and equipment is allocated on a </t>
  </si>
  <si>
    <t xml:space="preserve">systematic basis over its estimated useful life using the straight-line method. The principal </t>
  </si>
  <si>
    <t>annual rates used for depreciation are as follows:</t>
  </si>
  <si>
    <r>
      <t>i.</t>
    </r>
    <r>
      <rPr>
        <sz val="7"/>
        <color theme="1"/>
        <rFont val="Times New Roman"/>
        <family val="1"/>
      </rPr>
      <t xml:space="preserve">           </t>
    </r>
    <r>
      <rPr>
        <sz val="11"/>
        <color theme="1"/>
        <rFont val="Times New Roman"/>
        <family val="1"/>
      </rPr>
      <t>Impairment of assets</t>
    </r>
    <phoneticPr fontId="13" type="noConversion"/>
  </si>
  <si>
    <t xml:space="preserve">An assessment is made at each balance sheet date to determine whether there is any </t>
  </si>
  <si>
    <t xml:space="preserve">indication of impairment or reversal of previous impairment, including items of property, </t>
  </si>
  <si>
    <t xml:space="preserve">plant and equipment, intangible assets and long-term investments.  In the event that an </t>
  </si>
  <si>
    <t xml:space="preserve">asset’s carrying amount exceeds its recoverable amount, the carrying amount is reduced to </t>
  </si>
  <si>
    <t xml:space="preserve">recoverable amount and an impairment loss is recognised in the income statement.  A </t>
  </si>
  <si>
    <t xml:space="preserve">previously recognised impairment loss is reversed only if there has been a change in the </t>
  </si>
  <si>
    <t xml:space="preserve">estimates used to determine the recoverable amount, however not to an amount higher than </t>
  </si>
  <si>
    <t xml:space="preserve">the carrying amount that would have been determined (net of amortisation or depreciation), </t>
  </si>
  <si>
    <t>had no impairment losses been recognised for the asset in prior periods.</t>
  </si>
  <si>
    <r>
      <t>j.</t>
    </r>
    <r>
      <rPr>
        <sz val="7"/>
        <color theme="1"/>
        <rFont val="Times New Roman"/>
        <family val="1"/>
      </rPr>
      <t xml:space="preserve">           </t>
    </r>
    <r>
      <rPr>
        <sz val="11"/>
        <color theme="1"/>
        <rFont val="Times New Roman"/>
        <family val="1"/>
      </rPr>
      <t>Finance leases</t>
    </r>
    <phoneticPr fontId="13" type="noConversion"/>
  </si>
  <si>
    <t xml:space="preserve">Leases that substantially transfer to the Company all the risks and rewards of </t>
  </si>
  <si>
    <t xml:space="preserve">ownership of assets, other than legal title, are accounted for as finance leases.  At the </t>
  </si>
  <si>
    <t>inception of the lease, finance lease is capitalised at the lower of the fair value of the leased</t>
  </si>
  <si>
    <t>asset or, if lower, the present value of the minimum lease payments.</t>
  </si>
  <si>
    <t xml:space="preserve">Lease payments are allocated between the capital and finance charges.  The corresponding </t>
  </si>
  <si>
    <t xml:space="preserve">rental obligations, net of finance charges, are recorded as obligations under finance leases. </t>
  </si>
  <si>
    <t xml:space="preserve">Finance charges are charged to the income statement in proportion to the capital balances </t>
  </si>
  <si>
    <t xml:space="preserve">outstanding.  Assets acquired through hire purchase contracts of a financing nature are </t>
  </si>
  <si>
    <t xml:space="preserve">accounted for as assets acquired through finance leases and are depreciated over their </t>
  </si>
  <si>
    <t>estimated useful lives.</t>
  </si>
  <si>
    <r>
      <t>4.</t>
    </r>
    <r>
      <rPr>
        <b/>
        <sz val="7"/>
        <color theme="1"/>
        <rFont val="Times New Roman"/>
        <family val="1"/>
      </rPr>
      <t xml:space="preserve">          </t>
    </r>
    <r>
      <rPr>
        <b/>
        <sz val="11"/>
        <color theme="1"/>
        <rFont val="Times New Roman"/>
        <family val="1"/>
      </rPr>
      <t>TURNOVER</t>
    </r>
    <phoneticPr fontId="13" type="noConversion"/>
  </si>
  <si>
    <t>Turnover represents the amounts received and receivables for goods sold to the customers during the period.</t>
  </si>
  <si>
    <r>
      <t>5.</t>
    </r>
    <r>
      <rPr>
        <b/>
        <sz val="7"/>
        <color theme="1"/>
        <rFont val="Times New Roman"/>
        <family val="1"/>
      </rPr>
      <t xml:space="preserve">          </t>
    </r>
    <r>
      <rPr>
        <b/>
        <sz val="11"/>
        <color theme="1"/>
        <rFont val="Times New Roman"/>
        <family val="1"/>
      </rPr>
      <t>PROFIT/(LOSS) FROM OPERATIONS AND BEFORE TAXATION</t>
    </r>
    <phoneticPr fontId="13" type="noConversion"/>
  </si>
  <si>
    <t>Profit/(loss) from operations and before taxation is arrived at:</t>
  </si>
  <si>
    <t>After Charging -</t>
    <phoneticPr fontId="19" type="noConversion"/>
  </si>
  <si>
    <t>Audit and other professional fees</t>
    <phoneticPr fontId="19" type="noConversion"/>
  </si>
  <si>
    <t>Depreciation expenses</t>
    <phoneticPr fontId="19" type="noConversion"/>
  </si>
  <si>
    <t>Exchange losses</t>
    <phoneticPr fontId="19" type="noConversion"/>
  </si>
  <si>
    <t>Rental expenses</t>
    <phoneticPr fontId="19" type="noConversion"/>
  </si>
  <si>
    <t>Staff cost</t>
    <phoneticPr fontId="19" type="noConversion"/>
  </si>
  <si>
    <r>
      <t>6.</t>
    </r>
    <r>
      <rPr>
        <b/>
        <sz val="7"/>
        <color theme="1"/>
        <rFont val="Times New Roman"/>
        <family val="1"/>
      </rPr>
      <t xml:space="preserve">          </t>
    </r>
    <r>
      <rPr>
        <b/>
        <sz val="11"/>
        <color theme="1"/>
        <rFont val="Times New Roman"/>
        <family val="1"/>
      </rPr>
      <t>TAXATION</t>
    </r>
    <phoneticPr fontId="13" type="noConversion"/>
  </si>
  <si>
    <t>No Hong Kong Profits Tax has been provided as the Company did not generate any assessable</t>
  </si>
  <si>
    <t>profit after setting off against the tax losses brought forward for the year.</t>
  </si>
  <si>
    <t>7. PROPERTY, PLANT AND EQUIPMENT</t>
    <phoneticPr fontId="13" type="noConversion"/>
  </si>
  <si>
    <t>Furniture &amp;</t>
    <phoneticPr fontId="19" type="noConversion"/>
  </si>
  <si>
    <t>Decoration</t>
    <phoneticPr fontId="19" type="noConversion"/>
  </si>
  <si>
    <t>Fixtures</t>
    <phoneticPr fontId="19" type="noConversion"/>
  </si>
  <si>
    <t>Equipment</t>
    <phoneticPr fontId="19" type="noConversion"/>
  </si>
  <si>
    <t>Cost</t>
    <phoneticPr fontId="19" type="noConversion"/>
  </si>
  <si>
    <t>As at 1 July, 2012</t>
    <phoneticPr fontId="19" type="noConversion"/>
  </si>
  <si>
    <t>Addition</t>
    <phoneticPr fontId="19" type="noConversion"/>
  </si>
  <si>
    <t>As at 30 June, 2013</t>
    <phoneticPr fontId="19" type="noConversion"/>
  </si>
  <si>
    <t>Accumulated depreciation</t>
    <phoneticPr fontId="19" type="noConversion"/>
  </si>
  <si>
    <t>Charge for the year</t>
    <phoneticPr fontId="19" type="noConversion"/>
  </si>
  <si>
    <t>Net Book Value</t>
    <phoneticPr fontId="19" type="noConversion"/>
  </si>
  <si>
    <t>As at 30 June, 2012</t>
    <phoneticPr fontId="19" type="noConversion"/>
  </si>
  <si>
    <r>
      <t>8.</t>
    </r>
    <r>
      <rPr>
        <b/>
        <sz val="7"/>
        <color theme="1"/>
        <rFont val="Times New Roman"/>
        <family val="1"/>
      </rPr>
      <t xml:space="preserve">          </t>
    </r>
    <r>
      <rPr>
        <b/>
        <sz val="11"/>
        <color theme="1"/>
        <rFont val="Times New Roman"/>
        <family val="1"/>
      </rPr>
      <t>AMOUNT DUE TO A DIRECTOR</t>
    </r>
    <phoneticPr fontId="13" type="noConversion"/>
  </si>
  <si>
    <r>
      <t>9.</t>
    </r>
    <r>
      <rPr>
        <b/>
        <sz val="7"/>
        <color theme="1"/>
        <rFont val="Times New Roman"/>
        <family val="1"/>
      </rPr>
      <t xml:space="preserve">          </t>
    </r>
    <r>
      <rPr>
        <b/>
        <sz val="11"/>
        <color theme="1"/>
        <rFont val="Times New Roman"/>
        <family val="1"/>
      </rPr>
      <t>ISSUED CAPITAL</t>
    </r>
    <phoneticPr fontId="13" type="noConversion"/>
  </si>
  <si>
    <t>30.6.2012</t>
    <phoneticPr fontId="13" type="noConversion"/>
  </si>
  <si>
    <t>Authorised</t>
    <phoneticPr fontId="19" type="noConversion"/>
  </si>
  <si>
    <t>10,000 ordinary shares of HK$1.00 each</t>
    <phoneticPr fontId="19" type="noConversion"/>
  </si>
  <si>
    <t>Issued and fully paid</t>
    <phoneticPr fontId="19" type="noConversion"/>
  </si>
  <si>
    <t xml:space="preserve">10,000 ordinary shares of HK$1.00 each </t>
    <phoneticPr fontId="19" type="noConversion"/>
  </si>
  <si>
    <t>Room C, 21/F., Central 88, 88 Des Voeux Road Central, Hong Kong</t>
    <phoneticPr fontId="13" type="noConversion"/>
  </si>
  <si>
    <t xml:space="preserve">Subscribed on </t>
    <phoneticPr fontId="13" type="noConversion"/>
  </si>
  <si>
    <t xml:space="preserve">   (Date of incorporation)</t>
    <phoneticPr fontId="13" type="noConversion"/>
  </si>
  <si>
    <t>I confirm that the immediate holding company is AAA Limited which was incorporated in Hong Kong and the ultimate holding company is BBB Limited which was incorporated in British Virgin Islands (or the People’s Republic of China).</t>
    <phoneticPr fontId="13" type="noConversion"/>
  </si>
  <si>
    <t>The amount is unsecured, interest free and repayable on demand.</t>
    <phoneticPr fontId="13" type="noConversion"/>
  </si>
  <si>
    <t>UNIT 1010, MIRAMAR TOWER, 132 NATHAN ROAD, TSIMSHATSUI, KOWLOON, HONG KONG</t>
    <phoneticPr fontId="13" type="noConversion"/>
  </si>
  <si>
    <t>(4) 75% of the 2011/12 profits tax is waived subject to a ceiling of $12,000 per case.</t>
    <phoneticPr fontId="13" type="noConversion"/>
  </si>
  <si>
    <t>(3) 75% of the 2012/13 profits tax is waived subject to a ceiling of $10,000 per case.</t>
    <phoneticPr fontId="13" type="noConversion"/>
  </si>
  <si>
    <t>(2) 75% of the 2013/14 profits tax is waived subject to a ceiling of $10,000 per case.</t>
    <phoneticPr fontId="13" type="noConversion"/>
  </si>
  <si>
    <t>(1) 75% of the 2014/15 profits tax is waived subject to a ceiling of $20,000 per case.</t>
    <phoneticPr fontId="13" type="noConversion"/>
  </si>
  <si>
    <t>http://www.gov.hk/en/residents/taxes/taxfiling/taxrates/profitsrates.htm</t>
    <phoneticPr fontId="13" type="noConversion"/>
  </si>
  <si>
    <t xml:space="preserve">: </t>
    <phoneticPr fontId="13" type="noConversion"/>
  </si>
  <si>
    <t>).</t>
  </si>
  <si>
    <t xml:space="preserve">) of tax payable would be waived, subject to a ceiling of </t>
  </si>
  <si>
    <t xml:space="preserve">, </t>
    <phoneticPr fontId="13" type="noConversion"/>
  </si>
  <si>
    <t xml:space="preserve"> (</t>
  </si>
  <si>
    <t xml:space="preserve"> of tax payable would be waived, subject to a ceiling of </t>
  </si>
  <si>
    <t xml:space="preserve">75% Tax deduction, limit to </t>
    <phoneticPr fontId="13" type="noConversion"/>
  </si>
  <si>
    <t>THIS YEAR</t>
    <phoneticPr fontId="13" type="noConversion"/>
  </si>
  <si>
    <t>LAST YEAR</t>
    <phoneticPr fontId="13" type="noConversion"/>
  </si>
  <si>
    <t>AMOUNT DUE TO A DIRECTOR</t>
    <phoneticPr fontId="13" type="noConversion"/>
  </si>
  <si>
    <t>AMOUNT DUE FROM A DIRECTOR</t>
    <phoneticPr fontId="13" type="noConversion"/>
  </si>
  <si>
    <t>AMOUNT DUE (TO)/FROM A DIRECTOR</t>
    <phoneticPr fontId="13" type="noConversion"/>
  </si>
  <si>
    <t>AMOUNT DUE FROM/(TO) A DIRECTOR</t>
    <phoneticPr fontId="13" type="noConversion"/>
  </si>
  <si>
    <t>/</t>
    <phoneticPr fontId="13" type="noConversion"/>
  </si>
  <si>
    <t>Acmount due from director</t>
    <phoneticPr fontId="13" type="noConversion"/>
  </si>
  <si>
    <t>Acmount due to director</t>
    <phoneticPr fontId="13" type="noConversion"/>
  </si>
  <si>
    <t xml:space="preserve">AMOUNT DUE </t>
    <phoneticPr fontId="13" type="noConversion"/>
  </si>
  <si>
    <t>/</t>
    <phoneticPr fontId="13" type="noConversion"/>
  </si>
  <si>
    <t>Maximum amount</t>
    <phoneticPr fontId="13" type="noConversion"/>
  </si>
  <si>
    <t>Business nature</t>
    <phoneticPr fontId="13" type="noConversion"/>
  </si>
  <si>
    <t>.</t>
    <phoneticPr fontId="13" type="noConversion"/>
  </si>
  <si>
    <t xml:space="preserve">The Company was inactive during the </t>
    <phoneticPr fontId="13" type="noConversion"/>
  </si>
  <si>
    <t>Inactive</t>
    <phoneticPr fontId="13" type="noConversion"/>
  </si>
  <si>
    <t xml:space="preserve"> (“the Company”) is a private limited liability company. </t>
    <phoneticPr fontId="13" type="noConversion"/>
  </si>
  <si>
    <t xml:space="preserve">The principal activity of the company was engaged in </t>
    <phoneticPr fontId="13" type="noConversion"/>
  </si>
  <si>
    <t>trading</t>
    <phoneticPr fontId="13" type="noConversion"/>
  </si>
  <si>
    <t>/</t>
    <phoneticPr fontId="13" type="noConversion"/>
  </si>
  <si>
    <t>1st audit</t>
    <phoneticPr fontId="13" type="noConversion"/>
  </si>
  <si>
    <t>Last year profit/loss</t>
    <phoneticPr fontId="13" type="noConversion"/>
  </si>
  <si>
    <t>services income is recognised when the services are rendered to the customers; and</t>
  </si>
  <si>
    <t xml:space="preserve"> ordinary </t>
    <phoneticPr fontId="13" type="noConversion"/>
  </si>
  <si>
    <t xml:space="preserve"> of HK$1.00 each </t>
  </si>
  <si>
    <t>Number of director</t>
    <phoneticPr fontId="13" type="noConversion"/>
  </si>
  <si>
    <t>Name of 1st director</t>
    <phoneticPr fontId="13" type="noConversion"/>
  </si>
  <si>
    <t>Name of 2nd director</t>
    <phoneticPr fontId="13" type="noConversion"/>
  </si>
  <si>
    <t>Name of 3rd director</t>
    <phoneticPr fontId="13" type="noConversion"/>
  </si>
  <si>
    <t>Name of 4th director</t>
    <phoneticPr fontId="13" type="noConversion"/>
  </si>
  <si>
    <t>Name of 5th director</t>
    <phoneticPr fontId="13" type="noConversion"/>
  </si>
  <si>
    <t>Name of 6th director</t>
    <phoneticPr fontId="13" type="noConversion"/>
  </si>
  <si>
    <t>last year</t>
    <phoneticPr fontId="13" type="noConversion"/>
  </si>
  <si>
    <t>Due from/(to)</t>
    <phoneticPr fontId="13" type="noConversion"/>
  </si>
  <si>
    <t>Emolument</t>
    <phoneticPr fontId="13" type="noConversion"/>
  </si>
  <si>
    <t>director</t>
  </si>
  <si>
    <t>Appointed</t>
    <phoneticPr fontId="13" type="noConversion"/>
  </si>
  <si>
    <t>Resigned</t>
    <phoneticPr fontId="13" type="noConversion"/>
  </si>
  <si>
    <t>if 1st audit, no need fill</t>
    <phoneticPr fontId="13" type="noConversion"/>
  </si>
  <si>
    <t>if not, fill here</t>
    <phoneticPr fontId="13" type="noConversion"/>
  </si>
  <si>
    <t xml:space="preserve">(Appointed on </t>
  </si>
  <si>
    <t>1 April, 2014</t>
  </si>
  <si>
    <t>Existing director</t>
    <phoneticPr fontId="13" type="noConversion"/>
  </si>
  <si>
    <t>For 1st director</t>
    <phoneticPr fontId="13" type="noConversion"/>
  </si>
  <si>
    <t>For 2nd director</t>
    <phoneticPr fontId="13" type="noConversion"/>
  </si>
  <si>
    <t>)</t>
    <phoneticPr fontId="13" type="noConversion"/>
  </si>
  <si>
    <t>For 3rd director</t>
    <phoneticPr fontId="13" type="noConversion"/>
  </si>
  <si>
    <t>For 4th director</t>
    <phoneticPr fontId="13" type="noConversion"/>
  </si>
  <si>
    <t>For 5th director</t>
    <phoneticPr fontId="13" type="noConversion"/>
  </si>
  <si>
    <t>For 6th director</t>
    <phoneticPr fontId="13" type="noConversion"/>
  </si>
  <si>
    <t xml:space="preserve"> to </t>
    <phoneticPr fontId="13" type="noConversion"/>
  </si>
  <si>
    <t xml:space="preserve">From </t>
    <phoneticPr fontId="13" type="noConversion"/>
  </si>
  <si>
    <t>Rm 905, Workingberg Commercial Bldg., 41-47 Marble Road, Hong Kong</t>
    <phoneticPr fontId="13" type="noConversion"/>
  </si>
  <si>
    <t>DENG DENG GUI</t>
    <phoneticPr fontId="13" type="noConversion"/>
  </si>
  <si>
    <t>Due from a director</t>
  </si>
  <si>
    <t>Due from a director</t>
    <phoneticPr fontId="13" type="noConversion"/>
  </si>
  <si>
    <t>Due to a director</t>
    <phoneticPr fontId="13" type="noConversion"/>
  </si>
  <si>
    <t>Director's information: PLEASE FILL IN NEXT PAGE</t>
    <phoneticPr fontId="13" type="noConversion"/>
  </si>
  <si>
    <t>FLAT/RM 1203A, 12/F, KAISER CENTRE, 18 CENTRE ST, SAI YING PUN, HONG KONG</t>
    <phoneticPr fontId="13" type="noConversion"/>
  </si>
  <si>
    <t>This is to follow this year over 18 months</t>
    <phoneticPr fontId="13" type="noConversion"/>
  </si>
  <si>
    <t xml:space="preserve">  </t>
    <phoneticPr fontId="13" type="noConversion"/>
  </si>
  <si>
    <t>Current investment represents an investment on unit trusts.</t>
    <phoneticPr fontId="13" type="noConversion"/>
  </si>
  <si>
    <t>Investment on trusts</t>
    <phoneticPr fontId="13" type="noConversion"/>
  </si>
  <si>
    <t>this is for 1st year audit, 0=FU</t>
    <phoneticPr fontId="13" type="noConversion"/>
  </si>
  <si>
    <t>this is for comparative audit, 0=FU</t>
    <phoneticPr fontId="13" type="noConversion"/>
  </si>
  <si>
    <t>1=1st year audit</t>
    <phoneticPr fontId="13" type="noConversion"/>
  </si>
  <si>
    <t>Transportation service income</t>
    <phoneticPr fontId="13" type="noConversion"/>
  </si>
  <si>
    <t xml:space="preserve">Turnover represents the amounts received or receivable for the services rendered to customers and goods sold to the customers during the </t>
    <phoneticPr fontId="13" type="noConversion"/>
  </si>
  <si>
    <t>Change of address?</t>
    <phoneticPr fontId="13" type="noConversion"/>
  </si>
  <si>
    <t>Last address</t>
    <phoneticPr fontId="13" type="noConversion"/>
  </si>
  <si>
    <t>Change date</t>
    <phoneticPr fontId="13" type="noConversion"/>
  </si>
  <si>
    <t>1=changed, 0=no change</t>
    <phoneticPr fontId="13" type="noConversion"/>
  </si>
  <si>
    <t xml:space="preserve"> since </t>
    <phoneticPr fontId="13" type="noConversion"/>
  </si>
  <si>
    <t>No Hong Kong Profits Tax has been provided during the year as the directors declare that the Company generated income from offshore operations which are not subject to Hong Kong taxation during the year.</t>
    <phoneticPr fontId="13" type="noConversion"/>
  </si>
  <si>
    <t>Offshore</t>
    <phoneticPr fontId="13" type="noConversion"/>
  </si>
  <si>
    <t>During the year ended 31 March 2013, the whole operation of the company was outside Hong Kong. The director of the company stationed outside Hong Kong. None of the purchase and sales contracts were effected in Hong Kong. And therefore, the company's assessable profit should not subject to Hong Kong profit tax.</t>
    <phoneticPr fontId="13" type="noConversion"/>
  </si>
  <si>
    <t>ROOM 1007, 10 FLOOR, CAREER AND KENSON INDUSTRIAL MANSION, 58 HUNG TO ROAD, KWUN TONG</t>
    <phoneticPr fontId="13" type="noConversion"/>
  </si>
  <si>
    <t>Inventories</t>
    <phoneticPr fontId="13" type="noConversion"/>
  </si>
  <si>
    <t>Inventories are stated at the lower of cost (using a first-in-first-out basis) and net realisable value. In arriving at net realisable value and allowance has been made for deterioration and obsolescence.</t>
    <phoneticPr fontId="13" type="noConversion"/>
  </si>
  <si>
    <t>An assessment is made at each balance sheet date to determine whether there is any indication of impairment or reversal of previous impairment, including items of property, plant and equipment, intangible assets and long-term investments.  In the event that an asset’s carrying amount exceeds its recoverable amount, the carrying amount is reduced to recoverable amount and an impairment loss is recognised in the income statement.  A previously recognised impairment loss is reversed only if there has been a change in the estimates used to determine the recoverable amount, however not to an amount higher than the carrying amount that would have been determined (net of amortisation or depreciation), had no impairment losses been recognised for the asset in prior periods.</t>
    <phoneticPr fontId="13" type="noConversion"/>
  </si>
  <si>
    <t>Amount due from a shareholder</t>
    <phoneticPr fontId="13" type="noConversion"/>
  </si>
  <si>
    <t>Year of Assessment 2014/15 and 2015/16</t>
    <phoneticPr fontId="13" type="noConversion"/>
  </si>
  <si>
    <t>As the auditor of the above company, we would like to obtain the duplicate copy of the Profits Tax Return form for the year of assessment 2014/15 and 2015/16.</t>
    <phoneticPr fontId="13" type="noConversion"/>
  </si>
  <si>
    <t>ROOM 1205, 12/F, TAI SANG BANK BUIDING, 130-132 DES VOEUX ROAD, CENTRAL, HONG KONG</t>
    <phoneticPr fontId="13" type="noConversion"/>
  </si>
  <si>
    <t>RM18M, 27/F, Ho King Comm CTR, 2-16 Fayuen ST, Mongkok Kowloon, Hong Kong</t>
    <phoneticPr fontId="13" type="noConversion"/>
  </si>
  <si>
    <t>OFFICE 3A-2, 12/F, KAISWER CENTRE, NO. 18 CENTRE STREET, SAI YING PUN, HK</t>
    <phoneticPr fontId="13" type="noConversion"/>
  </si>
  <si>
    <t>(Name of Company)</t>
  </si>
  <si>
    <t>日期：</t>
  </si>
  <si>
    <t>檔案號碼：</t>
  </si>
  <si>
    <t>Reference:</t>
  </si>
  <si>
    <t>Dear Sir/Madam:</t>
  </si>
  <si>
    <t>逕啟者：</t>
  </si>
  <si>
    <t>，為敝公司之審計師；在其定期性查核敝公司賬目之過程中，欲證明敝公司下列所結存或結欠    貴行之紀錄：</t>
  </si>
  <si>
    <t>Balance at</t>
  </si>
  <si>
    <t xml:space="preserve">Due to you </t>
  </si>
  <si>
    <t>截數日期</t>
  </si>
  <si>
    <t>THIS IS NOT A REQUEST FOR PAYMENT</t>
  </si>
  <si>
    <t>此信乃作對數之用，而非請求付款</t>
  </si>
  <si>
    <t>If you agree with the above balance please confirm by</t>
  </si>
  <si>
    <t>signing at  the  foot  of  this  page  and  returning  this</t>
  </si>
  <si>
    <t>簽署。如有差異，請將實數詳列於背面，並加</t>
  </si>
  <si>
    <t>confirmation directly to our auditors at:</t>
  </si>
  <si>
    <t>簽署。上述賬目若在截數日後己清付，仍請交</t>
  </si>
  <si>
    <t>回此證明書。</t>
  </si>
  <si>
    <t>Please  let our auditors  have your confirmation of the</t>
  </si>
  <si>
    <t>date.</t>
  </si>
  <si>
    <t>Should you disagree with the balance,  please provide</t>
  </si>
  <si>
    <t>our auditors details of the difference on the reverse of</t>
  </si>
  <si>
    <t>this confirmation.</t>
  </si>
  <si>
    <t>謹啟</t>
  </si>
  <si>
    <t>I / We confirm that the above balance is correct</t>
  </si>
  <si>
    <t>本人己確認上述銀碼與敝行賬目相符</t>
  </si>
  <si>
    <t>Confirmed</t>
  </si>
  <si>
    <t>己確認</t>
  </si>
  <si>
    <t>(Signature and chop i.e. stamp)</t>
  </si>
  <si>
    <t>Tax @ 16.5%</t>
    <phoneticPr fontId="19" type="noConversion"/>
  </si>
  <si>
    <t>Deloitte Touche Tohmatsu</t>
  </si>
  <si>
    <t>35/F One Pacific Place</t>
  </si>
  <si>
    <t>88 Queensway Hong Kong</t>
  </si>
  <si>
    <t>香港灣仔軒尼詩道145號安康商業大廈22樓</t>
    <phoneticPr fontId="13" type="noConversion"/>
  </si>
  <si>
    <t>Disposal</t>
    <phoneticPr fontId="13" type="noConversion"/>
  </si>
  <si>
    <t xml:space="preserve">The Company was inactive during the </t>
    <phoneticPr fontId="13" type="noConversion"/>
  </si>
  <si>
    <t>Auditor's sign name</t>
    <phoneticPr fontId="13" type="noConversion"/>
  </si>
  <si>
    <t>PC number</t>
    <phoneticPr fontId="13" type="noConversion"/>
  </si>
  <si>
    <t>(852)35823310</t>
  </si>
  <si>
    <t>(852)37569536</t>
  </si>
  <si>
    <t xml:space="preserve">Auditor – </t>
    <phoneticPr fontId="13" type="noConversion"/>
  </si>
  <si>
    <t xml:space="preserve">Practising Certificate No.: </t>
    <phoneticPr fontId="13" type="noConversion"/>
  </si>
  <si>
    <t>Tang Ka Ho</t>
    <phoneticPr fontId="13" type="noConversion"/>
  </si>
  <si>
    <t>7/F, SPA CENTRE, NO. 53-55 LOKHART ROAD, WAN CHAI, HK</t>
    <phoneticPr fontId="13" type="noConversion"/>
  </si>
  <si>
    <t xml:space="preserve">Address: </t>
    <phoneticPr fontId="13" type="noConversion"/>
  </si>
  <si>
    <t xml:space="preserve">Tel: </t>
    <phoneticPr fontId="13" type="noConversion"/>
  </si>
  <si>
    <t xml:space="preserve">Fax: </t>
    <phoneticPr fontId="13" type="noConversion"/>
  </si>
  <si>
    <t xml:space="preserve">Address: </t>
    <phoneticPr fontId="13" type="noConversion"/>
  </si>
  <si>
    <t>IRD Letter signer</t>
    <phoneticPr fontId="13" type="noConversion"/>
  </si>
  <si>
    <t>PERMITTED INDEMNITY PROVISIONS</t>
    <phoneticPr fontId="13" type="noConversion"/>
  </si>
  <si>
    <t>period start</t>
    <phoneticPr fontId="13" type="noConversion"/>
  </si>
  <si>
    <t>new std start</t>
    <phoneticPr fontId="13" type="noConversion"/>
  </si>
  <si>
    <t xml:space="preserve">At no time during the financial </t>
    <phoneticPr fontId="13" type="noConversion"/>
  </si>
  <si>
    <t xml:space="preserve"> and up to the date of this </t>
    <phoneticPr fontId="13" type="noConversion"/>
  </si>
  <si>
    <t xml:space="preserve"> Report, there was or is, any permitted indemnity provision being in force the benefit of any of the </t>
    <phoneticPr fontId="13" type="noConversion"/>
  </si>
  <si>
    <t xml:space="preserve"> are prepared, in all material respects, in accordance with the SME-FRS.</t>
    <phoneticPr fontId="13" type="noConversion"/>
  </si>
  <si>
    <t>This is Cap. 622 and clean, and over 18 month this year</t>
    <phoneticPr fontId="13" type="noConversion"/>
  </si>
  <si>
    <t>This is Cap. 622 and clean, and over 18 month last year</t>
    <phoneticPr fontId="13" type="noConversion"/>
  </si>
  <si>
    <t>over 18 month last year</t>
    <phoneticPr fontId="13" type="noConversion"/>
  </si>
  <si>
    <t>In accordance with the requirements of the Hong Kong Companies Ordinance, the audited financial statements are restricted to cover a period of not more than 18 months. However, the current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</si>
  <si>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In accordance with the requirements of the Hong Kong Companies Ordinance, the audited financial statements are restricted to cover a period of not more than 18 months. However, the last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</si>
  <si>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Room 608, Hong Kong Plaza, 188 Connaught Road West, Hong Kong</t>
    <phoneticPr fontId="13" type="noConversion"/>
  </si>
  <si>
    <t>FLAT 1801, WORKINGPORT COMMERCIAL BLDG. NO.3 HAU FOOK ST, TSIMSHATSUI, KOWLOON, HONG KONG.</t>
    <phoneticPr fontId="13" type="noConversion"/>
  </si>
  <si>
    <t>UNIT 1005, 10/F PROSPEROUS BLDG, 48-52 DES VOEUX ROAD, CENTRAL, HONG KONG</t>
    <phoneticPr fontId="13" type="noConversion"/>
  </si>
  <si>
    <t xml:space="preserve"> of the Company (whether made by the Company or otherwise).</t>
    <phoneticPr fontId="13" type="noConversion"/>
  </si>
  <si>
    <t xml:space="preserve"> or an associated company* (if made by the Company)</t>
    <phoneticPr fontId="13" type="noConversion"/>
  </si>
  <si>
    <t>to add when there is association</t>
    <phoneticPr fontId="13" type="noConversion"/>
  </si>
  <si>
    <t>Unit 704, 7/F., Bright Way Tower, 33 Mong Kok Road, Mong Kok, Kowloon, Hong Kong</t>
    <phoneticPr fontId="13" type="noConversion"/>
  </si>
  <si>
    <t>Room 603D, 6/F., Hang Pont Commercial Building, 31 Tonkin Street, Cheung Sha Wan, Kowloon, HK</t>
    <phoneticPr fontId="13" type="noConversion"/>
  </si>
  <si>
    <t>Room 1405D, 14/F, Lucky Centre, 165-171 Wanchai Road, Wanchai, Hong Kong</t>
    <phoneticPr fontId="13" type="noConversion"/>
  </si>
  <si>
    <t>Unit A1, 7/F, Cheuk Nang Plaza 250 Hennessy Road, Wanchai, Hong Kong</t>
    <phoneticPr fontId="13" type="noConversion"/>
  </si>
  <si>
    <t>UNIT 17, 9/F., TOWER A, NEW MANDARIN PLAZA, NO. 14 SCIENCE MUSEUM ROAD, TSIMSHATSUI, KOWLOON</t>
    <phoneticPr fontId="13" type="noConversion"/>
  </si>
  <si>
    <t>P06475</t>
    <phoneticPr fontId="13" type="noConversion"/>
  </si>
  <si>
    <t>Need to add in disclaimer report formula</t>
    <phoneticPr fontId="13" type="noConversion"/>
  </si>
  <si>
    <t>Formation fees</t>
    <phoneticPr fontId="13" type="noConversion"/>
  </si>
  <si>
    <t>Has holding co.?</t>
    <phoneticPr fontId="13" type="noConversion"/>
  </si>
  <si>
    <t>Name of immediate holding co.</t>
    <phoneticPr fontId="13" type="noConversion"/>
  </si>
  <si>
    <t>Name of ultimate holding co.</t>
    <phoneticPr fontId="13" type="noConversion"/>
  </si>
  <si>
    <t>PERMITTED INDEMNITY PROVISIONS</t>
    <phoneticPr fontId="13" type="noConversion"/>
  </si>
  <si>
    <t>Fundamental uncertainty</t>
    <phoneticPr fontId="13" type="noConversion"/>
  </si>
  <si>
    <t xml:space="preserve">Charge for the </t>
    <phoneticPr fontId="13" type="noConversion"/>
  </si>
  <si>
    <t>Y</t>
    <phoneticPr fontId="13" type="noConversion"/>
  </si>
  <si>
    <t>Finance costs</t>
    <phoneticPr fontId="13" type="noConversion"/>
  </si>
  <si>
    <t xml:space="preserve">  Bank overdraft</t>
    <phoneticPr fontId="13" type="noConversion"/>
  </si>
  <si>
    <t xml:space="preserve">  Deposit received</t>
    <phoneticPr fontId="13" type="noConversion"/>
  </si>
  <si>
    <t>N</t>
    <phoneticPr fontId="13" type="noConversion"/>
  </si>
  <si>
    <t>Interest expenses</t>
    <phoneticPr fontId="13" type="noConversion"/>
  </si>
  <si>
    <t>Related directors</t>
    <phoneticPr fontId="13" type="noConversion"/>
  </si>
  <si>
    <t>Leung Chung Pak
Chan Pui Yee</t>
    <phoneticPr fontId="13" type="noConversion"/>
  </si>
  <si>
    <t>Flying King Investment Limited
 - Turnover</t>
    <phoneticPr fontId="13" type="noConversion"/>
  </si>
  <si>
    <t>Flying King Investment Limited
 - Other income</t>
    <phoneticPr fontId="13" type="noConversion"/>
  </si>
  <si>
    <t>Leung Chung Pak
Chan Pui Yee</t>
    <phoneticPr fontId="13" type="noConversion"/>
  </si>
  <si>
    <t>Heaven Sent Enterprises Limited
 - Turnover</t>
    <phoneticPr fontId="13" type="noConversion"/>
  </si>
  <si>
    <t>Leung Chung Pak
Chan Pui Yee</t>
    <phoneticPr fontId="13" type="noConversion"/>
  </si>
  <si>
    <t>STATEMENT OF FINANCIAL POSITION</t>
    <phoneticPr fontId="13" type="noConversion"/>
  </si>
  <si>
    <t>At no time during the financial year and up to the date of this Director's Report, there was or is, any permitted indemnity provision being in force the benefit of any of the director of the Company (whether made by the Company or otherwise) or an associated company* (if made by the Company).</t>
    <phoneticPr fontId="13" type="noConversion"/>
  </si>
  <si>
    <t xml:space="preserve"> under the Hong Kong Companies Ordinance.</t>
    <phoneticPr fontId="13" type="noConversion"/>
  </si>
  <si>
    <t xml:space="preserve">  Deposits and prepayments</t>
    <phoneticPr fontId="13" type="noConversion"/>
  </si>
  <si>
    <t>Gain on disposal of an associate</t>
    <phoneticPr fontId="13" type="noConversion"/>
  </si>
  <si>
    <t>Bad debt</t>
    <phoneticPr fontId="13" type="noConversion"/>
  </si>
  <si>
    <t>Unit 1213, 12/F, Wing On Plaza, 62 Mody Road, Tsim Sha Tsui East, Kowloon, Hong Kong</t>
    <phoneticPr fontId="13" type="noConversion"/>
  </si>
  <si>
    <t xml:space="preserve">  Deposit paid</t>
    <phoneticPr fontId="13" type="noConversion"/>
  </si>
  <si>
    <t>N</t>
    <phoneticPr fontId="13" type="noConversion"/>
  </si>
  <si>
    <t>This is for offshore</t>
    <phoneticPr fontId="13" type="noConversion"/>
  </si>
  <si>
    <t xml:space="preserve">Foreign currency transactions are converted at the exchange rate applicable at the transaction date. Foreign currency monetary items are translated into </t>
    <phoneticPr fontId="13" type="noConversion"/>
  </si>
  <si>
    <t xml:space="preserve"> using exchange rates applicable at the balance sheet date. Gains and losses on foreign exchange are recognised in the income statement.</t>
    <phoneticPr fontId="13" type="noConversion"/>
  </si>
  <si>
    <t>Hong Kong Dollars</t>
  </si>
  <si>
    <t>HK$</t>
  </si>
  <si>
    <t>港元</t>
  </si>
  <si>
    <t xml:space="preserve">  Accrued expenses</t>
    <phoneticPr fontId="13" type="noConversion"/>
  </si>
  <si>
    <t>N</t>
    <phoneticPr fontId="13" type="noConversion"/>
  </si>
  <si>
    <t>Income from decorating and plumbing works is recognised by reference to the stage of completion of the works; and</t>
    <phoneticPr fontId="13" type="noConversion"/>
  </si>
  <si>
    <t>Employee benefits</t>
    <phoneticPr fontId="13" type="noConversion"/>
  </si>
  <si>
    <t>Y</t>
    <phoneticPr fontId="13" type="noConversion"/>
  </si>
  <si>
    <t>Turnover represents the amounts received or receivable for the decorating and plumbing work rendered to customers during the year.</t>
    <phoneticPr fontId="13" type="noConversion"/>
  </si>
  <si>
    <t>Other</t>
    <phoneticPr fontId="13" type="noConversion"/>
  </si>
  <si>
    <t>item</t>
    <phoneticPr fontId="13" type="noConversion"/>
  </si>
  <si>
    <t>Not later than one year</t>
    <phoneticPr fontId="13" type="noConversion"/>
  </si>
  <si>
    <t>Later than one year</t>
    <phoneticPr fontId="13" type="noConversion"/>
  </si>
  <si>
    <t>Bank loan</t>
    <phoneticPr fontId="13" type="noConversion"/>
  </si>
  <si>
    <t>HK$1,000,000 5 years loan</t>
    <phoneticPr fontId="13" type="noConversion"/>
  </si>
  <si>
    <t xml:space="preserve"> - fully repayable in December 2015</t>
    <phoneticPr fontId="13" type="noConversion"/>
  </si>
  <si>
    <t>HK$1,065,087 2 years loan</t>
    <phoneticPr fontId="13" type="noConversion"/>
  </si>
  <si>
    <t xml:space="preserve"> - fully repayable in 25 June, 2019</t>
    <phoneticPr fontId="13" type="noConversion"/>
  </si>
  <si>
    <t>The bank loans were secured by personal guarantees given by the Company's directors and guarantee issued by the Government of the Hong Kong Special Administrative Region.</t>
    <phoneticPr fontId="13" type="noConversion"/>
  </si>
  <si>
    <t>ANTHONY HO &amp; COMPANY Certified Public Accountants</t>
  </si>
  <si>
    <t>Suite 608, 6/F, Weswick Commercial Building,</t>
  </si>
  <si>
    <t>147-151 Queen's Road East, Wanchai, Hong Kong</t>
  </si>
  <si>
    <t>ADDITIONS TO NON-CURRENT ASSETS</t>
    <phoneticPr fontId="19" type="noConversion"/>
  </si>
  <si>
    <t>and software</t>
    <phoneticPr fontId="19" type="noConversion"/>
  </si>
  <si>
    <t>Additions to fixed assets</t>
    <phoneticPr fontId="19" type="noConversion"/>
  </si>
  <si>
    <t>Furniture, fixtures and equipment</t>
    <phoneticPr fontId="19" type="noConversion"/>
  </si>
  <si>
    <t xml:space="preserve">Computer hardware </t>
    <phoneticPr fontId="19" type="noConversion"/>
  </si>
  <si>
    <t>Computer hardware and software</t>
    <phoneticPr fontId="19" type="noConversion"/>
  </si>
  <si>
    <t>ADD:</t>
    <phoneticPr fontId="13" type="noConversion"/>
  </si>
  <si>
    <t>Depreciation</t>
    <phoneticPr fontId="13" type="noConversion"/>
  </si>
  <si>
    <t>Penalty</t>
    <phoneticPr fontId="13" type="noConversion"/>
  </si>
  <si>
    <t>DEPRECIATION ALLOWANCE SCHEDULE</t>
    <phoneticPr fontId="19" type="noConversion"/>
  </si>
  <si>
    <t>20% Pool</t>
    <phoneticPr fontId="19" type="noConversion"/>
  </si>
  <si>
    <t>Allowance</t>
    <phoneticPr fontId="19" type="noConversion"/>
  </si>
  <si>
    <t>W.D.V. b/f</t>
    <phoneticPr fontId="19" type="noConversion"/>
  </si>
  <si>
    <t>Additions</t>
    <phoneticPr fontId="19" type="noConversion"/>
  </si>
  <si>
    <t>I.A. - 60%</t>
    <phoneticPr fontId="19" type="noConversion"/>
  </si>
  <si>
    <t>A.A.</t>
    <phoneticPr fontId="19" type="noConversion"/>
  </si>
  <si>
    <t>W.D.V. c/f</t>
    <phoneticPr fontId="19" type="noConversion"/>
  </si>
  <si>
    <t>COMMERCIAL BUILDING ALLOWANCE SCHEDULE</t>
    <phoneticPr fontId="19" type="noConversion"/>
  </si>
  <si>
    <t>Residual value b/f-Addition before Year of Assessment 2002/2003</t>
    <phoneticPr fontId="19" type="noConversion"/>
  </si>
  <si>
    <t>Residual value b/f-Addition on Year of Assessment 2002/2003</t>
    <phoneticPr fontId="19" type="noConversion"/>
  </si>
  <si>
    <r>
      <t xml:space="preserve">CBA ($6,667,752 X 4% + $2,950,000 </t>
    </r>
    <r>
      <rPr>
        <sz val="12"/>
        <rFont val="Symbol"/>
        <family val="1"/>
        <charset val="2"/>
      </rPr>
      <t>¸</t>
    </r>
    <r>
      <rPr>
        <sz val="12"/>
        <rFont val="Times New Roman"/>
        <family val="1"/>
      </rPr>
      <t>2</t>
    </r>
    <r>
      <rPr>
        <sz val="12"/>
        <rFont val="Symbol"/>
        <family val="1"/>
        <charset val="2"/>
      </rPr>
      <t>¸</t>
    </r>
    <r>
      <rPr>
        <sz val="12"/>
        <rFont val="Times New Roman"/>
        <family val="1"/>
      </rPr>
      <t>22)</t>
    </r>
    <phoneticPr fontId="19" type="noConversion"/>
  </si>
  <si>
    <t>Additions 2003/2004</t>
    <phoneticPr fontId="19" type="noConversion"/>
  </si>
  <si>
    <t>Additions 2004/2005</t>
    <phoneticPr fontId="19" type="noConversion"/>
  </si>
  <si>
    <t>Additions 2007/2008</t>
    <phoneticPr fontId="19" type="noConversion"/>
  </si>
  <si>
    <t>Deduction (HK$27,105 x 4%)</t>
    <phoneticPr fontId="19" type="noConversion"/>
  </si>
  <si>
    <t>W.D.V. c/f</t>
    <phoneticPr fontId="19" type="noConversion"/>
  </si>
  <si>
    <t>Computer hardware and software</t>
    <phoneticPr fontId="13" type="noConversion"/>
  </si>
  <si>
    <t>Depreciation allowance</t>
    <phoneticPr fontId="13" type="noConversion"/>
  </si>
  <si>
    <t>sales of food and beverage is recognised when food and beverage is sold and delivered to the customers; and</t>
    <phoneticPr fontId="13" type="noConversion"/>
  </si>
  <si>
    <t>sub-contracting income is recognised in accordance with the terms of the contract; and</t>
    <phoneticPr fontId="13" type="noConversion"/>
  </si>
  <si>
    <t>Obligations for contributions to defined contribution retirement plans, including contributions payable under the Hong Kong Mandatory Provident Fund Schemes Ordinance, are recognised as an expense in the income statement as incurred.</t>
    <phoneticPr fontId="13" type="noConversion"/>
  </si>
  <si>
    <t>Certified Public Accountant (Practising)</t>
    <phoneticPr fontId="13" type="noConversion"/>
  </si>
  <si>
    <t>Interest expenses (capital in nature)</t>
    <phoneticPr fontId="13" type="noConversion"/>
  </si>
  <si>
    <t>Company set-up fees</t>
    <phoneticPr fontId="13" type="noConversion"/>
  </si>
  <si>
    <t>Matthew S.H. Law</t>
    <phoneticPr fontId="13" type="noConversion"/>
  </si>
  <si>
    <t>鄧家豪執業會計師</t>
    <phoneticPr fontId="13" type="noConversion"/>
  </si>
  <si>
    <t>羅城熙執業會計師</t>
    <phoneticPr fontId="13" type="noConversion"/>
  </si>
  <si>
    <t>P06530</t>
    <phoneticPr fontId="13" type="noConversion"/>
  </si>
  <si>
    <t>Law Shing Hei</t>
    <phoneticPr fontId="13" type="noConversion"/>
  </si>
  <si>
    <t>Unit 402, 4/F., Fourseas Building, No. 208 Nathan Road, Kowloon</t>
    <phoneticPr fontId="13" type="noConversion"/>
  </si>
  <si>
    <t>九龍彌敦道208號四海大廈4樓402室</t>
    <phoneticPr fontId="13" type="noConversion"/>
  </si>
  <si>
    <t>(852)37569536</t>
    <phoneticPr fontId="13" type="noConversion"/>
  </si>
  <si>
    <t>(852)96621161</t>
    <phoneticPr fontId="13" type="noConversion"/>
  </si>
  <si>
    <t>55668582-000</t>
    <phoneticPr fontId="13" type="noConversion"/>
  </si>
  <si>
    <t>NON-CURRENT ASSETS</t>
    <phoneticPr fontId="19" type="noConversion"/>
  </si>
  <si>
    <t>Property, plant and equipment</t>
    <phoneticPr fontId="13" type="noConversion"/>
  </si>
  <si>
    <t xml:space="preserve">Borrowing costs </t>
    <phoneticPr fontId="13" type="noConversion"/>
  </si>
  <si>
    <t>N</t>
    <phoneticPr fontId="13" type="noConversion"/>
  </si>
  <si>
    <t xml:space="preserve">When the outcome of a construction contract can be estimated reliably, contract costs are recognised as expenses by reference to the stage of completion of the contract activity at the balance sheet date. When it is probable that total contract costs will exceed total contract revenue, the expected loss is recognised as an expense immediately. When the outcome of a construction contract cannot be estimated reliably, contract costs are recognised as an expenses in the period in which they are incurred.   </t>
    <phoneticPr fontId="13" type="noConversion"/>
  </si>
  <si>
    <t>Construction contracts in progress at the balance sheet date are recorded at the net amount of costs incurred plus recognised profits less recognised losses and estimated value of work performed, and are presented in the balance sheet as “Gross amounts due from customers for contract work” (an asset) or “Gross amounts due to customers for contract work” (a liability), as applicable. Amounts billed, but not yet paid by customers, for work performed on a contract are included in the balance sheet under “Accounts receivable”.</t>
    <phoneticPr fontId="13" type="noConversion"/>
  </si>
  <si>
    <t>Construction Contracts</t>
    <phoneticPr fontId="13" type="noConversion"/>
  </si>
  <si>
    <t xml:space="preserve">  Other payables and accruals</t>
    <phoneticPr fontId="13" type="noConversion"/>
  </si>
  <si>
    <t>Staff cost</t>
    <phoneticPr fontId="13" type="noConversion"/>
  </si>
  <si>
    <t xml:space="preserve">The company qualifies under the predecessor Companies Ordinance (Chapter 32) to prepare and present its financial statements in accordance with section 141D of that Ordinance.  The company’s </t>
    <phoneticPr fontId="13" type="noConversion"/>
  </si>
  <si>
    <t>Rental commitment?</t>
    <phoneticPr fontId="13" type="noConversion"/>
  </si>
  <si>
    <t>Y</t>
    <phoneticPr fontId="13" type="noConversion"/>
  </si>
  <si>
    <t>Investments</t>
    <phoneticPr fontId="13" type="noConversion"/>
  </si>
  <si>
    <t xml:space="preserve">Current investments are stated at the lower of cost and net realisable value. Long-term investments are stated at cost less accumulated impairment losses.
</t>
    <phoneticPr fontId="13" type="noConversion"/>
  </si>
  <si>
    <t>LEUNG PIK KWAN CERTIFIED PUBLIC ACCOUNTANT (PRACTISING)</t>
  </si>
  <si>
    <t>Shop D, 15-I Nassau Road,</t>
  </si>
  <si>
    <t>Mei Foo Sun Chuen, Lai Chi Kok, Hong Kong</t>
  </si>
  <si>
    <t>PRESENT:</t>
    <phoneticPr fontId="13" type="noConversion"/>
  </si>
  <si>
    <t>1.</t>
    <phoneticPr fontId="13" type="noConversion"/>
  </si>
  <si>
    <t>CHAIRMAN</t>
    <phoneticPr fontId="13" type="noConversion"/>
  </si>
  <si>
    <t xml:space="preserve">2. </t>
    <phoneticPr fontId="13" type="noConversion"/>
  </si>
  <si>
    <t>NOTICE AND QUORUM</t>
    <phoneticPr fontId="13" type="noConversion"/>
  </si>
  <si>
    <t xml:space="preserve">3. </t>
    <phoneticPr fontId="13" type="noConversion"/>
  </si>
  <si>
    <t>4.</t>
    <phoneticPr fontId="13" type="noConversion"/>
  </si>
  <si>
    <t>APPOINTMENT OF AUDITORS</t>
    <phoneticPr fontId="13" type="noConversion"/>
  </si>
  <si>
    <t>5.</t>
    <phoneticPr fontId="13" type="noConversion"/>
  </si>
  <si>
    <t>TERMINATION</t>
    <phoneticPr fontId="13" type="noConversion"/>
  </si>
  <si>
    <t>There being no further business the Chairman declared the Meeting closed and it was noted that a quorum had been present throughout.</t>
    <phoneticPr fontId="13" type="noConversion"/>
  </si>
  <si>
    <t>MINUTES of an Annual General Meeting of the Company held at its Registered Office at 10AM on                                    .</t>
    <phoneticPr fontId="13" type="noConversion"/>
  </si>
  <si>
    <t xml:space="preserve"> was elected the Chairman of the Meeting.</t>
    <phoneticPr fontId="13" type="noConversion"/>
  </si>
  <si>
    <t xml:space="preserve">The Chairman tabled the balance sheet and profit and loss account for the </t>
    <phoneticPr fontId="13" type="noConversion"/>
  </si>
  <si>
    <t xml:space="preserve"> together with the </t>
    <phoneticPr fontId="13" type="noConversion"/>
  </si>
  <si>
    <t xml:space="preserve"> Report and Auditor's Report. The chairman then read the </t>
    <phoneticPr fontId="13" type="noConversion"/>
  </si>
  <si>
    <t xml:space="preserve"> Report.</t>
    <phoneticPr fontId="13" type="noConversion"/>
  </si>
  <si>
    <t xml:space="preserve">RESOLVED that the balance sheet and profit and loss accounts of the Company for the financial </t>
    <phoneticPr fontId="13" type="noConversion"/>
  </si>
  <si>
    <t xml:space="preserve">, together with the Reports of the </t>
    <phoneticPr fontId="13" type="noConversion"/>
  </si>
  <si>
    <t xml:space="preserve"> and Auditors, as presented be and are hereby received and adopted.</t>
    <phoneticPr fontId="13" type="noConversion"/>
  </si>
  <si>
    <t xml:space="preserve">RESOLVED that the </t>
    <phoneticPr fontId="13" type="noConversion"/>
  </si>
  <si>
    <t xml:space="preserve"> below be re-elected:</t>
    <phoneticPr fontId="13" type="noConversion"/>
  </si>
  <si>
    <t xml:space="preserve">RESOLVED that Messrs. </t>
    <phoneticPr fontId="13" type="noConversion"/>
  </si>
  <si>
    <t xml:space="preserve">, is hereby appointed as Auditor of the Company to hold office until the conclusion of the next AGM and the </t>
    <phoneticPr fontId="13" type="noConversion"/>
  </si>
  <si>
    <t xml:space="preserve"> be authorized to fix </t>
    <phoneticPr fontId="13" type="noConversion"/>
  </si>
  <si>
    <t xml:space="preserve"> remuneration.</t>
    <phoneticPr fontId="13" type="noConversion"/>
  </si>
  <si>
    <t>(Incorporated in Hong Kong)</t>
    <phoneticPr fontId="13" type="noConversion"/>
  </si>
  <si>
    <t>(the "Company")</t>
    <phoneticPr fontId="13" type="noConversion"/>
  </si>
  <si>
    <t>WRITTEN RESOLUTIONS OF ALL THE MEMBERS made pursuant to sec. 548 of the Companies Ordinance (Cap. 622) ("the Ordinance"):-</t>
    <phoneticPr fontId="13" type="noConversion"/>
  </si>
  <si>
    <t>RESOUTION(S)</t>
    <phoneticPr fontId="13" type="noConversion"/>
  </si>
  <si>
    <t>RESOLVED that the following resolution(s) be passed as:-</t>
    <phoneticPr fontId="13" type="noConversion"/>
  </si>
  <si>
    <t>SPECIAL RESOLUTION</t>
    <phoneticPr fontId="13" type="noConversion"/>
  </si>
  <si>
    <t>THAT in accordance with S.388(3)(c ) &amp; (4) of the Ordinance, the Company shall not prepare a business review required by Schedule 5 of the Ordinance for the financial year beginning on or after 1 st January, 2015.</t>
    <phoneticPr fontId="13" type="noConversion"/>
  </si>
  <si>
    <t>Date:</t>
    <phoneticPr fontId="13" type="noConversion"/>
  </si>
  <si>
    <t>THAT in accordance with S.388(3)(c ) &amp; (4) of the Ordinance, the Company shall not further prepare a business review required by Schedule 5 of the Ordinance in respect of all subsequent financial years until further resolved otherwise, or unless otherwise required under the Ordinance.</t>
    <phoneticPr fontId="13" type="noConversion"/>
  </si>
  <si>
    <t>Company no:</t>
    <phoneticPr fontId="13" type="noConversion"/>
  </si>
  <si>
    <t>COMPANIES ORDINANCE</t>
    <phoneticPr fontId="13" type="noConversion"/>
  </si>
  <si>
    <t>(Chapter 622)</t>
    <phoneticPr fontId="13" type="noConversion"/>
  </si>
  <si>
    <t>OF</t>
    <phoneticPr fontId="13" type="noConversion"/>
  </si>
  <si>
    <t xml:space="preserve">Passed on                      </t>
    <phoneticPr fontId="13" type="noConversion"/>
  </si>
  <si>
    <t xml:space="preserve">                       By a written resolution signed by All The members of the Company pursuant to section 548 of the Companies Ordinance, the following Special Resolution was duly passed:-</t>
    <phoneticPr fontId="13" type="noConversion"/>
  </si>
  <si>
    <t>The bank loans were secured by personal guarantees given by the Company's directors and guarantee issued by the Government of the Hong Kong Special Administrative Region.</t>
    <phoneticPr fontId="13" type="noConversion"/>
  </si>
  <si>
    <t>The bank loan amounted to HKDxxx is unsecured. The loan interest is charged at prevailing rate quoted by the People's Bank of China plus 20% to 25% of prevailing rate and repayable within three years.</t>
    <phoneticPr fontId="13" type="noConversion"/>
  </si>
  <si>
    <t>The bank loan amounted to HKDxxx was unsecured. The loan interest was charged at prevailing rate quoted by the People's Bank of China plus 15% of prevailing rate per annum. The loan was fully settled during the year ended 31 December, 2015</t>
    <phoneticPr fontId="13" type="noConversion"/>
  </si>
  <si>
    <t>The bank loan amounted to HKDxxx is secured by several Group's properties. The loan interest is charged at prime rate plus 15% to 40% of prime rate per annum.</t>
    <phoneticPr fontId="13" type="noConversion"/>
  </si>
  <si>
    <t>Other loan is unsecrued, interest-free and has no fixed term of repayment.</t>
    <phoneticPr fontId="13" type="noConversion"/>
  </si>
  <si>
    <t>Other loan from an independent third party was unsecrued, interest-free and repayable on demand. The loan was fully settled during the year ended 31 December, 2015.</t>
    <phoneticPr fontId="13" type="noConversion"/>
  </si>
  <si>
    <r>
      <t>J</t>
    </r>
    <r>
      <rPr>
        <sz val="11"/>
        <color theme="1"/>
        <rFont val="Calibri"/>
        <family val="2"/>
        <scheme val="minor"/>
      </rPr>
      <t>oint and several personal guarantees have been executed by third parties to a banker for general banking facilities to an extent of HKDxxx.</t>
    </r>
    <phoneticPr fontId="13" type="noConversion"/>
  </si>
  <si>
    <t>item</t>
    <phoneticPr fontId="13" type="noConversion"/>
  </si>
  <si>
    <t>N</t>
    <phoneticPr fontId="13" type="noConversion"/>
  </si>
  <si>
    <t>PLEDGE OF ASSETS/CONTINGENT LIABILITIES</t>
    <phoneticPr fontId="13" type="noConversion"/>
  </si>
  <si>
    <r>
      <t>T</t>
    </r>
    <r>
      <rPr>
        <sz val="11"/>
        <color theme="1"/>
        <rFont val="Calibri"/>
        <family val="2"/>
        <scheme val="minor"/>
      </rPr>
      <t>he Company's properties at Units xxx, Hong Kong has been mortgaged to a banker for banking facilities.</t>
    </r>
    <phoneticPr fontId="13" type="noConversion"/>
  </si>
  <si>
    <t>Pledged deposits for USDxxx and USD xxx have been made with a banker for general banking facilities.</t>
    <phoneticPr fontId="13" type="noConversion"/>
  </si>
  <si>
    <t>HONG KONG SOWA LIMITED</t>
    <phoneticPr fontId="13" type="noConversion"/>
  </si>
  <si>
    <t>BOARD OF DIRECTORS</t>
    <phoneticPr fontId="13" type="noConversion"/>
  </si>
  <si>
    <t xml:space="preserve">To the shareholders of </t>
    <phoneticPr fontId="13" type="noConversion"/>
  </si>
  <si>
    <t xml:space="preserve">Flat 501, 5th Floor, Cammer Commercial Building, </t>
    <phoneticPr fontId="13" type="noConversion"/>
  </si>
  <si>
    <t>30-32 Cameron Road, Tsim Sha Tsui, Kowloon</t>
    <phoneticPr fontId="13" type="noConversion"/>
  </si>
  <si>
    <t>Attn: Shareholders</t>
    <phoneticPr fontId="13" type="noConversion"/>
  </si>
  <si>
    <t>Date:</t>
    <phoneticPr fontId="13" type="noConversion"/>
  </si>
  <si>
    <t>HONG KONG SOWA LIMITED</t>
  </si>
  <si>
    <t>We would like to notify you our intention regarding not to prepare consolidated financial statements for the financial year ended 29 February, 2016, and the notification does not relate to any other financial year.</t>
    <phoneticPr fontId="13" type="noConversion"/>
  </si>
  <si>
    <t xml:space="preserve">We have been nominated to act as auditors of </t>
    <phoneticPr fontId="13" type="noConversion"/>
  </si>
  <si>
    <t xml:space="preserve"> for the </t>
    <phoneticPr fontId="13" type="noConversion"/>
  </si>
  <si>
    <t>year</t>
  </si>
  <si>
    <t xml:space="preserve"> ended </t>
    <phoneticPr fontId="13" type="noConversion"/>
  </si>
  <si>
    <t>29 February, 2016</t>
  </si>
  <si>
    <t>.</t>
    <phoneticPr fontId="13" type="noConversion"/>
  </si>
  <si>
    <t>Director</t>
    <phoneticPr fontId="13" type="noConversion"/>
  </si>
  <si>
    <t>KAZUHIKO MORIYA</t>
    <phoneticPr fontId="13" type="noConversion"/>
  </si>
  <si>
    <t>SHINICHI KURIMOTO</t>
    <phoneticPr fontId="13" type="noConversion"/>
  </si>
  <si>
    <t>Matthew Law CPA</t>
    <phoneticPr fontId="13" type="noConversion"/>
  </si>
  <si>
    <t>Eric Tang CPA</t>
  </si>
  <si>
    <t>55542148-000</t>
    <phoneticPr fontId="13" type="noConversion"/>
  </si>
  <si>
    <t xml:space="preserve">  </t>
    <phoneticPr fontId="13" type="noConversion"/>
  </si>
  <si>
    <t xml:space="preserve">TOTAL </t>
  </si>
  <si>
    <t xml:space="preserve">TOTAL </t>
    <phoneticPr fontId="13" type="noConversion"/>
  </si>
  <si>
    <t>(</t>
  </si>
  <si>
    <t>(</t>
    <phoneticPr fontId="13" type="noConversion"/>
  </si>
  <si>
    <t>)</t>
    <phoneticPr fontId="13" type="noConversion"/>
  </si>
  <si>
    <t xml:space="preserve">section </t>
  </si>
  <si>
    <t xml:space="preserve">section </t>
    <phoneticPr fontId="13" type="noConversion"/>
  </si>
  <si>
    <r>
      <t xml:space="preserve">After </t>
    </r>
    <r>
      <rPr>
        <sz val="11"/>
        <color theme="1"/>
        <rFont val="Calibri"/>
        <family val="2"/>
        <scheme val="minor"/>
      </rPr>
      <t>c</t>
    </r>
    <r>
      <rPr>
        <sz val="11"/>
        <color theme="1"/>
        <rFont val="Calibri"/>
        <family val="2"/>
        <scheme val="minor"/>
      </rPr>
      <t>harging/(crediting) -</t>
    </r>
    <phoneticPr fontId="13" type="noConversion"/>
  </si>
  <si>
    <t>/</t>
    <phoneticPr fontId="13" type="noConversion"/>
  </si>
  <si>
    <r>
      <t xml:space="preserve"> </t>
    </r>
    <r>
      <rPr>
        <sz val="11"/>
        <color theme="1"/>
        <rFont val="Calibri"/>
        <family val="2"/>
        <scheme val="minor"/>
      </rPr>
      <t>During the period, the company paid consultancy fee of HK$900,000 to the shareholders under the normal course of business at terms mutually agreed between the company and the shareholders.</t>
    </r>
    <phoneticPr fontId="13" type="noConversion"/>
  </si>
  <si>
    <t>N</t>
    <phoneticPr fontId="13" type="noConversion"/>
  </si>
  <si>
    <t>This is template</t>
    <phoneticPr fontId="13" type="noConversion"/>
  </si>
  <si>
    <t>Operating lease payments represent rentals payable by the company for its office premises. Lease is negotiated for a term of 2 years with fixed rental amounts.</t>
    <phoneticPr fontId="13" type="noConversion"/>
  </si>
  <si>
    <t>In addition, section 141D of the predecessor Companies Ordinance (Chapter 32) requires that the balance sheet together with the notes thereon should be prepared in accordance with the requirements of the Eleventh Schedule to that Ordinance.</t>
    <phoneticPr fontId="13" type="noConversion"/>
  </si>
  <si>
    <t>statement of financial position</t>
    <phoneticPr fontId="13" type="noConversion"/>
  </si>
  <si>
    <t xml:space="preserve"> are prepared, in all material respects, in accordance with the SME-FRS. In addition, in our opinion the statement of financial position together with the notes thereon is properly drawn up so as to exhibit a true and correct view of the state of the Company’s affairs as at </t>
    <phoneticPr fontId="13" type="noConversion"/>
  </si>
  <si>
    <r>
      <t>P</t>
    </r>
    <r>
      <rPr>
        <sz val="11"/>
        <color theme="1"/>
        <rFont val="Calibri"/>
        <family val="2"/>
        <scheme val="minor"/>
      </rPr>
      <t>roject income is recognised on accrual basis upon rendering the relevant services to customers.</t>
    </r>
    <phoneticPr fontId="13" type="noConversion"/>
  </si>
  <si>
    <r>
      <t>R</t>
    </r>
    <r>
      <rPr>
        <sz val="11"/>
        <color theme="1"/>
        <rFont val="Calibri"/>
        <family val="2"/>
        <scheme val="minor"/>
      </rPr>
      <t>oyalty income and joint office income are recognised on receipt basis.</t>
    </r>
    <phoneticPr fontId="13" type="noConversion"/>
  </si>
  <si>
    <r>
      <t>F</t>
    </r>
    <r>
      <rPr>
        <sz val="11"/>
        <color theme="1"/>
        <rFont val="Calibri"/>
        <family val="2"/>
        <scheme val="minor"/>
      </rPr>
      <t>urniture and fixtures</t>
    </r>
    <phoneticPr fontId="13" type="noConversion"/>
  </si>
  <si>
    <r>
      <t>M</t>
    </r>
    <r>
      <rPr>
        <sz val="11"/>
        <color theme="1"/>
        <rFont val="Calibri"/>
        <family val="2"/>
        <scheme val="minor"/>
      </rPr>
      <t>usical equipment</t>
    </r>
    <phoneticPr fontId="13" type="noConversion"/>
  </si>
  <si>
    <r>
      <t>O</t>
    </r>
    <r>
      <rPr>
        <sz val="11"/>
        <color theme="1"/>
        <rFont val="Calibri"/>
        <family val="2"/>
        <scheme val="minor"/>
      </rPr>
      <t>ffice equipment</t>
    </r>
    <phoneticPr fontId="13" type="noConversion"/>
  </si>
  <si>
    <r>
      <rPr>
        <sz val="11"/>
        <color theme="1"/>
        <rFont val="Calibri"/>
        <family val="2"/>
        <scheme val="minor"/>
      </rPr>
      <t>25</t>
    </r>
    <r>
      <rPr>
        <sz val="11"/>
        <color theme="1"/>
        <rFont val="Calibri"/>
        <family val="2"/>
        <scheme val="minor"/>
      </rPr>
      <t>%</t>
    </r>
    <phoneticPr fontId="13" type="noConversion"/>
  </si>
  <si>
    <t>During the year, the Company paid commission fees to a related party amounting to HK$1,915,738. The director considered that all these transactions were carried out at market price.</t>
    <phoneticPr fontId="13" type="noConversion"/>
  </si>
  <si>
    <t>the commission income is received upon the rendering of the relevant services;</t>
    <phoneticPr fontId="13" type="noConversion"/>
  </si>
  <si>
    <t>N</t>
    <phoneticPr fontId="13" type="noConversion"/>
  </si>
  <si>
    <t>Basic for qualified opinion</t>
    <phoneticPr fontId="13" type="noConversion"/>
  </si>
  <si>
    <t>Records was not available to us so as to enable us to test the completeness and accuracy of sales by means of tracing selected items of merchandise purchased by the Company to corresponding sales of the selected purchases.</t>
    <phoneticPr fontId="13" type="noConversion"/>
  </si>
  <si>
    <t>Qualified opinion arising from limitation of audit scope</t>
    <phoneticPr fontId="13" type="noConversion"/>
  </si>
  <si>
    <t>In our opinion, except for the effects of such adjustments, if any, as might have been determined to be necessary had we been able to satisfy ourselves as to accuracy of sales, the financial statement for the year ended 31 December, 2011 are prepared, in all material respects, in accordance with the SME-FRS. In addition, in our opinion the balance sheet together with the explanations given to us, and as shown by books of the Company.</t>
    <phoneticPr fontId="13" type="noConversion"/>
  </si>
  <si>
    <t>In respect alone of the limitation on our work relating to the sales;</t>
    <phoneticPr fontId="13" type="noConversion"/>
  </si>
  <si>
    <t>- we have not obtained all the information and explanation that we considered necessary for the purpose of our audit; and</t>
    <phoneticPr fontId="13" type="noConversion"/>
  </si>
  <si>
    <t xml:space="preserve">- we were unable to determine whether proper books of accounts had been kept. </t>
    <phoneticPr fontId="13" type="noConversion"/>
  </si>
  <si>
    <t>Report on other matters under section 141D of the Hong Kong Companies Ordinance</t>
    <phoneticPr fontId="13" type="noConversion"/>
  </si>
  <si>
    <t>We report that we have obtained all the information and explanations which we have required, except that our scope of audit was limited as explained above.</t>
    <phoneticPr fontId="13" type="noConversion"/>
  </si>
  <si>
    <t>Qualified opinion</t>
    <phoneticPr fontId="13" type="noConversion"/>
  </si>
  <si>
    <t>There is no system control on which we should reply for the purpose of our audit for the company’s recorded turnover of HK$3,421,922. There were no other satisfactory audit procedures that we should adopt to satisfy ourselves that the recorded turnover were free from material misstatement.</t>
    <phoneticPr fontId="13" type="noConversion"/>
  </si>
  <si>
    <t>- We have not obtained all the information and explanations which we have required and considered necessary for the purpose of our audit.</t>
    <phoneticPr fontId="13" type="noConversion"/>
  </si>
  <si>
    <t>N</t>
    <phoneticPr fontId="13" type="noConversion"/>
  </si>
  <si>
    <t>The bank loan was secured by personal guarantees given by the Company's director.</t>
    <phoneticPr fontId="13" type="noConversion"/>
  </si>
  <si>
    <t xml:space="preserve">Other than those disclosed in note 9 to the financial statements, no contracts of significance to which the Company was a party and in which the director of the Company had a material interest subsisted at the end of the </t>
    <phoneticPr fontId="13" type="noConversion"/>
  </si>
  <si>
    <t>For the year ended 31 July, 2016, the Company’s turnover was HK$4,384,004 compared with HK$2,358,599, showing a raise of 86% in business due to market expansion program implemented during the year. Also, the cost of turnover increased from HK$522,014 to HK$1,065,971 which shows a healthy and stable gross profit ratio for both years. Although overall the Company’s net loss HK$92,552 as compared with a loss of HK$116,477 in 2015, the directors consider that the competition within the industry shall remain great in the foreseeable future. With effective control measures in place, however, the Company is able to turn into profitable operation in the coming year.</t>
    <phoneticPr fontId="13" type="noConversion"/>
  </si>
  <si>
    <t>BUSINESS REVIEW</t>
    <phoneticPr fontId="13" type="noConversion"/>
  </si>
  <si>
    <t>N</t>
    <phoneticPr fontId="13" type="noConversion"/>
  </si>
  <si>
    <t>This is sample</t>
    <phoneticPr fontId="13" type="noConversion"/>
  </si>
  <si>
    <r>
      <t>T</t>
    </r>
    <r>
      <rPr>
        <sz val="11"/>
        <color theme="1"/>
        <rFont val="Calibri"/>
        <family val="2"/>
        <scheme val="minor"/>
      </rPr>
      <t>he leasehold land and buildings are held under medium term leases and situated in Hong Kong. The properties have been mortgaged to banks for loans amounting HK$5,282,416 (2014: HK$20,266,155) (note10) and general banking facilities granted to the company.</t>
    </r>
    <phoneticPr fontId="13"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</si>
  <si>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3" type="noConversion"/>
  </si>
  <si>
    <t>N</t>
    <phoneticPr fontId="13" type="noConversion"/>
  </si>
  <si>
    <t>N</t>
    <phoneticPr fontId="13" type="noConversion"/>
  </si>
  <si>
    <r>
      <t>These financial statements comply with the Small and Medium-sized Entity Financial Reporting Standards issued by the Hong Kong Institute of Certified Public Accountants and have been prepared under the accrual basis of accounting</t>
    </r>
    <r>
      <rPr>
        <sz val="11"/>
        <color theme="1"/>
        <rFont val="Calibri"/>
        <family val="2"/>
        <scheme val="minor"/>
      </rPr>
      <t xml:space="preserve"> and on a going concern basis</t>
    </r>
    <r>
      <rPr>
        <sz val="11"/>
        <color theme="1"/>
        <rFont val="Calibri"/>
        <family val="2"/>
        <scheme val="minor"/>
      </rPr>
      <t>.</t>
    </r>
    <phoneticPr fontId="13" type="noConversion"/>
  </si>
  <si>
    <r>
      <t>These financial statements comply with the SME-FRS and have been prepared under the accrual basis of accounting</t>
    </r>
    <r>
      <rPr>
        <sz val="11"/>
        <color theme="1"/>
        <rFont val="Calibri"/>
        <family val="2"/>
        <scheme val="minor"/>
      </rPr>
      <t xml:space="preserve"> and on a going concern basis</t>
    </r>
    <r>
      <rPr>
        <sz val="11"/>
        <color theme="1"/>
        <rFont val="Calibri"/>
        <family val="2"/>
        <scheme val="minor"/>
      </rPr>
      <t xml:space="preserve">. </t>
    </r>
    <phoneticPr fontId="13" type="noConversion"/>
  </si>
  <si>
    <t>Lau Ling Tao Tony, a company's director, has beneficial interest in Harvest Century Holdings (HK) Limited. Lau Tung Chee is a direct relative of a company's director.</t>
    <phoneticPr fontId="13" type="noConversion"/>
  </si>
  <si>
    <t>The bank shall be entitled to cancel the loan agreement and demand from the borrower discharge of the
outstanding loan amount, unpaid interest, agreement fee, default interest, penalties and other claims arising
from the loan agreement and standard loan agreement terms and conditions within 20 (twenty) banking days as
of the receipt of a corresponding notice from the bank if</t>
    <phoneticPr fontId="13" type="noConversion"/>
  </si>
  <si>
    <t xml:space="preserve">This amount represents an investment of 75% shareholding of L &amp; D Company Limited (incorporated in Hong Kong), includes HK$7,500 of share capital in this subsidiary plus HK$1,287,233 receivable from this subsidiary. The amount has no movement in the year. The subsidiary’s principal activity is construction engineering. </t>
    <phoneticPr fontId="13" type="noConversion"/>
  </si>
  <si>
    <t>If investment in a subsidiary</t>
    <phoneticPr fontId="13" type="noConversion"/>
  </si>
  <si>
    <r>
      <t>A</t>
    </r>
    <r>
      <rPr>
        <sz val="11"/>
        <color theme="1"/>
        <rFont val="Calibri"/>
        <family val="2"/>
        <scheme val="minor"/>
      </rPr>
      <t>BC</t>
    </r>
    <phoneticPr fontId="13" type="noConversion"/>
  </si>
  <si>
    <t>Other operating expenses</t>
    <phoneticPr fontId="13" type="noConversion"/>
  </si>
  <si>
    <t>NON-CURRENT LIABILITIES</t>
    <phoneticPr fontId="13" type="noConversion"/>
  </si>
  <si>
    <t>Bank loan</t>
    <phoneticPr fontId="13" type="noConversion"/>
  </si>
  <si>
    <t>Y</t>
    <phoneticPr fontId="13" type="noConversion"/>
  </si>
  <si>
    <t>Basis for qualified opinion</t>
    <phoneticPr fontId="13" type="noConversion"/>
  </si>
  <si>
    <t>The evidence available to us was limited because there was no satisfactory system of control over the Company's rental income amounting HK$4,516,046 on which we could rely for the purpose of our audit. There was no satisfactory alternative procedure which we could adopt to verify the valuation, completeness, cut-off, occurrence and accuracy of income and contingent liabilities.  Accordingly, we have not been able to obtain sufficient appropriate audit evidence to provide a basis for an audit opinion. Any adjustment to this figure may have a consequential significant effect on profit for the year and net assets as at 31 December, 2014.</t>
    <phoneticPr fontId="13" type="noConversion"/>
  </si>
  <si>
    <t>In our opinion, except for the possible effects of the matters as described in the basis for qualified opinion paragraph, the financial statements have been properly prepared, in all material respects, in accordance with the SME-FRS. In addition, in our opinion, except for the possible effects of the matter as described in the basis for qualified opinion paragraph, the balance sheet together with the notes thereon is properly drawn up so as to exhibit a true and correct view of the state of the company’s affairs as at 31 March, 2016 according to the best of our information and explanations given to us, and as shown by the books of the company.</t>
    <phoneticPr fontId="13" type="noConversion"/>
  </si>
  <si>
    <t>Report on other matters under section 359 of the Hong Kong Companies Ordinance</t>
    <phoneticPr fontId="13" type="noConversion"/>
  </si>
  <si>
    <t>In respect alone of the inability to obtain sufficient appropriate audit evidence regarding the above:</t>
    <phoneticPr fontId="13" type="noConversion"/>
  </si>
  <si>
    <t>I/We have carefully reviewed the contents of this computation and hereby confirm that they accurately</t>
    <phoneticPr fontId="19" type="noConversion"/>
  </si>
  <si>
    <t>reflect my/our understanding and position.</t>
    <phoneticPr fontId="19" type="noConversion"/>
  </si>
  <si>
    <t>I/We hereby authorize you to submit this computation to the Inland Revenue Department on my/our behalf.</t>
    <phoneticPr fontId="19" type="noConversion"/>
  </si>
  <si>
    <t>Approved by: ________________________________</t>
    <phoneticPr fontId="19" type="noConversion"/>
  </si>
  <si>
    <t>Date:   ______________________________________</t>
    <phoneticPr fontId="19" type="noConversion"/>
  </si>
  <si>
    <t xml:space="preserve">                       Director</t>
    <phoneticPr fontId="13" type="noConversion"/>
  </si>
  <si>
    <t>N</t>
    <phoneticPr fontId="13" type="noConversion"/>
  </si>
  <si>
    <t>Other Matter</t>
    <phoneticPr fontId="13" type="noConversion"/>
  </si>
  <si>
    <t>The financial statements of the Company for the period from 21 March 2011 (Date of incorporation) to 31 March, 2014, were audited by another auditor, who expressed a disclaimer opinion on those statements on 13 July, 2015.</t>
    <phoneticPr fontId="13" type="noConversion"/>
  </si>
  <si>
    <t xml:space="preserve">Basis for qualified opinion </t>
    <phoneticPr fontId="13" type="noConversion"/>
  </si>
  <si>
    <t>Report on other matters under section 141D of the predecessor Hong Kong Companies Ordinance (Chapter 32)</t>
    <phoneticPr fontId="13" type="noConversion"/>
  </si>
  <si>
    <t>In respect alone of the limitation on our work relating to matters as described in the basis of qualified opinion paragraph:</t>
    <phoneticPr fontId="13" type="noConversion"/>
  </si>
  <si>
    <t>we have not obtained all the information and explanations that we considered necessary for the purpose of our audit; and</t>
    <phoneticPr fontId="13" type="noConversion"/>
  </si>
  <si>
    <t>we were unable to determine whether proper books of account had been kept.</t>
    <phoneticPr fontId="13" type="noConversion"/>
  </si>
  <si>
    <t xml:space="preserve">The evidence available to us was limited because there was no satisfactory system of control over the Company's turnover of HK$5,486,424 and cost of turnover of HK$4,575,974 on which we could rely for the purpose of our audit, also the mentioned amounts were not prepared in accordance with section 8 of the SME-FRS. There was no satisfactory alternative procedure which we could adopt to verify the valuation, completeness, cut-off, occurrence and accuracy of income and contingent liabilities.  Accordingly, we have not been able to obtain sufficient appropriate audit evidence to provide a basis for an audit opinion. Any adjustment to this figure may have a consequential significant effect on profit for the year and net assets as at 31 March, 2015. </t>
    <phoneticPr fontId="13" type="noConversion"/>
  </si>
  <si>
    <t>In forming our opinion, we have considered the turnover, cost of turnover and work in progress for the year ended 31 March, 2016 were not prepared in accordance with section 8 of SME-FRS. There was no satisfactory alternative procedure which we could adopt to verify the valuation, completeness, cut-off, occurrence and accuracy of turnover, cost of turnover, work in progress and contingent liabilities. Our opinion is qualified in this respect.</t>
    <phoneticPr fontId="13" type="noConversion"/>
  </si>
  <si>
    <t>In addition to as disclosed elsewhere in these financial statements, the Company earned service income of HK$48,000 (2015: HK$96,000) from related companies which the sole director has beneficial interests.</t>
    <phoneticPr fontId="13" type="noConversion"/>
  </si>
  <si>
    <t>N</t>
  </si>
  <si>
    <t>(1) The Company’s principal activity is the provision of administrative service of funds transfers for related companies. At 31 March, 2016, the amounts due to related companies were HK$467,981. Although we have obtained audit confirmations from these related companies confirming these balances, we were still unable to satisfy ourselves as to the reasonableness of these balances as we were unable to obtain sufficient documentary evidence to ascertain the nature of the fund transfers made by the Company were really related to these related companies.</t>
    <phoneticPr fontId="13" type="noConversion"/>
  </si>
  <si>
    <t>(2) We were unable to obtain any documentary evidence or explanation for us to ascertain the balance due from director as set out in note 7 is reasonable and will be fully recoverable.is reasonable and will be fully recoverable.</t>
    <phoneticPr fontId="13" type="noConversion"/>
  </si>
  <si>
    <t>(3) We had similar qualifications in our independent auditor’s report to the Company’s previous financial statements in respect of (1) and (2). Accordingly, any necessary adjustment to these opening balances might have a significant consequential effect to the profit the year.</t>
    <phoneticPr fontId="13" type="noConversion"/>
  </si>
  <si>
    <t>Disclaimer of Opinion</t>
    <phoneticPr fontId="13" type="noConversion"/>
  </si>
  <si>
    <t>Because of the significant of the matters described in the above paragraph, we have not been able to obtain sufficient appropriate audit evidence to provide a basis for an audit opinion. Accordingly, we do not express an opinion on the financial statements and whether the financial statements have been properly prepared in accordance with the Hong Kong Companies Ordinance.</t>
    <phoneticPr fontId="13" type="noConversion"/>
  </si>
  <si>
    <t>Report on other matters under section 407(2) and 407(3) of the Hong Kong Companies Ordinance, Cap. 622</t>
    <phoneticPr fontId="13" type="noConversion"/>
  </si>
  <si>
    <t>In respect alone of inability to obtain sufficient appropriate audit evidence as mentioned above:</t>
    <phoneticPr fontId="13" type="noConversion"/>
  </si>
  <si>
    <t>(a) We have not obtained all the information and explanations that we considered necessary for the purpose of our audit; and</t>
    <phoneticPr fontId="13" type="noConversion"/>
  </si>
  <si>
    <t>(b) We were unable to determine whether proper books of account had been kept.</t>
    <phoneticPr fontId="13" type="noConversion"/>
  </si>
  <si>
    <r>
      <t>D</t>
    </r>
    <r>
      <rPr>
        <sz val="11"/>
        <color theme="1"/>
        <rFont val="Calibri"/>
        <family val="2"/>
        <scheme val="minor"/>
      </rPr>
      <t>onation expenses</t>
    </r>
    <phoneticPr fontId="13" type="noConversion"/>
  </si>
  <si>
    <r>
      <t>T</t>
    </r>
    <r>
      <rPr>
        <sz val="11"/>
        <color theme="1"/>
        <rFont val="Calibri"/>
        <family val="2"/>
        <scheme val="minor"/>
      </rPr>
      <t>he Company is a tax exempted company registered in Hong Kong and conducts its business in Mainland China.</t>
    </r>
    <phoneticPr fontId="13" type="noConversion"/>
  </si>
  <si>
    <t>The provision for PRC Enterprise Income Tax is based on a statutory rate of 25% of the assessable profits as determined in accordance with the relevant income tax rules and regulations of the PRC Enterprise Income Tax Law.</t>
    <phoneticPr fontId="13" type="noConversion"/>
  </si>
  <si>
    <t>0=Inactive, 1 = general trading, 2 = services, 3 = trading and services</t>
    <phoneticPr fontId="13" type="noConversion"/>
  </si>
  <si>
    <t>Cessation during this period?</t>
    <phoneticPr fontId="13" type="noConversion"/>
  </si>
  <si>
    <t>1=yes, 0=no</t>
    <phoneticPr fontId="13" type="noConversion"/>
  </si>
  <si>
    <t xml:space="preserve"> TO </t>
    <phoneticPr fontId="13" type="noConversion"/>
  </si>
  <si>
    <t>Emphasis of matter</t>
    <phoneticPr fontId="13" type="noConversion"/>
  </si>
  <si>
    <t>: HK$</t>
    <phoneticPr fontId="13" type="noConversion"/>
  </si>
  <si>
    <t>).</t>
    <phoneticPr fontId="13" type="noConversion"/>
  </si>
  <si>
    <t>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t>
    <phoneticPr fontId="13" type="noConversion"/>
  </si>
  <si>
    <t xml:space="preserve"> (</t>
    <phoneticPr fontId="13" type="noConversion"/>
  </si>
  <si>
    <t>.</t>
    <phoneticPr fontId="13" type="noConversion"/>
  </si>
  <si>
    <t>In forming our opinion, we have considered the adequacy of the disclosures made in the financial statements concerning the basis of preparation of the financial statements. At the balance sheet date, the Company had net liabilities of HK$</t>
    <phoneticPr fontId="13" type="noConversion"/>
  </si>
  <si>
    <t>In forming our opinion, we have considered the adequacy of the disclosures made in the financial statements concerning the basis of preparation of the financial statements.</t>
    <phoneticPr fontId="13" type="noConversion"/>
  </si>
  <si>
    <t>As at the reporting date, the Company’s net liabilities were amounted to HK$</t>
    <phoneticPr fontId="13" type="noConversion"/>
  </si>
  <si>
    <t xml:space="preserve"> (</t>
    <phoneticPr fontId="13" type="noConversion"/>
  </si>
  <si>
    <t xml:space="preserve">). The </t>
    <phoneticPr fontId="13" type="noConversion"/>
  </si>
  <si>
    <t xml:space="preserve"> </t>
    <phoneticPr fontId="13" type="noConversion"/>
  </si>
  <si>
    <t xml:space="preserve"> agreed to provide adequate funds to enable the Company to meet in full financial obligations as they fall due until the Company is de-registered. As the Company is in the process of applying deregistration from the Company Registry, the </t>
    <phoneticPr fontId="13" type="noConversion"/>
  </si>
  <si>
    <t xml:space="preserve"> </t>
    <phoneticPr fontId="13" type="noConversion"/>
  </si>
  <si>
    <t xml:space="preserve">that the going concern basis of preparation of financial statements is not appropriate. Therefore, these financial statements have been prepared by the </t>
    <phoneticPr fontId="13" type="noConversion"/>
  </si>
  <si>
    <t xml:space="preserve"> on a break-up basis. </t>
    <phoneticPr fontId="13" type="noConversion"/>
  </si>
  <si>
    <t xml:space="preserve">. The </t>
    <phoneticPr fontId="13" type="noConversion"/>
  </si>
  <si>
    <t xml:space="preserve">As the Company is in the process of applying deregistration from the Company Registry, the directors consider that the going concern basis of preparation of financial statements is not appropriate. Therefore, these financial statements have been prepared by the directors  on a break-up basis. </t>
    <phoneticPr fontId="13" type="noConversion"/>
  </si>
  <si>
    <t xml:space="preserve"> (DATE OF INCORPORATION) TO </t>
    <phoneticPr fontId="13" type="noConversion"/>
  </si>
  <si>
    <t xml:space="preserve"> (DATE OF CESSATION)</t>
    <phoneticPr fontId="13" type="noConversion"/>
  </si>
  <si>
    <t xml:space="preserve"> intention to provide continuing financial support to the Company. Consequently, the financial statements have been prepared on a going concern basis and do not include any adjustments that would result from a failure to obtain such financial support.</t>
    <phoneticPr fontId="13" type="noConversion"/>
  </si>
  <si>
    <t>Emphasis of matters</t>
    <phoneticPr fontId="13" type="noConversion"/>
  </si>
  <si>
    <t>Only one director signed the statement of financial position which violate section 387 (1)(b)(i) to the Companies Ordinance. Except for the possible effects of the matters as described above, the Group’s financial statements have been properly prepared in compliance with the Hong Kong Companies Ordinance.</t>
    <phoneticPr fontId="13" type="noConversion"/>
  </si>
  <si>
    <t>Basis for Qualified Opinion</t>
  </si>
  <si>
    <t>We have been unable to obtain sufficient evidence for the net realizable value of stock of HK$63,765. There were no practicable alternative audit procedures that we could apply to confirm the existence of stock amounting to HK$63,765 included in the statement of financial position at 31 March, 2016.</t>
    <phoneticPr fontId="13" type="noConversion"/>
  </si>
  <si>
    <t>Qualify Opinion</t>
  </si>
  <si>
    <t>In respect alone of the inability to obtain sufficient appropriate audit evidence regarding stocks as described in the Basis for qualified opinion paragraph above:</t>
    <phoneticPr fontId="13" type="noConversion"/>
  </si>
  <si>
    <r>
      <t>-</t>
    </r>
    <r>
      <rPr>
        <sz val="7"/>
        <color theme="1"/>
        <rFont val="Times New Roman"/>
        <family val="1"/>
      </rPr>
      <t xml:space="preserve">          </t>
    </r>
    <r>
      <rPr>
        <sz val="11"/>
        <color theme="1"/>
        <rFont val="Times New Roman"/>
        <family val="1"/>
      </rPr>
      <t>We have not obtained all the information and explanations that, to the best of our knowledge and belief, are necessary and material for the purpose of our audit; and</t>
    </r>
    <phoneticPr fontId="13" type="noConversion"/>
  </si>
  <si>
    <r>
      <t>-</t>
    </r>
    <r>
      <rPr>
        <sz val="7"/>
        <color theme="1"/>
        <rFont val="Times New Roman"/>
        <family val="1"/>
      </rPr>
      <t xml:space="preserve">          </t>
    </r>
    <r>
      <rPr>
        <sz val="11"/>
        <color theme="1"/>
        <rFont val="Times New Roman"/>
        <family val="1"/>
      </rPr>
      <t>We were unable to determine whether adequate accounting records had been kept.</t>
    </r>
    <phoneticPr fontId="13" type="noConversion"/>
  </si>
  <si>
    <t>Qualify stock 359(a) (other auditor template)</t>
    <phoneticPr fontId="13" type="noConversion"/>
  </si>
  <si>
    <t>Report on other matter under sections 407(2) and 407(3) of the Hong Kong Companies Ordinance</t>
    <phoneticPr fontId="13" type="noConversion"/>
  </si>
  <si>
    <t>only one director to sign (emphasis of matters).</t>
    <phoneticPr fontId="13" type="noConversion"/>
  </si>
  <si>
    <t>Functional currency</t>
    <phoneticPr fontId="13" type="noConversion"/>
  </si>
  <si>
    <t>United States Dollars</t>
    <phoneticPr fontId="13" type="noConversion"/>
  </si>
  <si>
    <t>美元</t>
    <phoneticPr fontId="13" type="noConversion"/>
  </si>
  <si>
    <t>European Dollars</t>
    <phoneticPr fontId="13" type="noConversion"/>
  </si>
  <si>
    <t>EUR</t>
    <phoneticPr fontId="13" type="noConversion"/>
  </si>
  <si>
    <t>US$</t>
    <phoneticPr fontId="13" type="noConversion"/>
  </si>
  <si>
    <t>歐元</t>
    <phoneticPr fontId="13" type="noConversion"/>
  </si>
  <si>
    <t>US$</t>
    <phoneticPr fontId="13" type="noConversion"/>
  </si>
  <si>
    <t xml:space="preserve">The financial statements are presented in </t>
    <phoneticPr fontId="13" type="noConversion"/>
  </si>
  <si>
    <t>.</t>
  </si>
  <si>
    <t>, and the functional currency of the Company</t>
    <phoneticPr fontId="13" type="noConversion"/>
  </si>
  <si>
    <t xml:space="preserve"> in </t>
    <phoneticPr fontId="13" type="noConversion"/>
  </si>
  <si>
    <t xml:space="preserve"> is</t>
    <phoneticPr fontId="13" type="noConversion"/>
  </si>
  <si>
    <t xml:space="preserve"> also</t>
    <phoneticPr fontId="13" type="noConversion"/>
  </si>
  <si>
    <t xml:space="preserve">, and the functional currencies of the Company are in </t>
    <phoneticPr fontId="13" type="noConversion"/>
  </si>
  <si>
    <t xml:space="preserve">. The exchange rate between </t>
    <phoneticPr fontId="13" type="noConversion"/>
  </si>
  <si>
    <t xml:space="preserve"> and </t>
    <phoneticPr fontId="13" type="noConversion"/>
  </si>
  <si>
    <t xml:space="preserve"> is pegged, the Company believes its exposure to exchange rate risk is minimal.</t>
    <phoneticPr fontId="13" type="noConversion"/>
  </si>
  <si>
    <t>DONATIONS</t>
    <phoneticPr fontId="13" type="noConversion"/>
  </si>
  <si>
    <t xml:space="preserve">The donations made by the Company during the </t>
    <phoneticPr fontId="13" type="noConversion"/>
  </si>
  <si>
    <t xml:space="preserve"> amounted to </t>
    <phoneticPr fontId="13" type="noConversion"/>
  </si>
  <si>
    <t xml:space="preserve"> (</t>
    <phoneticPr fontId="13" type="noConversion"/>
  </si>
  <si>
    <t xml:space="preserve">: </t>
    <phoneticPr fontId="13" type="noConversion"/>
  </si>
  <si>
    <t>)</t>
    <phoneticPr fontId="13" type="noConversion"/>
  </si>
  <si>
    <t>.</t>
    <phoneticPr fontId="13" type="noConversion"/>
  </si>
  <si>
    <r>
      <t xml:space="preserve"> - </t>
    </r>
    <r>
      <rPr>
        <sz val="11"/>
        <color theme="1"/>
        <rFont val="Calibri"/>
        <family val="2"/>
        <scheme val="minor"/>
      </rPr>
      <t>Mandatory Provident Fund</t>
    </r>
    <phoneticPr fontId="13" type="noConversion"/>
  </si>
  <si>
    <t>Y</t>
    <phoneticPr fontId="13" type="noConversion"/>
  </si>
  <si>
    <t>N</t>
    <phoneticPr fontId="13" type="noConversion"/>
  </si>
  <si>
    <t xml:space="preserve">The results of the Company for the year ended 31 March, 2013 and the state of the Company’s affairs at 31 March, 2013 are set out in the annexed financial statements.  An interim dividend of USD3.50 per ordinary share totaling USD35,000 was paid during the year ended 31 March 2013. The director does not recommend the payment of a final dividend for the year ended 31 March, 2013. </t>
    <phoneticPr fontId="13" type="noConversion"/>
  </si>
  <si>
    <t xml:space="preserve">The results of the Company for the </t>
    <phoneticPr fontId="13" type="noConversion"/>
  </si>
  <si>
    <t>This is dividend template</t>
    <phoneticPr fontId="13" type="noConversion"/>
  </si>
  <si>
    <r>
      <t xml:space="preserve">Small and Medium-sized Entity Financial Reporting Standards (SME-FRS)= </t>
    </r>
    <r>
      <rPr>
        <sz val="12"/>
        <color theme="0"/>
        <rFont val="細明體"/>
        <family val="3"/>
        <charset val="136"/>
      </rPr>
      <t xml:space="preserve">中小企財務匯報準則
</t>
    </r>
    <r>
      <rPr>
        <sz val="12"/>
        <color theme="0"/>
        <rFont val="Times New Roman"/>
        <family val="1"/>
      </rPr>
      <t xml:space="preserve">Hong Kong Financial Reporting Standard for Private Entities (HKFRS-PE) = </t>
    </r>
    <r>
      <rPr>
        <sz val="12"/>
        <color theme="0"/>
        <rFont val="細明體"/>
        <family val="3"/>
        <charset val="136"/>
      </rPr>
      <t xml:space="preserve">私營企業香港財務匯報準則
</t>
    </r>
    <r>
      <rPr>
        <sz val="12"/>
        <color theme="0"/>
        <rFont val="Times New Roman"/>
        <family val="1"/>
      </rPr>
      <t xml:space="preserve">Hong Kong Financial Reporting Standards (HKFRSs) = </t>
    </r>
    <r>
      <rPr>
        <sz val="12"/>
        <color theme="0"/>
        <rFont val="細明體"/>
        <family val="3"/>
        <charset val="136"/>
      </rPr>
      <t>香港財務匯報準則</t>
    </r>
    <phoneticPr fontId="13" type="noConversion"/>
  </si>
  <si>
    <r>
      <t>I</t>
    </r>
    <r>
      <rPr>
        <sz val="11"/>
        <color theme="1"/>
        <rFont val="Calibri"/>
        <family val="2"/>
        <scheme val="minor"/>
      </rPr>
      <t>ntangible assets</t>
    </r>
    <phoneticPr fontId="13" type="noConversion"/>
  </si>
  <si>
    <r>
      <t>I</t>
    </r>
    <r>
      <rPr>
        <sz val="11"/>
        <color theme="1"/>
        <rFont val="Calibri"/>
        <family val="2"/>
        <scheme val="minor"/>
      </rPr>
      <t>ntangible assets are stated at cost less accumulated amortisation and accumulated impairment losses and are amortised on a systematic basis over their estimated useful lives using the straight-line method.</t>
    </r>
    <phoneticPr fontId="13" type="noConversion"/>
  </si>
  <si>
    <t xml:space="preserve">  Intangible assets</t>
    <phoneticPr fontId="13" type="noConversion"/>
  </si>
  <si>
    <t>Turnover represents copyright licensed to the customers, and the turnover is recognised when on an accrual basis in accordance with the substance of the relevant agreement; and</t>
    <phoneticPr fontId="13" type="noConversion"/>
  </si>
  <si>
    <t>The director recommends the payment of a dividend of HK$8,100 per ordinary share totaling HK$810,000 for the year 2014 (last year).</t>
    <phoneticPr fontId="13" type="noConversion"/>
  </si>
  <si>
    <t xml:space="preserve"> ("the Company"). We are pleased to confirm our acceptance and our understanding of this audit engagement by means of this letter.</t>
    <phoneticPr fontId="13" type="noConversion"/>
  </si>
  <si>
    <t>The objectives of our audit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Hong Kong Standards on Auditing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t>
    <phoneticPr fontId="13" type="noConversion"/>
  </si>
  <si>
    <t xml:space="preserve">Responsibilities of </t>
    <phoneticPr fontId="13" type="noConversion"/>
  </si>
  <si>
    <t>Unit B, 6/F., Dragon Ind. Bldg., 93 King Lam Street, Lai Chi Kok, Kowloon, Hong Kong</t>
    <phoneticPr fontId="13" type="noConversion"/>
  </si>
  <si>
    <t>九龍荔枝角瓊林街93號龍翔工業中心6樓B室</t>
    <phoneticPr fontId="13" type="noConversion"/>
  </si>
  <si>
    <t>If Cap. 32</t>
    <phoneticPr fontId="13" type="noConversion"/>
  </si>
  <si>
    <t>Only one director signed the statement of financial position which violate section 129B to the Companies Ordinance (Cap. 32). Except for the possible effects of the matters as described above, the Group’s financial statements have been properly prepared in compliance with the Hong Kong Companies Ordinance.</t>
    <phoneticPr fontId="13" type="noConversion"/>
  </si>
  <si>
    <t>ALAN P.Y. CHEUNG &amp; CO. CERTIFIED PUBLIC ACCOUNTANTS (PRACTISING)</t>
  </si>
  <si>
    <t xml:space="preserve">Unit 1411, 14th Floor, Star House, </t>
  </si>
  <si>
    <t>No. 3 Salisbury Road, Kowloon, Hong Kong</t>
  </si>
  <si>
    <t>other examples: licensing software to receive subscription income</t>
    <phoneticPr fontId="13" type="noConversion"/>
  </si>
  <si>
    <t>turnover is recognised when license subscribed from website; and</t>
    <phoneticPr fontId="13" type="noConversion"/>
  </si>
  <si>
    <t>N</t>
    <phoneticPr fontId="13" type="noConversion"/>
  </si>
  <si>
    <t>Other sample: Turnover represents services provided to customers.</t>
    <phoneticPr fontId="13" type="noConversion"/>
  </si>
  <si>
    <t>Points must also present to professinoal</t>
    <phoneticPr fontId="13" type="noConversion"/>
  </si>
  <si>
    <t>Dividend paid?</t>
    <phoneticPr fontId="13" type="noConversion"/>
  </si>
  <si>
    <t>Allotment of shares?</t>
    <phoneticPr fontId="13" type="noConversion"/>
  </si>
  <si>
    <t>Formula before</t>
    <phoneticPr fontId="19" type="noConversion"/>
  </si>
  <si>
    <t>=IF(Control!D28=1,"N","Y")</t>
    <phoneticPr fontId="19" type="noConversion"/>
  </si>
  <si>
    <t>=+IF(Control!D28=1,"N",IF(AND(Control!G13=12,Control!G14=0),"N","Y"))</t>
    <phoneticPr fontId="19" type="noConversion"/>
  </si>
  <si>
    <t>=+IF(F19=0,"N","Y")</t>
    <phoneticPr fontId="19" type="noConversion"/>
  </si>
  <si>
    <t>N</t>
    <phoneticPr fontId="19" type="noConversion"/>
  </si>
  <si>
    <t>Basis for qualified opinion</t>
  </si>
  <si>
    <t xml:space="preserve">The financial statements of the Company for the year ended 31 December, 2014, which form the basis for the corresponding figures resented in the current year’s financial statements, was not satisfied because of the significance of the possible effect of the limitation on the scope of the audit in relation to the revenue and cost of sales. </t>
    <phoneticPr fontId="13" type="noConversion"/>
  </si>
  <si>
    <t>We are not able to obtain sufficient audit evidence to enable us to access the limitation of scope for the year ended 31 December, 2014. Any adjustment found to be necessary to the opening balance as at 1 January, 2016 may affect the balance of retained profits as at 1 January, 2016 and the results and related disclosures in the notes to the financial statements of the company for the year ended 31 December, 2016. The comparative figures showed in the financial statements may not be comparable with the figures for the current period.</t>
    <phoneticPr fontId="13" type="noConversion"/>
  </si>
  <si>
    <t>Qualified opinion</t>
    <phoneticPr fontId="13" type="noConversion"/>
  </si>
  <si>
    <t xml:space="preserve">We have audited the financial statements of KURTIS HOPE LIMITED ("the Company") set out on pages 5 to 12, which comprise the statement of financial position as at 31 December, 2016, and the income statement for the year then ended, and notes to the financial statements, including a summary of significant accounting policies. </t>
    <phoneticPr fontId="13" type="noConversion"/>
  </si>
  <si>
    <t>In our opinion, except for the possible effects of the matter described in the Basis for Qualified Opinion paragraph, the financial statements of the Company for the year ended 31 December, 2016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t>
    <phoneticPr fontId="13" type="noConversion"/>
  </si>
  <si>
    <t>(31/12/16, qualify opening balance due to disclaimer on sale and cos (not mentioning disclaimer)</t>
    <phoneticPr fontId="13" type="noConversion"/>
  </si>
  <si>
    <t>Report on other matters under section 359, 407 and 412 of the Hong Kong Companies Ordinance</t>
    <phoneticPr fontId="13" type="noConversion"/>
  </si>
  <si>
    <t>In respect alone of the limitation on our work relating to the above matters:</t>
    <phoneticPr fontId="13" type="noConversion"/>
  </si>
  <si>
    <t>- We have not obtained all the information and explanations that I considered necessary for the purpose of my audit; and</t>
    <phoneticPr fontId="13" type="noConversion"/>
  </si>
  <si>
    <t>- We was unable to determine whether proper books of account had been kept.</t>
    <phoneticPr fontId="13" type="noConversion"/>
  </si>
  <si>
    <t>Qualify sales</t>
    <phoneticPr fontId="13" type="noConversion"/>
  </si>
  <si>
    <t>Qualify turnover</t>
    <phoneticPr fontId="13" type="noConversion"/>
  </si>
  <si>
    <t>Qualify rental income</t>
    <phoneticPr fontId="13" type="noConversion"/>
  </si>
  <si>
    <t>Qualify turnover and cost of turnover</t>
    <phoneticPr fontId="13" type="noConversion"/>
  </si>
  <si>
    <t xml:space="preserve">In our opinion, except for the possible effects of the matter described in the Basis for Qualified Opinion paragraph, the financial statements of the Company for the year ended 31 March, 2016 are prepared, </t>
    <phoneticPr fontId="13" type="noConversion"/>
  </si>
  <si>
    <t>In our opinion, except for the possible effects of any adjustment that might have been found to be necessary in respect of the Company's turnover and cost of turnover, the financial statements of the Company for the period ended 31 March, 2015 are prepared, in all material respects, in accordance with the SME-FRS have been properly prepared in compliance with the Hong Kong Companies Ordinance.</t>
    <phoneticPr fontId="13" type="noConversion"/>
  </si>
  <si>
    <t>Basis for qualified opinion</t>
    <phoneticPr fontId="13" type="noConversion"/>
  </si>
  <si>
    <t xml:space="preserve">Qualify stock 359(a) </t>
    <phoneticPr fontId="13" type="noConversion"/>
  </si>
  <si>
    <t>We have not attended the inventory take as at 30 November, 2016. In consequence we were unable to carry out auditing procedures necessary to obtain adequate assurance regarding the quantities and condition of the inventories of the Company, appearing in the balance sheet of the Company at HK$7,947,981. There were no other satisfactory audit procedures that we could adopt to obtain sufficient evidence regarding the existence and valuation of inventories. Accordingly, we have not been able to obtain sufficient appropriate audit evidence to satisfy ourselves that the recorded inventories were free from material misstatements. Any adjustment to the figure may have a consequential significant effect on the profit for the year and net assets at 30 November, 2016.</t>
    <phoneticPr fontId="13" type="noConversion"/>
  </si>
  <si>
    <t>Qualified opinion</t>
    <phoneticPr fontId="13" type="noConversion"/>
  </si>
  <si>
    <t>In our opinion, except for the effects of such adjustments, if any, as might have been determined to be necessary had we been able to satisfy ourselves as to the inventories, the financial statements have been properly prepared, in all material respects, in accordance with the SME-FRS and have been properly prepared in compliance with the Hong Kong Companies Ordinance.</t>
    <phoneticPr fontId="13" type="noConversion"/>
  </si>
  <si>
    <t>No professional valuation has been carried out on the value of the Company’s investment property since the date of its acquisition.  The carrying value of the property as at 31 December 2016 amounted to HK$20,722,575. The accounts do not include any adjustment that would result from a current valuation of the property. I am unable to determine whether the value of the property is fairly stated.</t>
    <phoneticPr fontId="13" type="noConversion"/>
  </si>
  <si>
    <t xml:space="preserve">As mentioned in note 14 to the financial statements, the company has investment in subsidiaries. Included in the investment shown on the balance sheet is an amount due from a subsidiary of HK$358,630. The subsidiary has no security for this debt. Besides, no company research can be conducted for the subsidiaries in overseas. I have to therefore rely on the confirmation made by the management of the company as their correctness of the amount and physical existence thereof. The audited financial statement of the subsidiaries were available for my examination and there were no other satisfactory audit procedures that I could adopt to confirm correctness of carry amount of the subsidiaries included in the balance sheet as at 31 December 2016. </t>
    <phoneticPr fontId="13" type="noConversion"/>
  </si>
  <si>
    <t>Group accounts for the company and its subsidiaries have not been prepared and no financial information in respect of the subsidiaries is disclosed in the financial statements are required by both the Hong Kong Accounting Standard No.27 – Consolidated and Separate Financial Statements issued by the Hong Kong Institute of Certified Public Accounts. The financial statements do not include an explanation for this departure from an applicable accounting standard.</t>
    <phoneticPr fontId="13" type="noConversion"/>
  </si>
  <si>
    <t>Qualify investment property (CYTS (HONG KONG) LIMITED)</t>
    <phoneticPr fontId="13" type="noConversion"/>
  </si>
  <si>
    <t>Qualify existence of subsidiary (CYTS (HONG KONG) LIMITED)</t>
    <phoneticPr fontId="13" type="noConversion"/>
  </si>
  <si>
    <t>Qualify no consolidation (CYTS (HONG KONG) LIMITED)</t>
    <phoneticPr fontId="13" type="noConversion"/>
  </si>
  <si>
    <t>Report on the financial statements</t>
    <phoneticPr fontId="13" type="noConversion"/>
  </si>
  <si>
    <t xml:space="preserve">We have audited the financial statements of </t>
    <phoneticPr fontId="13" type="noConversion"/>
  </si>
  <si>
    <t xml:space="preserve"> ("the Company") set out on pages 5 to 10, which comprise the statement of financial position as at </t>
    <phoneticPr fontId="13" type="noConversion"/>
  </si>
  <si>
    <t xml:space="preserve">Opinion </t>
    <phoneticPr fontId="13" type="noConversion"/>
  </si>
  <si>
    <t xml:space="preserve">In our opinion, the financial statements of the Company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 </t>
    <phoneticPr fontId="13" type="noConversion"/>
  </si>
  <si>
    <t xml:space="preserve">Basis for Opinion </t>
    <phoneticPr fontId="13" type="noConversion"/>
  </si>
  <si>
    <t xml:space="preserve">Other Information </t>
    <phoneticPr fontId="13" type="noConversion"/>
  </si>
  <si>
    <t xml:space="preserve">The </t>
    <phoneticPr fontId="13" type="noConversion"/>
  </si>
  <si>
    <t xml:space="preserve"> responsible for the other information. The other information comprises the information included in the report of the </t>
    <phoneticPr fontId="13" type="noConversion"/>
  </si>
  <si>
    <t>, but does not include the financial statements and our auditor’s report thereon.</t>
    <phoneticPr fontId="13" type="noConversion"/>
  </si>
  <si>
    <t>Our opinion on the financial statements does not cover the other information and we do not express any form of assurance conclusion thereon.</t>
    <phoneticPr fontId="13" type="noConversion"/>
  </si>
  <si>
    <t xml:space="preserve">Responsibilities of </t>
    <phoneticPr fontId="13" type="noConversion"/>
  </si>
  <si>
    <t xml:space="preserve"> and Those Charged with Governance for the Financial Statements</t>
    <phoneticPr fontId="13" type="noConversion"/>
  </si>
  <si>
    <t xml:space="preserve"> is necessary to enable the preparation of financial statements that are free from material misstatement, whether due to fraud or error. </t>
    <phoneticPr fontId="13" type="noConversion"/>
  </si>
  <si>
    <t xml:space="preserve">In preparing the financial statements, the </t>
    <phoneticPr fontId="13" type="noConversion"/>
  </si>
  <si>
    <t xml:space="preserve"> responsible for assessing the Company's ability to continue as a going concern, disclosing, as applicable, matters related to going concern and using the going concern basis of accounting unless the </t>
    <phoneticPr fontId="13" type="noConversion"/>
  </si>
  <si>
    <t xml:space="preserve"> either intend to liquidate the Company or to cease operations, or have no realistic alternative but to do so. </t>
    <phoneticPr fontId="13" type="noConversion"/>
  </si>
  <si>
    <t xml:space="preserve">Those charged with governance are responsible for overseeing the Company's financial reporting process. </t>
    <phoneticPr fontId="13" type="noConversion"/>
  </si>
  <si>
    <t xml:space="preserve">Auditor's Responsibilities for the Audit of the Financial Statements </t>
    <phoneticPr fontId="13" type="noConversion"/>
  </si>
  <si>
    <t>Our objectives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t>
    <phoneticPr fontId="13" type="noConversion"/>
  </si>
  <si>
    <t xml:space="preserve">As part of an audit in accordance with HKSAs, we exercise professional judgment and maintain professional skepticism throughout the audit. We also: </t>
    <phoneticPr fontId="13" type="noConversion"/>
  </si>
  <si>
    <t>- Evaluate the appropriateness of accounting policies used and the reasonableness of accounting estimates and related disclosures made by the directors.</t>
    <phoneticPr fontId="13" type="noConversion"/>
  </si>
  <si>
    <t>This part is for 31.12.16 year ended</t>
    <phoneticPr fontId="13" type="noConversion"/>
  </si>
  <si>
    <t>In forming our opinion, we have considered the adequacy of the disclosures made in the financial statements concerning the basis of preparation of the financial statements.</t>
    <phoneticPr fontId="13" type="noConversion"/>
  </si>
  <si>
    <t>This is a must space to connect with next paragraph, therefore the next paragraph should have no space on top.</t>
    <phoneticPr fontId="13" type="noConversion"/>
  </si>
  <si>
    <t>De-registration</t>
    <phoneticPr fontId="13" type="noConversion"/>
  </si>
  <si>
    <t>This is to follow this year over 18 months</t>
    <phoneticPr fontId="13" type="noConversion"/>
  </si>
  <si>
    <t>This is to follow last year over 18 months</t>
    <phoneticPr fontId="13" type="noConversion"/>
  </si>
  <si>
    <t>This is to follow last year over 18 months</t>
    <phoneticPr fontId="13" type="noConversion"/>
  </si>
  <si>
    <t>This is to follow last year over 18 months</t>
    <phoneticPr fontId="13" type="noConversion"/>
  </si>
  <si>
    <t>In accordance with the requirements of the Hong Kong Companies Ordinance, the audited financial statements are restricted to cover a period of not more than 18 months. However, the current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</si>
  <si>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over 18 month this year</t>
    <phoneticPr fontId="13" type="noConversion"/>
  </si>
  <si>
    <t>over 18 month this year</t>
    <phoneticPr fontId="13" type="noConversion"/>
  </si>
  <si>
    <t>In accordance with the requirements of the Hong Kong Companies Ordinance, the audited financial statements are restricted to cover a period of not more than 18 months. However, the last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</si>
  <si>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over 18 month last year</t>
    <phoneticPr fontId="13" type="noConversion"/>
  </si>
  <si>
    <t>N</t>
    <phoneticPr fontId="13" type="noConversion"/>
  </si>
  <si>
    <t>Below is the part for before 31.12.16 year ended</t>
    <phoneticPr fontId="13" type="noConversion"/>
  </si>
  <si>
    <t>The is the date of new audited opinion for periods ended on or after 15/12/16</t>
    <phoneticPr fontId="13" type="noConversion"/>
  </si>
  <si>
    <t>This is "this year end" per control</t>
    <phoneticPr fontId="13" type="noConversion"/>
  </si>
  <si>
    <t>If this amount = 0 / &gt; 0, means need to use new standard</t>
    <phoneticPr fontId="13" type="noConversion"/>
  </si>
  <si>
    <t>The blue part below for disclaimer is temporary cancelled</t>
    <phoneticPr fontId="13" type="noConversion"/>
  </si>
  <si>
    <t>Y</t>
    <phoneticPr fontId="13" type="noConversion"/>
  </si>
  <si>
    <t xml:space="preserve"> responsible for the preparation of the financial statements in accordance with the SME-FRS issued by the HKICPA and the Hong Kong Companies Ordinance, and for such internal control as the </t>
    <phoneticPr fontId="13" type="noConversion"/>
  </si>
  <si>
    <t xml:space="preserve"> was appointed as auditors for the </t>
    <phoneticPr fontId="13" type="noConversion"/>
  </si>
  <si>
    <t xml:space="preserve"> in place of Messrs. </t>
    <phoneticPr fontId="13" type="noConversion"/>
  </si>
  <si>
    <t xml:space="preserve">. </t>
    <phoneticPr fontId="13" type="noConversion"/>
  </si>
  <si>
    <t xml:space="preserve"> retires and, being eligible, offers themselves for re-appointment.</t>
    <phoneticPr fontId="13" type="noConversion"/>
  </si>
  <si>
    <t>We have not received the bank confirmation as at 31 March, 2015. In consequence we were unable to carry out necessary auditing procedures regarding the bank balances and cash appearing in the balance sheet at HK$26,044 and respective contingent liabilities. Hence, we have not been able to obtain sufficient appropriate audit evidence to satisfy ourselves that the recorded bank balances were free from material misstatements. Any adjustment to the figure may have a consequential significant effect on the profit for the period and net liabilities at 31 March, 2015.</t>
    <phoneticPr fontId="13" type="noConversion"/>
  </si>
  <si>
    <t>Qualified opinion arising from limitation of audit scope</t>
    <phoneticPr fontId="13" type="noConversion"/>
  </si>
  <si>
    <t>In our opinion, except for the effects of such adjustments, if any, as might have been determined to be necessary had we been able to satisfy ourselves as to the bank balances, the financial statements have been properly prepared, in all other material respects, in accordance with the SME-FRS. In addition, in our opinion, except as described in the basis for qualified opinion paragraph, the balance sheet together with the notes thereon is properly drawn up so as to exhibit a true and correct view of the state of the Company’s affairs as at 31 March, 2015 according to the best of our information and explanations given to us, and as shown by the books of the Company.</t>
    <phoneticPr fontId="13" type="noConversion"/>
  </si>
  <si>
    <t>Report on other matters under section 141D of the Hong Kong Companies Ordinance</t>
    <phoneticPr fontId="13" type="noConversion"/>
  </si>
  <si>
    <t>In respect of the limitation on our work relating to the bank confirmation, we have not obtained all the information and explanations that we considered necessary for the purpose of our audit. Also, in accordance with the disclosure requirements of the Hong Kong Companies Ordinance, the audited financial statements is required to be presented annually except for the first annual financial statements which can be exempted and it is restricted to be issued within 18 months after the date of incorporation. By considering the current audited financial statements is unable to comply with the above-mentioned requirement. There are no other satisfactory audit procedures we can adopt to satisfy ourselves that the amounts for the income statement and related notes are properly disclosed in accordance with the Hong Kong Companies Ordinance.</t>
    <phoneticPr fontId="13" type="noConversion"/>
  </si>
  <si>
    <t>Basis for qualified opinion (bank conf and over 18 months) (PRIMETOP CORORATION LIMITED)</t>
    <phoneticPr fontId="13" type="noConversion"/>
  </si>
  <si>
    <t>We have not received the bank confirmation as at 31 March, 2015 and the rental agreement of the Company. In consequence we were unable to carry out necessary auditing procedures regarding the bank balances and cash appearing in the balance sheet at HK$26,044, rental expenses amounted to HKDxxx, rental commitment amounted to HKDxxx and respective contingent liabilities. Hence, we have not been able to obtain sufficient appropriate audit evidence to satisfy ourselves that the recorded bank balances, rental expenses and rental commitment were free from material misstatements. Any adjustment to the figure may have a consequential significant effect on the profit for the period and net liabilities at 31 March, 2015.</t>
    <phoneticPr fontId="13" type="noConversion"/>
  </si>
  <si>
    <t>Report on other matters under the Hong Kong Companies Ordinance, Cap. 622</t>
    <phoneticPr fontId="13" type="noConversion"/>
  </si>
  <si>
    <t>In respect of the limitation on our work relating to the bank confirmation, we have not obtained all the information and explanations that we considered necessary for the purpose of our audit. There are no other satisfactory audit procedures we can adopt to satisfy ourselves that the amounts for the income statement and related notes are properly disclosed in accordance with the Hong Kong Companies Ordinance.</t>
    <phoneticPr fontId="13" type="noConversion"/>
  </si>
  <si>
    <t>Basis for qualified opinion (Bank conf., rental expenses and rental commitment)</t>
    <phoneticPr fontId="13" type="noConversion"/>
  </si>
  <si>
    <t>- Identify and assess the risks of material misstatement of the consolidated financial statements, whether due to fraud or error, design and perform audit procedures responsive to those risks, and obtain audit evidence that is sufficient and appropriate to provide a basis for our opinion. The risk of not detecting a material misstatement resulting from fraud is higher than for one resulting from error, as fraud may involve collusion, forgery, intentional omissions, misrepresentations, or the override of internal control.</t>
    <phoneticPr fontId="13" type="noConversion"/>
  </si>
  <si>
    <t>Below are with consol wordings</t>
    <phoneticPr fontId="13" type="noConversion"/>
  </si>
  <si>
    <t>- Obtain an understanding of internal control relevant to the audit in order to design audit procedures that are appropriate in the circumstances, but not for the purpose of expressing an opinion on the effectiveness of the Group's internal control.</t>
    <phoneticPr fontId="13" type="noConversion"/>
  </si>
  <si>
    <t>- Conclude on the appropriateness of the directors' use of the going concern basis of accounting and, based on the audit evidence obtained, whether a material uncertainty exists related to events or conditions that may cast significant doubt on the Group's ability to continue as a going concern. If we conclude that a material uncertainty exists, we are required to draw attention in our auditor's report to the related disclosures in the consolidated financial statements or, if such disclosures are inadequate, to modify our opinion. Our conclusions are based on the audit evidence obtained up to the date of our auditor's report. However, future events or conditions may cause the Group to cease to continue as a going concern.</t>
    <phoneticPr fontId="13" type="noConversion"/>
  </si>
  <si>
    <t>- Obtain sufficient appropriate audit evidence regarding the financial information of the entities or business activities within the Group to express an opinion on the consolidated financial statements. We are responsible for the direction, supervision and performance of the group audit. We remain solely responsible for our audit opinion.</t>
    <phoneticPr fontId="13" type="noConversion"/>
  </si>
  <si>
    <t>Investment in an associate</t>
    <phoneticPr fontId="13" type="noConversion"/>
  </si>
  <si>
    <r>
      <t>U</t>
    </r>
    <r>
      <rPr>
        <sz val="11"/>
        <color theme="1"/>
        <rFont val="Calibri"/>
        <family val="2"/>
        <scheme val="minor"/>
      </rPr>
      <t>nlisted shares, at cost</t>
    </r>
    <phoneticPr fontId="13" type="noConversion"/>
  </si>
  <si>
    <r>
      <t>I</t>
    </r>
    <r>
      <rPr>
        <sz val="11"/>
        <color theme="1"/>
        <rFont val="Calibri"/>
        <family val="2"/>
        <scheme val="minor"/>
      </rPr>
      <t>mpairment loss</t>
    </r>
    <phoneticPr fontId="13" type="noConversion"/>
  </si>
  <si>
    <r>
      <t>S</t>
    </r>
    <r>
      <rPr>
        <sz val="11"/>
        <color theme="1"/>
        <rFont val="Calibri"/>
        <family val="2"/>
        <scheme val="minor"/>
      </rPr>
      <t>hare of loss of an associate</t>
    </r>
    <phoneticPr fontId="13" type="noConversion"/>
  </si>
  <si>
    <t>Name</t>
    <phoneticPr fontId="13" type="noConversion"/>
  </si>
  <si>
    <t xml:space="preserve">Particulars of </t>
    <phoneticPr fontId="13" type="noConversion"/>
  </si>
  <si>
    <t>issue shares held</t>
    <phoneticPr fontId="13" type="noConversion"/>
  </si>
  <si>
    <t xml:space="preserve">Place of </t>
    <phoneticPr fontId="13" type="noConversion"/>
  </si>
  <si>
    <t>incorporation</t>
    <phoneticPr fontId="13" type="noConversion"/>
  </si>
  <si>
    <t xml:space="preserve">Percentage of </t>
    <phoneticPr fontId="13" type="noConversion"/>
  </si>
  <si>
    <t>attributable to</t>
    <phoneticPr fontId="13" type="noConversion"/>
  </si>
  <si>
    <t>Principal</t>
    <phoneticPr fontId="13" type="noConversion"/>
  </si>
  <si>
    <t>activities</t>
    <phoneticPr fontId="13" type="noConversion"/>
  </si>
  <si>
    <r>
      <t>A</t>
    </r>
    <r>
      <rPr>
        <sz val="11"/>
        <color theme="1"/>
        <rFont val="Calibri"/>
        <family val="2"/>
        <scheme val="minor"/>
      </rPr>
      <t>BC Limited</t>
    </r>
    <phoneticPr fontId="13" type="noConversion"/>
  </si>
  <si>
    <t>Ordinary</t>
    <phoneticPr fontId="13" type="noConversion"/>
  </si>
  <si>
    <t>PRC</t>
    <phoneticPr fontId="13" type="noConversion"/>
  </si>
  <si>
    <t>24 (Indirect)</t>
    <phoneticPr fontId="13" type="noConversion"/>
  </si>
  <si>
    <t>Hotel Operation</t>
    <phoneticPr fontId="13" type="noConversion"/>
  </si>
  <si>
    <t xml:space="preserve"> Account receivables</t>
    <phoneticPr fontId="13" type="noConversion"/>
  </si>
  <si>
    <t xml:space="preserve">  Account payables</t>
    <phoneticPr fontId="13" type="noConversion"/>
  </si>
  <si>
    <r>
      <t>A</t>
    </r>
    <r>
      <rPr>
        <sz val="11"/>
        <color theme="1"/>
        <rFont val="Calibri"/>
        <family val="2"/>
        <scheme val="minor"/>
      </rPr>
      <t>ccount</t>
    </r>
    <r>
      <rPr>
        <sz val="11"/>
        <color theme="1"/>
        <rFont val="Calibri"/>
        <family val="2"/>
        <scheme val="minor"/>
      </rPr>
      <t xml:space="preserve"> and other receivables</t>
    </r>
    <phoneticPr fontId="13" type="noConversion"/>
  </si>
  <si>
    <t>Account and other payables</t>
    <phoneticPr fontId="13" type="noConversion"/>
  </si>
  <si>
    <t>Account and other receivables are stated at estimated realisable value after each debt has been considered individually.  Where the payment of a debt becomes doubtful a provision is made and charged to the income statement.</t>
    <phoneticPr fontId="13" type="noConversion"/>
  </si>
  <si>
    <t>Account and other payables are recognised initially at the transaction price and subsequently measured at amortised cost using the effective interest method.</t>
    <phoneticPr fontId="13" type="noConversion"/>
  </si>
  <si>
    <t>填妥後請將此證明書直接寄交敝公司之審計師</t>
    <phoneticPr fontId="19" type="noConversion"/>
  </si>
  <si>
    <t xml:space="preserve"> </t>
    <phoneticPr fontId="13" type="noConversion"/>
  </si>
  <si>
    <t>欠貴行</t>
    <phoneticPr fontId="19" type="noConversion"/>
  </si>
  <si>
    <t>NIL</t>
    <phoneticPr fontId="13" type="noConversion"/>
  </si>
  <si>
    <t>貴行應付</t>
    <phoneticPr fontId="19" type="noConversion"/>
  </si>
  <si>
    <t xml:space="preserve">Due from you </t>
    <phoneticPr fontId="19" type="noConversion"/>
  </si>
  <si>
    <t>, wish to confirm  the  balance  of  your  account with us as follows:</t>
    <phoneticPr fontId="13" type="noConversion"/>
  </si>
  <si>
    <t xml:space="preserve"> of </t>
    <phoneticPr fontId="13" type="noConversion"/>
  </si>
  <si>
    <t xml:space="preserve">, </t>
    <phoneticPr fontId="13" type="noConversion"/>
  </si>
  <si>
    <t>，地址為</t>
    <phoneticPr fontId="13" type="noConversion"/>
  </si>
  <si>
    <t xml:space="preserve">As  part  of  our  auditors'  regular  examination of  our Accounts, </t>
    <phoneticPr fontId="13" type="noConversion"/>
  </si>
  <si>
    <r>
      <t>審</t>
    </r>
    <r>
      <rPr>
        <sz val="12"/>
        <color theme="1"/>
        <rFont val="Times New Roman"/>
        <family val="1"/>
      </rPr>
      <t xml:space="preserve">  </t>
    </r>
    <r>
      <rPr>
        <sz val="12"/>
        <color theme="1"/>
        <rFont val="Calibri"/>
        <family val="1"/>
        <charset val="136"/>
        <scheme val="minor"/>
      </rPr>
      <t>計</t>
    </r>
    <r>
      <rPr>
        <sz val="12"/>
        <color theme="1"/>
        <rFont val="Times New Roman"/>
        <family val="1"/>
      </rPr>
      <t xml:space="preserve">  </t>
    </r>
    <r>
      <rPr>
        <sz val="12"/>
        <color theme="1"/>
        <rFont val="Calibri"/>
        <family val="1"/>
        <charset val="136"/>
        <scheme val="minor"/>
      </rPr>
      <t>證</t>
    </r>
    <r>
      <rPr>
        <sz val="12"/>
        <color theme="1"/>
        <rFont val="Times New Roman"/>
        <family val="1"/>
      </rPr>
      <t xml:space="preserve">  </t>
    </r>
    <r>
      <rPr>
        <sz val="12"/>
        <color theme="1"/>
        <rFont val="Calibri"/>
        <family val="1"/>
        <charset val="136"/>
        <scheme val="minor"/>
      </rPr>
      <t>明</t>
    </r>
    <r>
      <rPr>
        <sz val="12"/>
        <color theme="1"/>
        <rFont val="Times New Roman"/>
        <family val="1"/>
      </rPr>
      <t xml:space="preserve">  </t>
    </r>
    <r>
      <rPr>
        <sz val="12"/>
        <color theme="1"/>
        <rFont val="Calibri"/>
        <family val="1"/>
        <charset val="136"/>
        <scheme val="minor"/>
      </rPr>
      <t>書</t>
    </r>
  </si>
  <si>
    <r>
      <t>如上述銀碼與</t>
    </r>
    <r>
      <rPr>
        <sz val="12"/>
        <color theme="1"/>
        <rFont val="Times New Roman"/>
        <family val="1"/>
      </rPr>
      <t xml:space="preserve">    </t>
    </r>
    <r>
      <rPr>
        <sz val="12"/>
        <color theme="1"/>
        <rFont val="Calibri"/>
        <family val="2"/>
        <scheme val="minor"/>
      </rPr>
      <t>貴行賬目相符，請於下列空格</t>
    </r>
  </si>
  <si>
    <r>
      <t xml:space="preserve">balance  </t>
    </r>
    <r>
      <rPr>
        <b/>
        <sz val="12"/>
        <color theme="1"/>
        <rFont val="Calibri"/>
        <family val="1"/>
        <scheme val="minor"/>
      </rPr>
      <t>even  if  it has  been settled since the above</t>
    </r>
  </si>
  <si>
    <r>
      <t>，或直接傳真予敝公司之審計師</t>
    </r>
    <r>
      <rPr>
        <sz val="12"/>
        <color theme="1"/>
        <rFont val="Times New Roman"/>
        <family val="1"/>
      </rPr>
      <t xml:space="preserve">  [ </t>
    </r>
    <r>
      <rPr>
        <sz val="12"/>
        <color theme="1"/>
        <rFont val="Calibri"/>
        <family val="2"/>
        <scheme val="minor"/>
      </rPr>
      <t>傳真號碼為</t>
    </r>
    <phoneticPr fontId="19" type="noConversion"/>
  </si>
  <si>
    <r>
      <t>]</t>
    </r>
    <r>
      <rPr>
        <sz val="12"/>
        <color theme="1"/>
        <rFont val="細明體"/>
        <family val="3"/>
        <charset val="136"/>
      </rPr>
      <t>，作為其審核敝公司賬目之用。</t>
    </r>
    <phoneticPr fontId="13" type="noConversion"/>
  </si>
  <si>
    <r>
      <t>(</t>
    </r>
    <r>
      <rPr>
        <sz val="12"/>
        <color theme="1"/>
        <rFont val="Calibri"/>
        <family val="1"/>
        <charset val="136"/>
        <scheme val="minor"/>
      </rPr>
      <t>簽署及蓋章</t>
    </r>
    <r>
      <rPr>
        <sz val="12"/>
        <color theme="1"/>
        <rFont val="Calibri"/>
        <family val="1"/>
        <scheme val="minor"/>
      </rPr>
      <t>)</t>
    </r>
  </si>
  <si>
    <t>N</t>
    <phoneticPr fontId="13" type="noConversion"/>
  </si>
  <si>
    <t>This is example</t>
    <phoneticPr fontId="13" type="noConversion"/>
  </si>
  <si>
    <r>
      <t>N</t>
    </r>
    <r>
      <rPr>
        <sz val="11"/>
        <color theme="1"/>
        <rFont val="Calibri"/>
        <family val="2"/>
        <scheme val="minor"/>
      </rPr>
      <t>ote: Their statutory financial statements are not audited by Ernst &amp; Young, Hong Kong or another member firm of the Ernst &amp; Young global network.</t>
    </r>
    <phoneticPr fontId="13" type="noConversion"/>
  </si>
  <si>
    <t>ownership interest</t>
    <phoneticPr fontId="13" type="noConversion"/>
  </si>
  <si>
    <t>the Company</t>
    <phoneticPr fontId="13" type="noConversion"/>
  </si>
  <si>
    <r>
      <rPr>
        <sz val="14"/>
        <color theme="0"/>
        <rFont val="細明體"/>
        <family val="3"/>
        <charset val="136"/>
      </rPr>
      <t>致</t>
    </r>
    <r>
      <rPr>
        <sz val="14"/>
        <color theme="0"/>
        <rFont val="Times New Roman"/>
        <family val="1"/>
      </rPr>
      <t xml:space="preserve">: </t>
    </r>
    <phoneticPr fontId="13" type="noConversion"/>
  </si>
  <si>
    <r>
      <rPr>
        <sz val="14"/>
        <color theme="0"/>
        <rFont val="細明體"/>
        <family val="3"/>
        <charset val="136"/>
      </rPr>
      <t>關於</t>
    </r>
    <r>
      <rPr>
        <sz val="14"/>
        <color theme="0"/>
        <rFont val="Times New Roman"/>
        <family val="1"/>
      </rPr>
      <t xml:space="preserve">: </t>
    </r>
    <r>
      <rPr>
        <sz val="14"/>
        <color theme="0"/>
        <rFont val="細明體"/>
        <family val="3"/>
        <charset val="136"/>
      </rPr>
      <t>截至</t>
    </r>
    <r>
      <rPr>
        <sz val="14"/>
        <color theme="1"/>
        <rFont val="Times New Roman"/>
        <family val="1"/>
      </rPr>
      <t/>
    </r>
    <phoneticPr fontId="13" type="noConversion"/>
  </si>
  <si>
    <t>The present value of lease payments under finance leases are as follows:</t>
    <phoneticPr fontId="13" type="noConversion"/>
  </si>
  <si>
    <t>Basis for qualified opinion</t>
    <phoneticPr fontId="13" type="noConversion"/>
  </si>
  <si>
    <t>Equity method to the financial statements for the Company has not been prepared and no financial information in respect of the associates is disclosed in the financial statements. This is not in accordance with the requirements of SME-FRS section 20 “Investments in associates” issued by the Hong Kong Institute of Certified Public Accountants and the Companies Ordinance. It is not practicable to quantify the effects of the departure from this requirement as well as the impairment assessment of the investment in associates.</t>
    <phoneticPr fontId="13" type="noConversion"/>
  </si>
  <si>
    <t>Qualified opinion arising from disagreement about accounting treatments</t>
    <phoneticPr fontId="13" type="noConversion"/>
  </si>
  <si>
    <t>In our opinion, except for the effect on the financial statements of the matter described in the basis for qualified opinion paragraph, the financial statements give a true and fair view of the state of the Company’s affairs as at 31 December, 2016 and of its loss and net liabilities for the period ended 31 December, 2016 in accordance with SME-FRS and have been properly prepared in accordance with the Hong Kong Companies Ordinance.</t>
    <phoneticPr fontId="13" type="noConversion"/>
  </si>
  <si>
    <t>Report on other matters under the Hong Kong Companies Ordinance, Cap. 622</t>
    <phoneticPr fontId="13" type="noConversion"/>
  </si>
  <si>
    <t>In respect alone of the limitation on our work relating to matters as described in the basis of qualified opinion paragraph:</t>
    <phoneticPr fontId="13" type="noConversion"/>
  </si>
  <si>
    <t>- we have not obtained all the information and explanations that we considered necessary for the purpose of our audit; and</t>
    <phoneticPr fontId="13" type="noConversion"/>
  </si>
  <si>
    <t>- we were unable to determine whether proper books of account had been kept.</t>
    <phoneticPr fontId="13" type="noConversion"/>
  </si>
  <si>
    <t>(SME) Qualify no equity method</t>
    <phoneticPr fontId="13" type="noConversion"/>
  </si>
  <si>
    <t>(SME) Qualify no consolidation</t>
    <phoneticPr fontId="13" type="noConversion"/>
  </si>
  <si>
    <t>Consolidated financial statements has not been prepared by the Company. This is not in accordance with the requirements of SME-FRS section 19 “Consolidated and Company-Level Financial Statements” issued by the Hong Kong Institute of Certified Public Accountants and the Companies Ordinance. It is not practicable to quantify the effects of the departure from this requirement as well as the impairment assessment of the investment in subsidiary.</t>
    <phoneticPr fontId="13" type="noConversion"/>
  </si>
  <si>
    <t>Other matter (section 88)</t>
    <phoneticPr fontId="13" type="noConversion"/>
  </si>
  <si>
    <t>The Foundation is a charitable institution exempt from tax under section 88 of the (Hong Kong) Inland Revenue Ordinance. The financial statements are prepared in order to reflect the Foundation's operation comply with the requirement under section 88 of the (Hong Kong) Inland Revenue Ordinance. As a result, the financial statements may not be suitable for another purpose.</t>
    <phoneticPr fontId="13" type="noConversion"/>
  </si>
  <si>
    <t>SME, qualify no petty cash count</t>
    <phoneticPr fontId="13" type="noConversion"/>
  </si>
  <si>
    <t>We have not attended the petty cash count as at 31 December 2016. In consequence we were unable to carry out auditing procedures necessary to obtain adequate assurance regarding the quantities of the petty cash of the Company, appearing in the balance sheet of the Company at HK$1,409. There were no other satisfactory audit procedures that we could adopt to obtain sufficient evidence regarding the existence and valuation of petty cash. Accordingly, we have not been able to obtain sufficient appropriate audit evidence to satisfy ourselves that the recorded petty cash were free from material misstatements. Any adjustment to the figure may have a consequential significant effect on the surplus for the year and net assets at 31 December, 2016.</t>
    <phoneticPr fontId="13" type="noConversion"/>
  </si>
  <si>
    <t xml:space="preserve">In our opinion, except for the effects of such adjustments, if any, as might have been determined to be necessary had we been able to satisfy ourselves as to the petty cash, the financial statements of the Company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 </t>
    <phoneticPr fontId="13" type="noConversion"/>
  </si>
  <si>
    <t>Qualified opinion</t>
    <phoneticPr fontId="13" type="noConversion"/>
  </si>
  <si>
    <t>Report on other matters under Section 407(2) and 407(3) of the Hong Kong Companies Ordinance</t>
    <phoneticPr fontId="13" type="noConversion"/>
  </si>
  <si>
    <t>Except for the matter stated in the basis for qualified opinion paragraph, we report that we have obtained all the information and explanations which we have required and proper books of account had been kept.</t>
    <phoneticPr fontId="13" type="noConversion"/>
  </si>
  <si>
    <t>N</t>
    <phoneticPr fontId="13" type="noConversion"/>
  </si>
  <si>
    <t>(Section88)</t>
    <phoneticPr fontId="13" type="noConversion"/>
  </si>
  <si>
    <t>Deferred tax is not provided.</t>
    <phoneticPr fontId="13" type="noConversion"/>
  </si>
  <si>
    <t>Since the Foundation is a non-profit making organization, therefore, no tax implication. Deferred tax is not provided.</t>
    <phoneticPr fontId="13" type="noConversion"/>
  </si>
  <si>
    <t>The Foundation was incorporated in Hong Kong on 29 December 2006 as "a non-private company limited by guarantee" and not having a share capital. Every member of the Foundation has undertaken to contribute, if required, an amount not exceeding HK$100, to the assets of the Foundation in the event of its being wound up. The Foundation's registered office is located at Office D, 3rd Floor, Shanghai Building, 670 Shanghai Street, Mongkok, Kowloon.</t>
    <phoneticPr fontId="13" type="noConversion"/>
  </si>
  <si>
    <t>On 3 March 2014 Companies Ordinance Cap. 622 comes in force, some new requirements apply, of which, "a non-private company limited by guarantee" no longer apply but to "Companies limited by guarantee without a share capital".</t>
    <phoneticPr fontId="13" type="noConversion"/>
  </si>
  <si>
    <t>The Foundation is engaged in charitable projects of all kinds for the betterment of the community and promotes Buddhist education and religion during the year. It is recognized by the Inland Revenue Department as an approved charitable institution and exempt from Hong Kong tax under section 88 of the Inland Revenue Ordinance.</t>
    <phoneticPr fontId="13" type="noConversion"/>
  </si>
  <si>
    <t>Section 88</t>
    <phoneticPr fontId="13" type="noConversion"/>
  </si>
  <si>
    <t>Donation received is recognized when the right to receive payment is established.</t>
  </si>
  <si>
    <t>section 88</t>
    <phoneticPr fontId="13" type="noConversion"/>
  </si>
  <si>
    <t xml:space="preserve">The Foundation is an approved charitable institution and is exempted from Hong Kong profits tax under section 88 of the Inland Revenue Ordinance. </t>
    <phoneticPr fontId="13" type="noConversion"/>
  </si>
  <si>
    <t>section 88</t>
    <phoneticPr fontId="13" type="noConversion"/>
  </si>
  <si>
    <t>DIRECTORS' REMUNERATION, LOANS AND OTHER MATERIAL INTERESTS</t>
    <phoneticPr fontId="13" type="noConversion"/>
  </si>
  <si>
    <t>Remuneration of the directors of the Company disclosed pursuant to section 383(1) of the Hong Kong Companies Ordinance and Part 2 of the Companies (Disclosure of Information about Benefits of Directors) Regulation are as follow:</t>
    <phoneticPr fontId="13" type="noConversion"/>
  </si>
  <si>
    <t>Fees</t>
    <phoneticPr fontId="116" type="noConversion"/>
  </si>
  <si>
    <t>Retirement benefits</t>
    <phoneticPr fontId="116" type="noConversion"/>
  </si>
  <si>
    <t>Other emoluments</t>
    <phoneticPr fontId="116" type="noConversion"/>
  </si>
  <si>
    <t>Loans, quasi-loans and other dealings in favour of directors of the Company disclosed pursuant to section 383(1)(d) of the Hong Kong Companies Ordinance and Part 3 of the Companies (Disclosure of Information about Benefits of Directors) Regulation are as follow:</t>
    <phoneticPr fontId="13" type="noConversion"/>
  </si>
  <si>
    <t>No loan advanced to the directors during the year (2015: Nil).</t>
  </si>
  <si>
    <t>Guarantee or security in connection with loans, quasi-loans and credit transactions</t>
    <phoneticPr fontId="13" type="noConversion"/>
  </si>
  <si>
    <t>No such guarantee or security.</t>
    <phoneticPr fontId="13" type="noConversion"/>
  </si>
  <si>
    <t xml:space="preserve">New standard </t>
    <phoneticPr fontId="13" type="noConversion"/>
  </si>
  <si>
    <t>Material Uncertainty Related to Going Concern (Cap.622)</t>
    <phoneticPr fontId="13" type="noConversion"/>
  </si>
  <si>
    <t>We draw attention to Note 6 in the financial statements, which indicates that the Company incurred a net loss of ZZZ during the year ended 31 December 20X1 and, as of that date, the Company's current liabilities exceeded its total assets by YYY. As stated in Note 6, these events or conditions, along with other matters as set forth in Note 6, indicate that a material uncertainty exists that may cast significant doubt on the Company's ability to continue as a going concern. Our opinion is not modified in respect of this matter.</t>
    <phoneticPr fontId="13" type="noConversion"/>
  </si>
  <si>
    <t>N</t>
    <phoneticPr fontId="13" type="noConversion"/>
  </si>
  <si>
    <t>Dividend income is recognised when the shareholder's right to receive payment is established; and</t>
    <phoneticPr fontId="13" type="noConversion"/>
  </si>
  <si>
    <r>
      <rPr>
        <sz val="11"/>
        <color theme="1"/>
        <rFont val="Calibri"/>
        <family val="2"/>
        <scheme val="minor"/>
      </rPr>
      <t>R</t>
    </r>
    <r>
      <rPr>
        <sz val="11"/>
        <color theme="1"/>
        <rFont val="Calibri"/>
        <family val="2"/>
        <scheme val="minor"/>
      </rPr>
      <t>ental income is recognised on a time proportion basis over the lease terms;</t>
    </r>
    <r>
      <rPr>
        <sz val="11"/>
        <color theme="1"/>
        <rFont val="Calibri"/>
        <family val="2"/>
        <scheme val="minor"/>
      </rPr>
      <t xml:space="preserve"> and </t>
    </r>
    <phoneticPr fontId="13" type="noConversion"/>
  </si>
  <si>
    <r>
      <rPr>
        <sz val="11"/>
        <color theme="1"/>
        <rFont val="Calibri"/>
        <family val="2"/>
        <scheme val="minor"/>
      </rPr>
      <t>S</t>
    </r>
    <r>
      <rPr>
        <sz val="11"/>
        <color theme="1"/>
        <rFont val="Calibri"/>
        <family val="2"/>
        <scheme val="minor"/>
      </rPr>
      <t>ale of goods is recognised when the goods are delivered and the risks and rewards of ownership have passed to the customer;</t>
    </r>
    <r>
      <rPr>
        <sz val="11"/>
        <color theme="1"/>
        <rFont val="Calibri"/>
        <family val="2"/>
        <scheme val="minor"/>
      </rPr>
      <t xml:space="preserve"> and</t>
    </r>
    <phoneticPr fontId="13" type="noConversion"/>
  </si>
  <si>
    <t>sundry income is recognized when the right to received payment is established; and</t>
    <phoneticPr fontId="13" type="noConversion"/>
  </si>
  <si>
    <t>Interest income is recognised on a time proportion basis taking into account the principal outstanding and the interest applicable.</t>
    <phoneticPr fontId="13" type="noConversion"/>
  </si>
  <si>
    <t xml:space="preserve"> </t>
    <phoneticPr fontId="19" type="noConversion"/>
  </si>
  <si>
    <t>If this touches 3.3.14</t>
    <phoneticPr fontId="13" type="noConversion"/>
  </si>
  <si>
    <t>Under the Hong Kong Companies Ordinance (Cap. 622), which commenced operation on
3 March, 2014, the concept of authorized share capital no longer exists.</t>
    <phoneticPr fontId="13" type="noConversion"/>
  </si>
  <si>
    <t>In accordance with section 135 of the Hong Kong Companies Ordinance (Cap. 622), the
Company’s shares no longer have a par or nominal value with effect from 3 March, 2014.
There is no impact on the number of shares in issue or the relative entitlement of any of the
members.</t>
    <phoneticPr fontId="13" type="noConversion"/>
  </si>
  <si>
    <t>Obligation under finance lease</t>
    <phoneticPr fontId="13" type="noConversion"/>
  </si>
  <si>
    <r>
      <t>T</t>
    </r>
    <r>
      <rPr>
        <sz val="11"/>
        <color theme="1"/>
        <rFont val="Calibri"/>
        <family val="2"/>
        <scheme val="minor"/>
      </rPr>
      <t>axi cabs</t>
    </r>
    <phoneticPr fontId="13" type="noConversion"/>
  </si>
  <si>
    <r>
      <t>T</t>
    </r>
    <r>
      <rPr>
        <sz val="11"/>
        <color theme="1"/>
        <rFont val="Calibri"/>
        <family val="2"/>
        <scheme val="minor"/>
      </rPr>
      <t>axi cabs are stated at cost less accumulated depreciation and accumulated impairment losses.</t>
    </r>
    <phoneticPr fontId="13" type="noConversion"/>
  </si>
  <si>
    <r>
      <t>D</t>
    </r>
    <r>
      <rPr>
        <sz val="11"/>
        <color theme="1"/>
        <rFont val="Calibri"/>
        <family val="2"/>
        <scheme val="minor"/>
      </rPr>
      <t>epreciation is calculated to write off the cost of taxi cabs, less their estimated residual value, if any, over their estimated useful lives at an annual rate of 30% on a straight-line basis.</t>
    </r>
    <phoneticPr fontId="13" type="noConversion"/>
  </si>
  <si>
    <t>item</t>
    <phoneticPr fontId="13" type="noConversion"/>
  </si>
  <si>
    <t>N</t>
    <phoneticPr fontId="13" type="noConversion"/>
  </si>
  <si>
    <r>
      <t>T</t>
    </r>
    <r>
      <rPr>
        <sz val="11"/>
        <color theme="1"/>
        <rFont val="Calibri"/>
        <family val="2"/>
        <scheme val="minor"/>
      </rPr>
      <t>axi licences</t>
    </r>
    <phoneticPr fontId="13" type="noConversion"/>
  </si>
  <si>
    <t>N</t>
    <phoneticPr fontId="13" type="noConversion"/>
  </si>
  <si>
    <r>
      <t>P</t>
    </r>
    <r>
      <rPr>
        <sz val="11"/>
        <color theme="1"/>
        <rFont val="Calibri"/>
        <family val="2"/>
        <scheme val="minor"/>
      </rPr>
      <t>rovisions are recognised when the Company has a present legal or constructive obligation as a result of past events and its is probable that an outflow of economic benefits which can be reasonably estimated will be required to settle such obligation.</t>
    </r>
    <phoneticPr fontId="13" type="noConversion"/>
  </si>
  <si>
    <t>N</t>
    <phoneticPr fontId="13" type="noConversion"/>
  </si>
  <si>
    <r>
      <t>T</t>
    </r>
    <r>
      <rPr>
        <sz val="11"/>
        <color theme="1"/>
        <rFont val="Calibri"/>
        <family val="2"/>
        <scheme val="minor"/>
      </rPr>
      <t>ai licences is stated at cost less any identified impairment loss.</t>
    </r>
    <phoneticPr fontId="13" type="noConversion"/>
  </si>
  <si>
    <r>
      <t>P</t>
    </r>
    <r>
      <rPr>
        <sz val="11"/>
        <color theme="1"/>
        <rFont val="Calibri"/>
        <family val="2"/>
        <scheme val="minor"/>
      </rPr>
      <t>rovisions</t>
    </r>
    <phoneticPr fontId="13" type="noConversion"/>
  </si>
  <si>
    <t>See full set at Great Century Motors Investment Limited (M&amp;K)</t>
    <phoneticPr fontId="13" type="noConversion"/>
  </si>
  <si>
    <t>Investment in taxi cabs and licenses</t>
    <phoneticPr fontId="13" type="noConversion"/>
  </si>
  <si>
    <t>Cost</t>
    <phoneticPr fontId="13" type="noConversion"/>
  </si>
  <si>
    <t xml:space="preserve">   and balance at 31 March, 2015</t>
    <phoneticPr fontId="13" type="noConversion"/>
  </si>
  <si>
    <t>Accumulated depreciation</t>
    <phoneticPr fontId="13" type="noConversion"/>
  </si>
  <si>
    <t>Depreciation for the period</t>
    <phoneticPr fontId="13" type="noConversion"/>
  </si>
  <si>
    <t>Net book value</t>
    <phoneticPr fontId="13" type="noConversion"/>
  </si>
  <si>
    <t>As at 31 March, 2015</t>
    <phoneticPr fontId="13" type="noConversion"/>
  </si>
  <si>
    <r>
      <t>T</t>
    </r>
    <r>
      <rPr>
        <sz val="11"/>
        <color theme="1"/>
        <rFont val="Calibri"/>
        <family val="2"/>
        <scheme val="minor"/>
      </rPr>
      <t>axi</t>
    </r>
    <phoneticPr fontId="13" type="noConversion"/>
  </si>
  <si>
    <r>
      <t>l</t>
    </r>
    <r>
      <rPr>
        <u/>
        <sz val="11"/>
        <color theme="1"/>
        <rFont val="Calibri"/>
        <family val="1"/>
        <charset val="136"/>
        <scheme val="minor"/>
      </rPr>
      <t>icences</t>
    </r>
    <phoneticPr fontId="13" type="noConversion"/>
  </si>
  <si>
    <r>
      <t>T</t>
    </r>
    <r>
      <rPr>
        <u/>
        <sz val="11"/>
        <color theme="1"/>
        <rFont val="Calibri"/>
        <family val="1"/>
        <charset val="136"/>
        <scheme val="minor"/>
      </rPr>
      <t>axi cabs</t>
    </r>
    <phoneticPr fontId="13" type="noConversion"/>
  </si>
  <si>
    <r>
      <t>T</t>
    </r>
    <r>
      <rPr>
        <u/>
        <sz val="11"/>
        <color theme="1"/>
        <rFont val="Calibri"/>
        <family val="1"/>
        <charset val="136"/>
        <scheme val="minor"/>
      </rPr>
      <t>otal</t>
    </r>
    <phoneticPr fontId="13" type="noConversion"/>
  </si>
  <si>
    <t>N</t>
    <phoneticPr fontId="13" type="noConversion"/>
  </si>
  <si>
    <t>INVESTMENT IN TAXI CABS AND LICENSES</t>
    <phoneticPr fontId="13" type="noConversion"/>
  </si>
  <si>
    <t>Acquisition during the period</t>
    <phoneticPr fontId="13" type="noConversion"/>
  </si>
  <si>
    <t>As 31 March, 2015, the carrying amount of taxi cabs and licences held under hire purchase contracts is HK$6,962,000.</t>
    <phoneticPr fontId="13" type="noConversion"/>
  </si>
  <si>
    <t>OBLIGATIONS UNDER FINANCE LEASES</t>
    <phoneticPr fontId="13" type="noConversion"/>
  </si>
  <si>
    <t>The holders of ordinary shares are entitled to receive dividends as declared from time to time and are entitled to one vote per share at the general meeting of the Company. All ordinary shares rank equally with regard to the Company's residual assets.</t>
    <phoneticPr fontId="13" type="noConversion"/>
  </si>
  <si>
    <t>Some may require below:</t>
    <phoneticPr fontId="19" type="noConversion"/>
  </si>
  <si>
    <t>The Company was incorporated on 22 November, 2013 with an authorised share capital of HK$10,000 divided into 10,000 shares of HK$1 each of which one share was issued at par to the founder members at the time of incorporation to provide initial capital to the Company.</t>
    <phoneticPr fontId="19" type="noConversion"/>
  </si>
  <si>
    <t xml:space="preserve">, and the income statement for the </t>
    <phoneticPr fontId="13" type="noConversion"/>
  </si>
  <si>
    <t>year then ended</t>
    <phoneticPr fontId="13" type="noConversion"/>
  </si>
  <si>
    <t xml:space="preserve">, and notes to the financial statements, including a summary of significant accounting policies. </t>
    <phoneticPr fontId="13" type="noConversion"/>
  </si>
  <si>
    <t>year ended:</t>
    <phoneticPr fontId="13" type="noConversion"/>
  </si>
  <si>
    <t>period ended:</t>
    <phoneticPr fontId="13" type="noConversion"/>
  </si>
  <si>
    <t xml:space="preserve">period ended </t>
    <phoneticPr fontId="13" type="noConversion"/>
  </si>
  <si>
    <t>I refer to your letter dated 7th January, 2014 and advise that I am not aware of any professional reason which would preclude you fro accepting the appointment as auditors of the above Company.</t>
    <phoneticPr fontId="13" type="noConversion"/>
  </si>
  <si>
    <t>Investment in a subsidiary</t>
    <phoneticPr fontId="13" type="noConversion"/>
  </si>
  <si>
    <t>Amount due from an immediate holding company</t>
    <phoneticPr fontId="13" type="noConversion"/>
  </si>
  <si>
    <t>Tax refundable</t>
    <phoneticPr fontId="13" type="noConversion"/>
  </si>
  <si>
    <t>Bank balances and cash</t>
    <phoneticPr fontId="13" type="noConversion"/>
  </si>
  <si>
    <t>Amount due to a subsidiary</t>
    <phoneticPr fontId="13" type="noConversion"/>
  </si>
  <si>
    <t>Amount due from a director</t>
    <phoneticPr fontId="13" type="noConversion"/>
  </si>
  <si>
    <t>Amount due from directors</t>
    <phoneticPr fontId="13" type="noConversion"/>
  </si>
  <si>
    <t>Amount due to directors</t>
    <phoneticPr fontId="13" type="noConversion"/>
  </si>
  <si>
    <t>Obligation under finance lease</t>
    <phoneticPr fontId="13" type="noConversion"/>
  </si>
  <si>
    <t>=+IF(Section4!C26+Section4!E26+Section4!C42+Section4!E42=0,"N","Y")</t>
    <phoneticPr fontId="13" type="noConversion"/>
  </si>
  <si>
    <t>=+IF(Section4!C26+Section4!E26=0,"N","Y")</t>
    <phoneticPr fontId="13" type="noConversion"/>
  </si>
  <si>
    <t>=+IF(Section4!C26+Section4!E26=0,"N","Y")</t>
    <phoneticPr fontId="13" type="noConversion"/>
  </si>
  <si>
    <t>=+IF(Section4!C26+Section4!E26=0,"N","Y")</t>
    <phoneticPr fontId="13" type="noConversion"/>
  </si>
  <si>
    <t>=+IF(Section4!C26+Section4!E26=0,"N",IF(E352+G352=0,"N","Y"))</t>
    <phoneticPr fontId="13" type="noConversion"/>
  </si>
  <si>
    <t>=+IF(Section4!C26+Section4!E26=0,"N","")</t>
    <phoneticPr fontId="13" type="noConversion"/>
  </si>
  <si>
    <t>=+IF(Section4!C26+Section4!E26+Section4!C42+Section4!E42=0,"N","Y")</t>
    <phoneticPr fontId="13" type="noConversion"/>
  </si>
  <si>
    <t>Immediate holding (place of incoporation)</t>
    <phoneticPr fontId="13" type="noConversion"/>
  </si>
  <si>
    <t>Ultimate holding (place of incoporation)</t>
    <phoneticPr fontId="13" type="noConversion"/>
  </si>
  <si>
    <t xml:space="preserve">Any allotment of shares during the </t>
    <phoneticPr fontId="13" type="noConversion"/>
  </si>
  <si>
    <t>reporting period?</t>
    <phoneticPr fontId="13" type="noConversion"/>
  </si>
  <si>
    <t>Please write down the allotment amount as per presentation amount</t>
    <phoneticPr fontId="13" type="noConversion"/>
  </si>
  <si>
    <t>Number of shares</t>
    <phoneticPr fontId="13" type="noConversion"/>
  </si>
  <si>
    <t>Price of each shares</t>
    <phoneticPr fontId="13" type="noConversion"/>
  </si>
  <si>
    <t>Curreny of price of each shares (USD, HKD, EUR, etc)</t>
    <phoneticPr fontId="13" type="noConversion"/>
  </si>
  <si>
    <t xml:space="preserve">The immediate holding company is </t>
    <phoneticPr fontId="13" type="noConversion"/>
  </si>
  <si>
    <t xml:space="preserve"> which was incorporated in </t>
    <phoneticPr fontId="13" type="noConversion"/>
  </si>
  <si>
    <t xml:space="preserve"> and the ultimate holding company is </t>
    <phoneticPr fontId="13" type="noConversion"/>
  </si>
  <si>
    <t xml:space="preserve"> which was incorporated in </t>
    <phoneticPr fontId="13" type="noConversion"/>
  </si>
  <si>
    <t xml:space="preserve"> (or the People’s Republic of China)</t>
  </si>
  <si>
    <t xml:space="preserve">The immediate holding company and the ultimate holding company is </t>
    <phoneticPr fontId="13" type="noConversion"/>
  </si>
  <si>
    <t xml:space="preserve"> which was incorporated in </t>
    <phoneticPr fontId="13" type="noConversion"/>
  </si>
  <si>
    <t>.</t>
    <phoneticPr fontId="13" type="noConversion"/>
  </si>
  <si>
    <t>.</t>
    <phoneticPr fontId="13" type="noConversion"/>
  </si>
  <si>
    <t>GOING CONCERN</t>
    <phoneticPr fontId="13" type="noConversion"/>
  </si>
  <si>
    <t>Notwithstanding the existence of a deficiency on shareholder's fund at the balance sheet  date, the financial statements of the Company have been prepared on a going concern basis. The continuation of the Company's business depends upon the continuous financial sipport by the Company's shareholder at a level sufficient to finance the Company's current activities. The shareholder has indicated his willingness to do so.</t>
    <phoneticPr fontId="13" type="noConversion"/>
  </si>
  <si>
    <t>N</t>
    <phoneticPr fontId="13" type="noConversion"/>
  </si>
  <si>
    <t>Professional template of FU</t>
    <phoneticPr fontId="13" type="noConversion"/>
  </si>
  <si>
    <t>RESTATEMENT</t>
    <phoneticPr fontId="13" type="noConversion"/>
  </si>
  <si>
    <t>Comparative figures of amount due to a director and net liabilities have been adjusted as a result of the retrospective restatement of errors made in the last audited financial statements.</t>
    <phoneticPr fontId="13" type="noConversion"/>
  </si>
  <si>
    <r>
      <t>I</t>
    </r>
    <r>
      <rPr>
        <sz val="11"/>
        <color theme="1"/>
        <rFont val="Calibri"/>
        <family val="2"/>
        <scheme val="minor"/>
      </rPr>
      <t>mpact of the Hong Kong Companies Ordinance (Cap. 622)</t>
    </r>
    <phoneticPr fontId="13" type="noConversion"/>
  </si>
  <si>
    <r>
      <t>T</t>
    </r>
    <r>
      <rPr>
        <sz val="11"/>
        <color theme="1"/>
        <rFont val="Calibri"/>
        <family val="2"/>
        <scheme val="minor"/>
      </rPr>
      <t>he financial-reporting requirement of Part 9 "Accounts and Audit" of the Ordinance comes into operation for the preparation of these financial statements and as a result, there are changes to the presentation and disclosures of certain information as compared with 2014 financial statements. Where appropriate, the comparative information has been amended to achieve a consistent presentation.</t>
    </r>
    <phoneticPr fontId="13" type="noConversion"/>
  </si>
  <si>
    <t>N</t>
    <phoneticPr fontId="13" type="noConversion"/>
  </si>
  <si>
    <r>
      <t>W</t>
    </r>
    <r>
      <rPr>
        <sz val="11"/>
        <color theme="1"/>
        <rFont val="Calibri"/>
        <family val="2"/>
        <scheme val="minor"/>
      </rPr>
      <t>ork in progress</t>
    </r>
    <phoneticPr fontId="13" type="noConversion"/>
  </si>
  <si>
    <r>
      <t>W</t>
    </r>
    <r>
      <rPr>
        <sz val="11"/>
        <color theme="1"/>
        <rFont val="Calibri"/>
        <family val="2"/>
        <scheme val="minor"/>
      </rPr>
      <t>ork in progress is stated at the lower of cost and net realizable value. Cost, calculated on the first in first out basis, comprises materials, direct labor and an appropriate proportion of all production overhead expenditure. Net realizable value is determined on the basis of anticipated sales proceeds less estimated selling expenses.</t>
    </r>
    <phoneticPr fontId="13" type="noConversion"/>
  </si>
  <si>
    <t xml:space="preserve">Our responsibility is to express an opinion on these financial statements based on our audit and to report our opinion solely to you, as a body, in accordance with section 141 of the predecessor Hong Kong Companies Ordinance, Cap. 32, and for no other purpose. We do not assume responsibility towards or accept liability to any other person for the contents of this report. We conducted our audit in accordance with Hong Kong Standards on Auditing and with reference to PN 900 (Clarified)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</si>
  <si>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In connection with our audit of the financial statements, our responsibility is to read the other information and, in doing so, consider whether the other information is materially inconsistent with the financial statements or our knowledge obtained in the audit or otherwise appears to be materially misstated. If, based on the work we have performed, we conclude that there is a material misstatement of this other information, we are required to report that fact. We have nothing to report in this regard.</t>
    <phoneticPr fontId="13" type="noConversion"/>
  </si>
  <si>
    <t>We communicate with those charged with governance regarding, among other matters, the planned scope and timing of the audit and significant audit findings, including any significant deficiencies in internal control that we identify during our audit.</t>
    <phoneticPr fontId="13" type="noConversion"/>
  </si>
  <si>
    <t>- Identify and assess the risks of material misstatement of the financial statements, whether due to fraud or error, design and perform audit procedures responsive to those risks, and obtain audit evidence that is sufficient and appropriate to provide a basis for our opinion. The risk of not detecting a material misstatement resulting from fraud is higher than for one resulting from error, as fraud may involve collusion, forgery, intentional omissions, misrepresentations, or the override of internal control.</t>
    <phoneticPr fontId="13" type="noConversion"/>
  </si>
  <si>
    <t>- Obtain an understanding of internal control relevant to the audit in order to design audit procedures that are appropriate in the circumstances, but not for the purpose of expressing an opinion on the effectiveness of the Company's internal control.</t>
    <phoneticPr fontId="13" type="noConversion"/>
  </si>
  <si>
    <t>- Conclude on the appropriateness of the directors' use of the going concern basis of accounting and, based on the audit evidence obtained, whether a material uncertainty exists related to events or conditions that may cast significant doubt on the Company's ability to continue as a going concern. If we conclude that a material uncertainty exists, we are required to draw attention in our auditor's report to the related disclosures in the financial statements or, if such disclosures are inadequate, to modify our opinion. Our conclusions are based on the audit evidence obtained up to the date of our auditor's report. However, future events or conditions may cause the Company to cease to continue as a going concern.</t>
    <phoneticPr fontId="13" type="noConversion"/>
  </si>
  <si>
    <t>- Obtain sufficient appropriate audit evidence regarding the financial information of the entities or business activities within the Company to express an opinion on the consolidated financial statements. We are responsible for the direction, supervision and performance of the company audit. We remain solely responsible for our audit opinion.</t>
    <phoneticPr fontId="13" type="noConversion"/>
  </si>
  <si>
    <t xml:space="preserve">Our responsibility is to express an opinion on these financial statements based on our audit. This report is made solely to you, as a body, in accordance with section 405 of the Hong Kong Companies Ordinance (Cap. 622), and for no other purpose. We do not assume responsibility towards or accept liability to any other person for the contents of this report. We conducted our audit in accordance with Hong Kong Standards on Auditing and with reference to PN 900 (Revised)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</si>
  <si>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The first adoption of the Small and Medium-sized Entity Financial Reporting Standard has had no material effect on the results for the current or prior accounting years as prepared and presented.</t>
    <phoneticPr fontId="13" type="noConversion"/>
  </si>
  <si>
    <r>
      <t>F</t>
    </r>
    <r>
      <rPr>
        <sz val="11"/>
        <color theme="1"/>
        <rFont val="Calibri"/>
        <family val="2"/>
        <scheme val="minor"/>
      </rPr>
      <t>or PE</t>
    </r>
    <phoneticPr fontId="13" type="noConversion"/>
  </si>
  <si>
    <t>No deferred tax assets has been recognized due to uncertainty of future profit streams. The tax losses do not expire under current legislation.</t>
    <phoneticPr fontId="13" type="noConversion"/>
  </si>
  <si>
    <t>Certain comparative figures have been re-classified to conform to the current year's presentation because the management believes that current year's presentation is more appropriate to reflect the Company's financial position.</t>
    <phoneticPr fontId="13" type="noConversion"/>
  </si>
  <si>
    <t>We conducted our audit in accordance with Hong Kong Standards on Auditing ("HKSAs") and with reference to Practice Note 900 (Revised), Audit of Financial Statements Prepared in Accordance with the Small and Medium-sized Entity Financial Reporting Standard issued by the HKICPA. Our responsibilities under those standards are further described in the Auditor's Responsibilities for the Audit of the Financial Statements section of our report. We are independent of the Company in accordance with the HKICPA's Code of Ethics for Professional Accountants ("the Code"), and we have fulfilled our other ethical responsibilities in accordance with the Code. We believe that the audit evidence we have obtained is sufficient and appropriate to provide a basis for our opinion.</t>
    <phoneticPr fontId="13"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</si>
  <si>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3" type="noConversion"/>
  </si>
  <si>
    <t>COMMITMENTS UNDER OPERATING LEASES</t>
    <phoneticPr fontId="13" type="noConversion"/>
  </si>
  <si>
    <t>The Company had the following total future minimum lease payments payable under non-cancellable operating leases for land and buildings:</t>
    <phoneticPr fontId="13" type="noConversion"/>
  </si>
  <si>
    <t>Other income</t>
    <phoneticPr fontId="19" type="noConversion"/>
  </si>
  <si>
    <t>Is it offshore claim?</t>
    <phoneticPr fontId="13" type="noConversion"/>
  </si>
  <si>
    <t xml:space="preserve">No Hong Kong Profits Tax has been provided during the </t>
    <phoneticPr fontId="13" type="noConversion"/>
  </si>
  <si>
    <t xml:space="preserve"> as the Company generated income from offshore operations which are not subject to Hong Kong taxation.</t>
    <phoneticPr fontId="13" type="noConversion"/>
  </si>
  <si>
    <t>The company and each of its subsidiaries qualify for the reporting exemption as small private companies under section 359(1)(a) of the Hong Kong Companies Ordinance (Cap. 622), and the group as a whole qualifies for the reporting exemption as a small private group under section 359(2). The group is therefore entitled to prepare and present its financial statements in accordance with the Small and Medium-sized Entity Financial Reporting Standard (SME-FRS) issued by the Hong Kong Institute of Certified Public Accountants.</t>
    <phoneticPr fontId="13" type="noConversion"/>
  </si>
  <si>
    <t>These consolidated financial statements comply with the SME-FRS and have been prepared under the accrual basis of accounting and on the basis that the group is a going concern.</t>
    <phoneticPr fontId="13" type="noConversion"/>
  </si>
  <si>
    <t>The measurement base adopted is the historical cost convention.</t>
    <phoneticPr fontId="13" type="noConversion"/>
  </si>
  <si>
    <t>N</t>
    <phoneticPr fontId="13" type="noConversion"/>
  </si>
  <si>
    <t>The following are the specific accounting policies that are necessary for a proper understanding of the financial statements:</t>
    <phoneticPr fontId="13" type="noConversion"/>
  </si>
  <si>
    <t>used HKICPA template</t>
    <phoneticPr fontId="13" type="noConversion"/>
  </si>
  <si>
    <t>(HKICPA SME template)</t>
    <phoneticPr fontId="13" type="noConversion"/>
  </si>
  <si>
    <t xml:space="preserve">Borrowing costs are recognised as an expense in the period in which they are incurred. </t>
    <phoneticPr fontId="13" type="noConversion"/>
  </si>
  <si>
    <t>other template: Borrowing costs are recognised on the basis of the effective interest method and are included in the finance costs.</t>
    <phoneticPr fontId="13" type="noConversion"/>
  </si>
  <si>
    <t>Subsidiaries and non-controlling interests</t>
    <phoneticPr fontId="13" type="noConversion"/>
  </si>
  <si>
    <t>When there is subsidiary, and has done consolidation</t>
    <phoneticPr fontId="13" type="noConversion"/>
  </si>
  <si>
    <t>When there is subsidiary</t>
    <phoneticPr fontId="13" type="noConversion"/>
  </si>
  <si>
    <t>Subsidiaries are entities controlled by the group. Control exists when the group has the power to govern the financial and operating policies of an entity so as to obtain benefits from its activities. In assessing control, potential voting rights that presently are exercisable are taken into account.</t>
    <phoneticPr fontId="13" type="noConversion"/>
  </si>
  <si>
    <t>Non-controlling interests represent that portion of the profit or loss and net assets of a subsidiary attributable to equity interests that are not owned, directly or indirectly through subsidiaries, by the company.</t>
    <phoneticPr fontId="13" type="noConversion"/>
  </si>
  <si>
    <t>Non-controlling interests are presented in the consolidated statement of financial position within equity, separately from equity attributable to the equity shareholders of the company. Non-controlling interests in the results of the group are presented separately on the face of the consolidated income statement.</t>
    <phoneticPr fontId="13" type="noConversion"/>
  </si>
  <si>
    <t>Associates and joint ventures</t>
    <phoneticPr fontId="13" type="noConversion"/>
  </si>
  <si>
    <t>An associate is an entity in which the group or company has significant influence, but not control or joint control, over its management, including participation in the financial and operating policy decisions.</t>
    <phoneticPr fontId="13" type="noConversion"/>
  </si>
  <si>
    <t>A joint venture is a contractual arrangement whereby the group or company and other parties undertake an economic activity through an entity that is separate from the parties and subject to joint control.</t>
    <phoneticPr fontId="13" type="noConversion"/>
  </si>
  <si>
    <t>An investment in an associate or a joint venture is accounted for in the consolidated financial statements under the equity method. Under the equity method, the investment is initially recorded at the transaction price (including transaction costs) and is subsequently adjusted to reflect the group’s share of profit or loss after the date of acquisition. The group’s share of the profit or loss of the associate and joint venture is recognised in the consolidated income statement. Distributions received from an associate or a joint venture reduce the carrying amount of the investments.</t>
    <phoneticPr fontId="13" type="noConversion"/>
  </si>
  <si>
    <t>When the group’s share of losses exceeds its interest in the associate or the joint venture, the group’s interest is reduced to nil and recognition of further losses is discontinued except to the extent that the group has incurred legal or constructive obligations or made payments on behalf of the investee.</t>
    <phoneticPr fontId="13" type="noConversion"/>
  </si>
  <si>
    <t>Unrealised profits and losses resulting from upstream and downstream transactions are eliminated to the extent of the group’s interest in the associate and joint venture. ‘Upstream’ transactions are, for example, sales of assets from an associate or a joint venture to the group. ‘Downstream’ transactions are, for example, sales of assets from the group to an associate or a joint venture. Unrealised losses on such transactions may provide evidence of an impairment of the asset transferred.</t>
    <phoneticPr fontId="13" type="noConversion"/>
  </si>
  <si>
    <t>In the company’s statement of financial position, investments in associates and joint ventures are stated at cost less impairment losses (see note 1(j)).</t>
    <phoneticPr fontId="13" type="noConversion"/>
  </si>
  <si>
    <t>Business combinations and goodwill</t>
    <phoneticPr fontId="13" type="noConversion"/>
  </si>
  <si>
    <t>At the acquisition date, the identifiable assets acquired and the liabilities assumed are recognised at their fair values.</t>
    <phoneticPr fontId="13" type="noConversion"/>
  </si>
  <si>
    <t>Goodwill represents the excess of</t>
    <phoneticPr fontId="13" type="noConversion"/>
  </si>
  <si>
    <t>(i) the cost of the business combination; over</t>
    <phoneticPr fontId="13" type="noConversion"/>
  </si>
  <si>
    <t>(ii) the net fair value of the acquiree’s identifiable assets and liabilities measured as at the acquisition date.</t>
    <phoneticPr fontId="13" type="noConversion"/>
  </si>
  <si>
    <t>When (ii) is greater than (i), then this excess is recognised immediately in profit or loss as a gain on a bargain purchase.</t>
    <phoneticPr fontId="13" type="noConversion"/>
  </si>
  <si>
    <t>Goodwill acquired in a business combination is stated at cost less any accumulated amortisation and any accumulated impairment losses. Goodwill is amortised over its estimated useful life not exceeding 5 years using the straight-line method.</t>
    <phoneticPr fontId="13" type="noConversion"/>
  </si>
  <si>
    <t>When there is associates or joint ventures</t>
    <phoneticPr fontId="13" type="noConversion"/>
  </si>
  <si>
    <t>Acquisitions of businesses are accounted for using the purchase method. The cost of a business combination is the aggregate of the fair values, at the acquisition date, of assets given, liabilities incurred or assumed by the group and the equity instruments issued by the group in exchange for the control of the acquiree. Any costs directly attributable to the business combination are recognised in the income statement in the periods in which the costs are incurred.</t>
    <phoneticPr fontId="13" type="noConversion"/>
  </si>
  <si>
    <t>When there is any subsidiary, asso or JV</t>
    <phoneticPr fontId="13" type="noConversion"/>
  </si>
  <si>
    <t>=+IF(Control!D32=1,"Y",IF(Section4!C19+Section4!E19&gt;0,"Y","N"))</t>
    <phoneticPr fontId="13" type="noConversion"/>
  </si>
  <si>
    <t>壹達會計師事務所</t>
  </si>
  <si>
    <t>West Wing, 2/F, 822 Lai Chi Kok Road, Lai Chi Kok, Kowloon</t>
  </si>
  <si>
    <t>九龍荔枝角荔枝角道822號2樓西翼</t>
  </si>
  <si>
    <t>(852)96621161</t>
  </si>
  <si>
    <t>55996739-000</t>
  </si>
  <si>
    <t>Certified Public Accountants (Practising)</t>
    <phoneticPr fontId="13" type="noConversion"/>
  </si>
  <si>
    <t xml:space="preserve">OneStart CPA &amp; Co., </t>
    <phoneticPr fontId="13" type="noConversion"/>
  </si>
  <si>
    <t>Law Shing Hei</t>
  </si>
  <si>
    <t>P06530</t>
  </si>
  <si>
    <t>Matthew Law CPA</t>
  </si>
  <si>
    <t>Eric K.H. Tang</t>
    <phoneticPr fontId="13" type="noConversion"/>
  </si>
  <si>
    <t>For first audit</t>
    <phoneticPr fontId="13" type="noConversion"/>
  </si>
  <si>
    <t xml:space="preserve">Gross </t>
    <phoneticPr fontId="13" type="noConversion"/>
  </si>
  <si>
    <t>For audit with 2 years</t>
    <phoneticPr fontId="13" type="noConversion"/>
  </si>
  <si>
    <t>If there are gross profit and loss</t>
    <phoneticPr fontId="13" type="noConversion"/>
  </si>
  <si>
    <t>If both years are gross profit/loss</t>
    <phoneticPr fontId="13" type="noConversion"/>
  </si>
  <si>
    <t>Certified Public Accountant (Practising)</t>
  </si>
  <si>
    <t>Basis for qualified opinion</t>
    <phoneticPr fontId="13" type="noConversion"/>
  </si>
  <si>
    <t>Section 369(6) of the Hong Kong Companies Ordinance requires that the primary accounting reference date must fall within 18 months after the date of incorporation. These financial statements have been prepared for an accounting period exceeding 18 months from the date of incorporation.</t>
    <phoneticPr fontId="13" type="noConversion"/>
  </si>
  <si>
    <t>Qualified Opinion</t>
    <phoneticPr fontId="13" type="noConversion"/>
  </si>
  <si>
    <t>In our opinion, the financial statement of the Company for the period ended 31 March, 2016:</t>
    <phoneticPr fontId="13" type="noConversion"/>
  </si>
  <si>
    <t>- are prepared, in all material respects, in accordance with the SME-FRS; and,</t>
    <phoneticPr fontId="13" type="noConversion"/>
  </si>
  <si>
    <t>- except for the financial statements having been prepared for a primary accounting period exceeding 18 months from the date of the Company's incorporation, have been properly prepared in accordance with the Hong Kong Companies Ordinance.</t>
    <phoneticPr fontId="13" type="noConversion"/>
  </si>
  <si>
    <t>SME, over 18 months (Cap. 622)</t>
    <phoneticPr fontId="13" type="noConversion"/>
  </si>
  <si>
    <t>When the outcome of the contract can be estimated reliably, revenue from fixed price contracts is recognized on the percentage of completion method, measured by reference to the cost of contract work completed to date to the estimated total cost of work for the contract. When the outcome of the contract cannot be estimated reliably, revenue is recognized only to the extent of contract costs incurred that is probable will be recoverable; and</t>
    <phoneticPr fontId="13" type="noConversion"/>
  </si>
  <si>
    <t>N</t>
    <phoneticPr fontId="13" type="noConversion"/>
  </si>
  <si>
    <t xml:space="preserve">Allotted during the </t>
    <phoneticPr fontId="13" type="noConversion"/>
  </si>
  <si>
    <t>2/F, Wing Yee Commercial Building, 5 Wing Kut Street, Central, Hong Kong</t>
  </si>
  <si>
    <t>XFERS PTE. Limited</t>
  </si>
  <si>
    <t>Singapore</t>
  </si>
  <si>
    <t>Zhou Qianwei</t>
  </si>
  <si>
    <t>Emolument</t>
  </si>
  <si>
    <t>Exchange loss</t>
  </si>
  <si>
    <r>
      <t>3</t>
    </r>
    <r>
      <rPr>
        <sz val="11"/>
        <rFont val="Times New Roman"/>
        <family val="1"/>
      </rPr>
      <t>a</t>
    </r>
    <phoneticPr fontId="13" type="noConversion"/>
  </si>
  <si>
    <t>22/F, On Hong Commercial Building, 145 Hennessy Road, Wanchai, Hong Kong</t>
    <phoneticPr fontId="13" type="noConversion"/>
  </si>
  <si>
    <t>CASH ON HAND &amp; FIXED ASSETS CERTIFICATE</t>
    <phoneticPr fontId="123" type="noConversion"/>
  </si>
  <si>
    <t>1.</t>
    <phoneticPr fontId="123" type="noConversion"/>
  </si>
  <si>
    <t>2.</t>
    <phoneticPr fontId="123" type="noConversion"/>
  </si>
  <si>
    <t>I hereby certify that I have examined the Schedule(s) of Fixed Assets of the Company</t>
    <phoneticPr fontId="123" type="noConversion"/>
  </si>
  <si>
    <t>i.</t>
    <phoneticPr fontId="123" type="noConversion"/>
  </si>
  <si>
    <t>I am satisfied that the items scheduled include the entire Fixed Assets of the</t>
    <phoneticPr fontId="123" type="noConversion"/>
  </si>
  <si>
    <t>company at that date.</t>
    <phoneticPr fontId="123" type="noConversion"/>
  </si>
  <si>
    <t>ii.</t>
    <phoneticPr fontId="123" type="noConversion"/>
  </si>
  <si>
    <t>I am also satisfied that the items scheduled existed and were under the</t>
    <phoneticPr fontId="123" type="noConversion"/>
  </si>
  <si>
    <t>had not been rendered incapable of serving the purposes for which they were</t>
    <phoneticPr fontId="123" type="noConversion"/>
  </si>
  <si>
    <t>acquired because of obsolescence or for any other reason.</t>
    <phoneticPr fontId="123" type="noConversion"/>
  </si>
  <si>
    <t>iii.</t>
    <phoneticPr fontId="123" type="noConversion"/>
  </si>
  <si>
    <t>I further certify that payment for the cost of all items on the Schedule(s) has</t>
    <phoneticPr fontId="123" type="noConversion"/>
  </si>
  <si>
    <t>iv.</t>
    <phoneticPr fontId="123" type="noConversion"/>
  </si>
  <si>
    <t>In my opinion the rates of depreciation applied to the individual items are fair</t>
    <phoneticPr fontId="123" type="noConversion"/>
  </si>
  <si>
    <t>and reasonable.</t>
    <phoneticPr fontId="123" type="noConversion"/>
  </si>
  <si>
    <t>Signed:</t>
    <phoneticPr fontId="123" type="noConversion"/>
  </si>
  <si>
    <t>Date:</t>
    <phoneticPr fontId="123" type="noConversion"/>
  </si>
  <si>
    <t>Director</t>
    <phoneticPr fontId="123" type="noConversion"/>
  </si>
  <si>
    <t xml:space="preserve">I hereby certify that the cash on hand at close of business on </t>
    <phoneticPr fontId="13" type="noConversion"/>
  </si>
  <si>
    <t xml:space="preserve">standing in the books of account of the Company is </t>
    <phoneticPr fontId="13" type="noConversion"/>
  </si>
  <si>
    <t xml:space="preserve">appearing in the Statement of Financial Position as at </t>
    <phoneticPr fontId="13" type="noConversion"/>
  </si>
  <si>
    <t xml:space="preserve"> at the net</t>
    <phoneticPr fontId="13" type="noConversion"/>
  </si>
  <si>
    <t xml:space="preserve">book value of </t>
    <phoneticPr fontId="13" type="noConversion"/>
  </si>
  <si>
    <t xml:space="preserve">Company's control at </t>
    <phoneticPr fontId="13" type="noConversion"/>
  </si>
  <si>
    <t>, were free from encumbrances, and</t>
    <phoneticPr fontId="13" type="noConversion"/>
  </si>
  <si>
    <t xml:space="preserve">been made or provided for in the accounts of the Company at </t>
    <phoneticPr fontId="13" type="noConversion"/>
  </si>
  <si>
    <t>Fixed asset this year</t>
    <phoneticPr fontId="13" type="noConversion"/>
  </si>
  <si>
    <t>Fixed asset last year</t>
    <phoneticPr fontId="13" type="noConversion"/>
  </si>
  <si>
    <t>Dividends</t>
    <phoneticPr fontId="13" type="noConversion"/>
  </si>
  <si>
    <t xml:space="preserve">Final dividends proposed by the </t>
    <phoneticPr fontId="13" type="noConversion"/>
  </si>
  <si>
    <t xml:space="preserve"> classified as a separate allocation of retained profits within the capital and reserves section of the balance sheet, until they have been approved by the shareholders in a general meeting.  When these dividends have been approved by the </t>
    <phoneticPr fontId="13" type="noConversion"/>
  </si>
  <si>
    <t>s and declared, they are recognized as a liability.</t>
    <phoneticPr fontId="13" type="noConversion"/>
  </si>
  <si>
    <t xml:space="preserve">Interim dividends are simultaneously proposed and declared, because the Company’s </t>
    <phoneticPr fontId="13" type="noConversion"/>
  </si>
  <si>
    <t xml:space="preserve"> grant the </t>
    <phoneticPr fontId="13" type="noConversion"/>
  </si>
  <si>
    <t xml:space="preserve"> the authority to declare interim dividends.  Consequently, interim dividends are recognized immediately as a liability when they are proposed and declared.</t>
    <phoneticPr fontId="13" type="noConversion"/>
  </si>
  <si>
    <t>Dividends</t>
    <phoneticPr fontId="19" type="noConversion"/>
  </si>
  <si>
    <t>First time adoption of SME-FRS</t>
    <phoneticPr fontId="13" type="noConversion"/>
  </si>
  <si>
    <t>N</t>
    <phoneticPr fontId="13" type="noConversion"/>
  </si>
  <si>
    <t>In this year, the Company firstly adopts SME-FRS. The Company used to prepare its annual financial statements in compliance with HKFRS for Private Entities. The transition from HKFRS for Private Entities to SME-FRS has changed the presentation of the financial statements and the following accounting policies.</t>
    <phoneticPr fontId="13" type="noConversion"/>
  </si>
  <si>
    <t>Changes in the presentation of financial statements</t>
    <phoneticPr fontId="13" type="noConversion"/>
  </si>
  <si>
    <t>The statement of income and retained earnings has been replaced by income statement which has been presented in accordance with the Hong Kong Companies Ordinance and SME-FRS.  The presentation of the statement of financial position has been changed in accordance with the Hong Kong Companies Ordinance and SME-FRS.  The statement of cash flows has been removed.  The notes to financial statements have been revised in accordance with the Hong Kong Companies Ordinance and SME-FRS.</t>
    <phoneticPr fontId="13" type="noConversion"/>
  </si>
  <si>
    <t>Total amount of transactions / Maximum advance* during the year</t>
    <phoneticPr fontId="13" type="noConversion"/>
  </si>
  <si>
    <t>If the above information is not in agreement with your records, please write to us direct giving details of the difference.</t>
    <phoneticPr fontId="13" type="noConversion"/>
  </si>
  <si>
    <t>The Company has not consolidated the results of it’s subsidiaries into the financial statements as required by the requirements of SME-FRS section 19 “Consolidated and Company-Level Financial Statements” as the directors are of the opinion that it would involve expenses and delay out of proportion of the value to the members of the Company.</t>
    <phoneticPr fontId="13" type="noConversion"/>
  </si>
  <si>
    <t>Cover</t>
  </si>
  <si>
    <t>Contents</t>
  </si>
  <si>
    <t>Section 1: Report of the Director</t>
  </si>
  <si>
    <t>Section 2: Independent Auditor's Report</t>
  </si>
  <si>
    <t>Section 3: Income Statement</t>
  </si>
  <si>
    <t>Section 4: Balance Sheet</t>
  </si>
  <si>
    <t>Section 5: Statement of Changes In Equity</t>
  </si>
  <si>
    <t>Section 6: Notes to the Financial Statements</t>
  </si>
  <si>
    <t>Font Size</t>
  </si>
  <si>
    <t>Control Column</t>
  </si>
  <si>
    <t>G</t>
  </si>
  <si>
    <t>D</t>
  </si>
  <si>
    <t>K</t>
  </si>
  <si>
    <t>I</t>
  </si>
  <si>
    <t>F</t>
    <phoneticPr fontId="7" type="noConversion"/>
  </si>
  <si>
    <t>H</t>
  </si>
  <si>
    <t>L</t>
  </si>
  <si>
    <t>Yes/No Column</t>
  </si>
  <si>
    <t>E</t>
  </si>
  <si>
    <t>J</t>
  </si>
  <si>
    <t>G</t>
    <phoneticPr fontId="7" type="noConversion"/>
  </si>
  <si>
    <t>M</t>
  </si>
  <si>
    <t>Auditor Front Size</t>
  </si>
  <si>
    <t>Section Left Indent (-ve = more)</t>
  </si>
  <si>
    <t>Section Right Indent (-ve = more)</t>
  </si>
  <si>
    <t>Title Section Margin</t>
  </si>
  <si>
    <t>Filter Directors Tabs</t>
  </si>
  <si>
    <t>Directors Cell</t>
  </si>
  <si>
    <t>D42</t>
  </si>
  <si>
    <t>Directors Tab Prefix</t>
  </si>
  <si>
    <t>D emol</t>
  </si>
  <si>
    <t>Tax expenses</t>
  </si>
  <si>
    <t>Ordinary</t>
  </si>
  <si>
    <t>Leung Chung Pak
Chan Pui Yee</t>
  </si>
  <si>
    <t>MOP ENTERTAINMENT LIMITED</t>
  </si>
  <si>
    <t>萬達比奧娛樂有限公司</t>
  </si>
  <si>
    <t>UNIT 1213, FLOOR 12, WING ON PLAZA, 62 MODY ROAD, TSIM SHA TSUI, HONG KONG</t>
  </si>
  <si>
    <t>SOWA CO., LTD</t>
  </si>
  <si>
    <t>30 September</t>
  </si>
  <si>
    <t xml:space="preserve"> in order to align with the PRC business operation</t>
  </si>
  <si>
    <t>trading of toys</t>
  </si>
  <si>
    <t>62513946-000</t>
  </si>
  <si>
    <t>Unsecured, interest free and repayable on demand</t>
  </si>
  <si>
    <t>their</t>
  </si>
  <si>
    <t>2016/17</t>
  </si>
  <si>
    <t>Eric K.H. Tang</t>
  </si>
  <si>
    <t>鄧家豪執業會計師</t>
  </si>
  <si>
    <t>Tang Ka Ho</t>
  </si>
  <si>
    <t>P06475</t>
  </si>
  <si>
    <t>22/F, On Hong Commercial Building, 145 Hennessy Road, Wanchai, Hong Kong</t>
  </si>
  <si>
    <t>香港灣仔軒尼詩道145號安康商業大廈22樓</t>
  </si>
  <si>
    <t>55542148-000</t>
  </si>
  <si>
    <t>YYYMOP ENTERTAINMENT LIMITED</t>
  </si>
  <si>
    <t>=+spellnumber(A51)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</si>
</sst>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3" formatCode="_(* #,##0.00_);_(* \(#,##0.00\);_(* &quot;-&quot;??_);_(@_)"/>
    <numFmt numFmtId="164" formatCode="&quot;HK$&quot;#,##0_);[Red]\(&quot;HK$&quot;#,##0\)"/>
    <numFmt numFmtId="165" formatCode="&quot;HK$&quot;#,##0.00_);\(&quot;HK$&quot;#,##0.00\)"/>
    <numFmt numFmtId="166" formatCode="&quot;HK$&quot;#,##0.00_);[Red]\(&quot;HK$&quot;#,##0.00\)"/>
    <numFmt numFmtId="167" formatCode="0_);\(0\)"/>
    <numFmt numFmtId="168" formatCode="0.00_);[Red]\(0.00\)"/>
    <numFmt numFmtId="169" formatCode="_ * #,##0.00_ ;_ * \-#,##0.00_ ;_ * &quot;-&quot;??_ ;_ @_ "/>
    <numFmt numFmtId="170" formatCode="_(* #,##0_);_(* \(#,##0\);_(* &quot;-&quot;??_);_(@_)"/>
    <numFmt numFmtId="171" formatCode="0.00_ "/>
    <numFmt numFmtId="172" formatCode="&quot;HK$&quot;#,##0.00"/>
    <numFmt numFmtId="173" formatCode="yyyy/m/d;@"/>
    <numFmt numFmtId="174" formatCode="d/m/yyyy;@"/>
    <numFmt numFmtId="175" formatCode="[$-F800]dddd\,\ mmmm\ dd\,\ yyyy"/>
  </numFmts>
  <fonts count="125">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charset val="136"/>
      <scheme val="minor"/>
    </font>
    <font>
      <sz val="11"/>
      <color theme="1"/>
      <name val="Calibri"/>
      <family val="2"/>
      <scheme val="minor"/>
    </font>
    <font>
      <sz val="12"/>
      <color theme="1"/>
      <name val="Calibri"/>
      <family val="2"/>
      <scheme val="minor"/>
    </font>
    <font>
      <sz val="12"/>
      <color theme="1"/>
      <name val="Times New Roman"/>
      <family val="1"/>
    </font>
    <font>
      <u/>
      <sz val="12"/>
      <color theme="1"/>
      <name val="Times New Roman"/>
      <family val="1"/>
    </font>
    <font>
      <sz val="10.5"/>
      <color theme="1"/>
      <name val="Times New Roman"/>
      <family val="1"/>
    </font>
    <font>
      <u/>
      <sz val="10.5"/>
      <color theme="1"/>
      <name val="Times New Roman"/>
      <family val="1"/>
    </font>
    <font>
      <sz val="10"/>
      <color theme="1"/>
      <name val="Times New Roman"/>
      <family val="1"/>
    </font>
    <font>
      <u/>
      <sz val="10"/>
      <color theme="1"/>
      <name val="Times New Roman"/>
      <family val="1"/>
    </font>
    <font>
      <sz val="11"/>
      <color theme="1"/>
      <name val="Times New Roman"/>
      <family val="1"/>
    </font>
    <font>
      <sz val="9"/>
      <name val="Calibri"/>
      <family val="3"/>
      <charset val="136"/>
      <scheme val="minor"/>
    </font>
    <font>
      <b/>
      <sz val="12"/>
      <color theme="1"/>
      <name val="Times New Roman"/>
      <family val="1"/>
    </font>
    <font>
      <b/>
      <sz val="10"/>
      <color theme="1"/>
      <name val="Times New Roman"/>
      <family val="1"/>
    </font>
    <font>
      <b/>
      <u/>
      <sz val="11"/>
      <color theme="1"/>
      <name val="Times New Roman"/>
      <family val="1"/>
    </font>
    <font>
      <sz val="9"/>
      <color theme="1"/>
      <name val="Times New Roman"/>
      <family val="1"/>
    </font>
    <font>
      <sz val="9"/>
      <name val="Times New Roman"/>
      <family val="1"/>
    </font>
    <font>
      <sz val="9"/>
      <name val="新細明體"/>
      <family val="1"/>
      <charset val="136"/>
    </font>
    <font>
      <sz val="10"/>
      <name val="Times New Roman"/>
      <family val="1"/>
    </font>
    <font>
      <sz val="9"/>
      <color theme="1"/>
      <name val="Calibri"/>
      <family val="2"/>
      <scheme val="minor"/>
    </font>
    <font>
      <b/>
      <u/>
      <sz val="18"/>
      <color theme="1"/>
      <name val="Times New Roman"/>
      <family val="1"/>
    </font>
    <font>
      <sz val="12"/>
      <color rgb="FF5F5F5F"/>
      <name val="Times New Roman"/>
      <family val="1"/>
    </font>
    <font>
      <sz val="10"/>
      <color rgb="FF333333"/>
      <name val="Times New Roman"/>
      <family val="1"/>
    </font>
    <font>
      <sz val="20"/>
      <color rgb="FF5F5F5F"/>
      <name val="Times New Roman"/>
      <family val="1"/>
    </font>
    <font>
      <b/>
      <u/>
      <sz val="11"/>
      <name val="Times New Roman"/>
      <family val="1"/>
    </font>
    <font>
      <b/>
      <sz val="10"/>
      <name val="Times New Roman"/>
      <family val="1"/>
    </font>
    <font>
      <sz val="12"/>
      <name val="Times New Roman"/>
      <family val="1"/>
    </font>
    <font>
      <b/>
      <u/>
      <sz val="10"/>
      <name val="Times New Roman"/>
      <family val="1"/>
    </font>
    <font>
      <i/>
      <sz val="10"/>
      <name val="Times New Roman"/>
      <family val="1"/>
    </font>
    <font>
      <u/>
      <sz val="12"/>
      <name val="Times New Roman"/>
      <family val="1"/>
    </font>
    <font>
      <i/>
      <sz val="10"/>
      <color theme="1"/>
      <name val="Times New Roman"/>
      <family val="1"/>
    </font>
    <font>
      <b/>
      <sz val="12"/>
      <color theme="1"/>
      <name val="Calibri"/>
      <family val="1"/>
      <charset val="136"/>
      <scheme val="minor"/>
    </font>
    <font>
      <sz val="9"/>
      <color theme="1"/>
      <name val="Calibri"/>
      <family val="1"/>
      <charset val="136"/>
      <scheme val="minor"/>
    </font>
    <font>
      <b/>
      <sz val="18"/>
      <color theme="1"/>
      <name val="Times New Roman"/>
      <family val="1"/>
    </font>
    <font>
      <sz val="18"/>
      <color theme="1"/>
      <name val="Times New Roman"/>
      <family val="1"/>
    </font>
    <font>
      <sz val="12"/>
      <color theme="1"/>
      <name val="Calibri"/>
      <family val="1"/>
      <charset val="136"/>
      <scheme val="minor"/>
    </font>
    <font>
      <sz val="18.5"/>
      <color theme="1"/>
      <name val="Times New Roman"/>
      <family val="1"/>
    </font>
    <font>
      <b/>
      <sz val="14.5"/>
      <color theme="1"/>
      <name val="Times New Roman"/>
      <family val="1"/>
    </font>
    <font>
      <b/>
      <sz val="12.5"/>
      <color theme="1"/>
      <name val="Times New Roman"/>
      <family val="1"/>
    </font>
    <font>
      <b/>
      <u/>
      <sz val="18"/>
      <color theme="1"/>
      <name val="標楷體"/>
      <family val="4"/>
      <charset val="136"/>
    </font>
    <font>
      <b/>
      <sz val="11"/>
      <color theme="1"/>
      <name val="Times New Roman"/>
      <family val="1"/>
    </font>
    <font>
      <u/>
      <sz val="11"/>
      <color theme="1"/>
      <name val="Times New Roman"/>
      <family val="1"/>
    </font>
    <font>
      <sz val="7"/>
      <color theme="1"/>
      <name val="Times New Roman"/>
      <family val="1"/>
    </font>
    <font>
      <sz val="11"/>
      <color rgb="FF000000"/>
      <name val="Times New Roman"/>
      <family val="1"/>
    </font>
    <font>
      <sz val="11"/>
      <color rgb="FF5F5F5F"/>
      <name val="Times New Roman"/>
      <family val="1"/>
    </font>
    <font>
      <sz val="11"/>
      <color theme="1"/>
      <name val="Calibri"/>
      <family val="2"/>
      <scheme val="minor"/>
    </font>
    <font>
      <sz val="10"/>
      <color theme="1"/>
      <name val="Calibri"/>
      <family val="2"/>
      <scheme val="minor"/>
    </font>
    <font>
      <sz val="11"/>
      <name val="Times New Roman"/>
      <family val="1"/>
    </font>
    <font>
      <u/>
      <sz val="11"/>
      <name val="Times New Roman"/>
      <family val="1"/>
    </font>
    <font>
      <sz val="10"/>
      <color indexed="8"/>
      <name val="Times New Roman"/>
      <family val="1"/>
    </font>
    <font>
      <b/>
      <sz val="11"/>
      <name val="Times New Roman"/>
      <family val="1"/>
    </font>
    <font>
      <b/>
      <sz val="7"/>
      <color theme="1"/>
      <name val="Times New Roman"/>
      <family val="1"/>
    </font>
    <font>
      <sz val="12"/>
      <name val="新細明體"/>
      <family val="1"/>
      <charset val="136"/>
    </font>
    <font>
      <b/>
      <sz val="12"/>
      <name val="Times New Roman"/>
      <family val="1"/>
    </font>
    <font>
      <b/>
      <sz val="20"/>
      <name val="Times New Roman"/>
      <family val="1"/>
    </font>
    <font>
      <b/>
      <u/>
      <sz val="12"/>
      <color theme="1"/>
      <name val="Times New Roman"/>
      <family val="1"/>
    </font>
    <font>
      <sz val="14"/>
      <color theme="1"/>
      <name val="Times New Roman"/>
      <family val="1"/>
    </font>
    <font>
      <sz val="14"/>
      <color theme="1"/>
      <name val="細明體"/>
      <family val="3"/>
      <charset val="136"/>
    </font>
    <font>
      <b/>
      <sz val="14"/>
      <color theme="1"/>
      <name val="Times New Roman"/>
      <family val="1"/>
    </font>
    <font>
      <u/>
      <sz val="14"/>
      <color theme="1"/>
      <name val="Times New Roman"/>
      <family val="1"/>
    </font>
    <font>
      <u/>
      <sz val="12"/>
      <color theme="10"/>
      <name val="Calibri"/>
      <family val="2"/>
      <scheme val="minor"/>
    </font>
    <font>
      <b/>
      <sz val="10.5"/>
      <color theme="1"/>
      <name val="Times New Roman"/>
      <family val="1"/>
    </font>
    <font>
      <sz val="11"/>
      <color theme="1"/>
      <name val="Calibri"/>
      <family val="1"/>
      <charset val="136"/>
      <scheme val="minor"/>
    </font>
    <font>
      <b/>
      <sz val="11"/>
      <color theme="1"/>
      <name val="Calibri"/>
      <family val="2"/>
      <scheme val="minor"/>
    </font>
    <font>
      <sz val="11"/>
      <name val="Calibri"/>
      <family val="2"/>
      <scheme val="minor"/>
    </font>
    <font>
      <u/>
      <sz val="11"/>
      <name val="Calibri"/>
      <family val="2"/>
      <scheme val="minor"/>
    </font>
    <font>
      <sz val="12"/>
      <name val="Calibri"/>
      <family val="2"/>
      <scheme val="minor"/>
    </font>
    <font>
      <u/>
      <sz val="12"/>
      <name val="Calibri"/>
      <family val="2"/>
      <scheme val="minor"/>
    </font>
    <font>
      <u/>
      <sz val="11"/>
      <color theme="1"/>
      <name val="Calibri"/>
      <family val="2"/>
      <scheme val="minor"/>
    </font>
    <font>
      <u/>
      <sz val="11"/>
      <color theme="1"/>
      <name val="Calibri"/>
      <family val="1"/>
      <charset val="136"/>
      <scheme val="minor"/>
    </font>
    <font>
      <b/>
      <sz val="11"/>
      <color theme="1"/>
      <name val="Calibri"/>
      <family val="1"/>
      <charset val="136"/>
      <scheme val="minor"/>
    </font>
    <font>
      <sz val="10"/>
      <color theme="1"/>
      <name val="細明體"/>
      <family val="3"/>
      <charset val="136"/>
    </font>
    <font>
      <sz val="12"/>
      <name val="宋体"/>
      <family val="3"/>
      <charset val="136"/>
    </font>
    <font>
      <sz val="12"/>
      <color theme="0"/>
      <name val="Calibri"/>
      <family val="2"/>
      <scheme val="minor"/>
    </font>
    <font>
      <sz val="12"/>
      <name val="Symbol"/>
      <family val="1"/>
      <charset val="2"/>
    </font>
    <font>
      <sz val="9"/>
      <color indexed="81"/>
      <name val="Tahoma"/>
      <family val="2"/>
    </font>
    <font>
      <b/>
      <sz val="9"/>
      <color indexed="81"/>
      <name val="Tahoma"/>
      <family val="2"/>
    </font>
    <font>
      <sz val="9"/>
      <color indexed="81"/>
      <name val="細明體"/>
      <family val="3"/>
      <charset val="136"/>
    </font>
    <font>
      <sz val="12"/>
      <color theme="0"/>
      <name val="Times New Roman"/>
      <family val="1"/>
    </font>
    <font>
      <sz val="12"/>
      <color theme="4" tint="0.39997558519241921"/>
      <name val="Times New Roman"/>
      <family val="1"/>
    </font>
    <font>
      <sz val="12"/>
      <color theme="4" tint="0.59999389629810485"/>
      <name val="Times New Roman"/>
      <family val="1"/>
    </font>
    <font>
      <sz val="18"/>
      <color theme="0"/>
      <name val="Times New Roman"/>
      <family val="1"/>
    </font>
    <font>
      <b/>
      <sz val="12"/>
      <color theme="0"/>
      <name val="Times New Roman"/>
      <family val="1"/>
    </font>
    <font>
      <sz val="12"/>
      <color theme="0"/>
      <name val="細明體"/>
      <family val="3"/>
      <charset val="136"/>
    </font>
    <font>
      <sz val="9"/>
      <color theme="0"/>
      <name val="Times New Roman"/>
      <family val="1"/>
    </font>
    <font>
      <sz val="10"/>
      <color theme="0"/>
      <name val="Times New Roman"/>
      <family val="1"/>
    </font>
    <font>
      <sz val="12"/>
      <color theme="0"/>
      <name val="Calibri"/>
      <family val="1"/>
      <charset val="136"/>
      <scheme val="minor"/>
    </font>
    <font>
      <b/>
      <sz val="10"/>
      <color theme="0"/>
      <name val="Times New Roman"/>
      <family val="1"/>
    </font>
    <font>
      <i/>
      <sz val="10"/>
      <color theme="0"/>
      <name val="Times New Roman"/>
      <family val="1"/>
    </font>
    <font>
      <sz val="10"/>
      <color theme="0"/>
      <name val="細明體"/>
      <family val="3"/>
      <charset val="136"/>
    </font>
    <font>
      <sz val="10"/>
      <color theme="0"/>
      <name val="Calibri"/>
      <family val="2"/>
      <scheme val="minor"/>
    </font>
    <font>
      <b/>
      <sz val="11"/>
      <color theme="0"/>
      <name val="Times New Roman"/>
      <family val="1"/>
    </font>
    <font>
      <sz val="11"/>
      <color theme="0"/>
      <name val="Times New Roman"/>
      <family val="1"/>
    </font>
    <font>
      <u/>
      <sz val="11"/>
      <color theme="0"/>
      <name val="Times New Roman"/>
      <family val="1"/>
    </font>
    <font>
      <sz val="12"/>
      <name val="Times New Roman"/>
      <family val="1"/>
    </font>
    <font>
      <sz val="8"/>
      <name val="Times New Roman"/>
      <family val="1"/>
    </font>
    <font>
      <b/>
      <sz val="16"/>
      <name val="新細明體"/>
      <family val="1"/>
      <charset val="136"/>
    </font>
    <font>
      <b/>
      <sz val="16"/>
      <name val="Times New Roman"/>
      <family val="1"/>
    </font>
    <font>
      <sz val="12"/>
      <name val="細明體"/>
      <family val="3"/>
      <charset val="136"/>
    </font>
    <font>
      <sz val="12"/>
      <name val="新細明體"/>
      <family val="1"/>
      <charset val="136"/>
    </font>
    <font>
      <sz val="11"/>
      <name val="Times New Roman"/>
      <family val="1"/>
    </font>
    <font>
      <b/>
      <sz val="11"/>
      <name val="Times New Roman"/>
      <family val="1"/>
    </font>
    <font>
      <b/>
      <sz val="12"/>
      <name val="Times New Roman"/>
      <family val="1"/>
    </font>
    <font>
      <b/>
      <sz val="12"/>
      <name val="新細明體"/>
      <family val="1"/>
      <charset val="136"/>
    </font>
    <font>
      <b/>
      <sz val="12"/>
      <color theme="1"/>
      <name val="Calibri"/>
      <family val="1"/>
      <scheme val="minor"/>
    </font>
    <font>
      <sz val="12"/>
      <color theme="1"/>
      <name val="細明體"/>
      <family val="3"/>
      <charset val="136"/>
    </font>
    <font>
      <sz val="10"/>
      <color indexed="8"/>
      <name val="Times New Roman"/>
      <family val="1"/>
    </font>
    <font>
      <sz val="9"/>
      <name val="Times New Roman"/>
      <family val="1"/>
    </font>
    <font>
      <sz val="12"/>
      <color theme="1"/>
      <name val="Calibri"/>
      <family val="1"/>
      <scheme val="minor"/>
    </font>
    <font>
      <sz val="9"/>
      <color theme="0"/>
      <name val="Calibri"/>
      <family val="2"/>
      <scheme val="minor"/>
    </font>
    <font>
      <sz val="10.5"/>
      <color theme="0"/>
      <name val="Times New Roman"/>
      <family val="1"/>
    </font>
    <font>
      <u/>
      <sz val="10.5"/>
      <color theme="0"/>
      <name val="Times New Roman"/>
      <family val="1"/>
    </font>
    <font>
      <sz val="14"/>
      <color theme="0"/>
      <name val="Times New Roman"/>
      <family val="1"/>
    </font>
    <font>
      <sz val="14"/>
      <color theme="0"/>
      <name val="細明體"/>
      <family val="3"/>
      <charset val="136"/>
    </font>
    <font>
      <sz val="9"/>
      <name val="細明體"/>
      <family val="3"/>
      <charset val="136"/>
    </font>
    <font>
      <b/>
      <sz val="11"/>
      <color theme="1"/>
      <name val="Times New Roman"/>
      <family val="1"/>
    </font>
    <font>
      <sz val="12"/>
      <color theme="1"/>
      <name val="Calibri"/>
      <family val="2"/>
      <scheme val="minor"/>
    </font>
    <font>
      <sz val="11"/>
      <color theme="1"/>
      <name val="Times New Roman"/>
      <family val="1"/>
    </font>
    <font>
      <sz val="11"/>
      <name val="Times New Roman"/>
      <family val="1"/>
    </font>
    <font>
      <u/>
      <sz val="11"/>
      <name val="Times New Roman"/>
      <family val="1"/>
    </font>
    <font>
      <b/>
      <sz val="11"/>
      <name val="Times New Roman"/>
      <family val="1"/>
    </font>
    <font>
      <sz val="9"/>
      <name val="Calibri"/>
      <family val="2"/>
      <charset val="136"/>
      <scheme val="minor"/>
    </font>
    <font>
      <sz val="11"/>
      <color indexed="8"/>
      <name val="新細明體"/>
      <family val="1"/>
      <charset val="136"/>
    </font>
  </fonts>
  <fills count="12">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79998168889431442"/>
        <bgColor indexed="64"/>
      </patternFill>
    </fill>
  </fills>
  <borders count="2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thin">
        <color indexed="64"/>
      </top>
      <bottom style="double">
        <color indexed="64"/>
      </bottom>
      <diagonal/>
    </border>
    <border>
      <left/>
      <right/>
      <top/>
      <bottom style="double">
        <color indexed="64"/>
      </bottom>
      <diagonal/>
    </border>
  </borders>
  <cellStyleXfs count="15">
    <xf numFmtId="0" fontId="0" fillId="0" borderId="0"/>
    <xf numFmtId="43" fontId="5" fillId="0" borderId="0" applyFont="0" applyFill="0" applyBorder="0" applyAlignment="0" applyProtection="0">
      <alignment vertical="center"/>
    </xf>
    <xf numFmtId="9" fontId="5" fillId="0" borderId="0" applyFont="0" applyFill="0" applyBorder="0" applyAlignment="0" applyProtection="0">
      <alignment vertical="center"/>
    </xf>
    <xf numFmtId="0" fontId="54" fillId="0" borderId="0">
      <alignment vertical="center"/>
    </xf>
    <xf numFmtId="0" fontId="62" fillId="0" borderId="0" applyNumberFormat="0" applyFill="0" applyBorder="0" applyAlignment="0" applyProtection="0"/>
    <xf numFmtId="0" fontId="64" fillId="0" borderId="0"/>
    <xf numFmtId="43" fontId="64" fillId="0" borderId="0" applyFont="0" applyFill="0" applyBorder="0" applyAlignment="0" applyProtection="0"/>
    <xf numFmtId="0" fontId="74" fillId="0" borderId="0">
      <alignment vertical="center"/>
    </xf>
    <xf numFmtId="0" fontId="54" fillId="0" borderId="0">
      <alignment vertical="center"/>
    </xf>
    <xf numFmtId="43" fontId="54" fillId="0" borderId="0" applyFont="0" applyFill="0" applyBorder="0" applyAlignment="0" applyProtection="0">
      <alignment vertical="center"/>
    </xf>
    <xf numFmtId="37" fontId="28" fillId="0" borderId="0"/>
    <xf numFmtId="0" fontId="3" fillId="0" borderId="0">
      <alignment vertical="center"/>
    </xf>
    <xf numFmtId="0" fontId="64" fillId="0" borderId="0"/>
    <xf numFmtId="43" fontId="124" fillId="0" borderId="0" applyFont="0" applyFill="0" applyBorder="0" applyAlignment="0" applyProtection="0"/>
    <xf numFmtId="0" fontId="64" fillId="0" borderId="0"/>
  </cellStyleXfs>
  <cellXfs count="1088">
    <xf numFmtId="0" fontId="0" fillId="0" borderId="0" xfId="0"/>
    <xf numFmtId="0" fontId="6" fillId="0" borderId="0" xfId="0" applyFont="1"/>
    <xf numFmtId="0" fontId="8" fillId="0" borderId="0" xfId="0" applyFont="1" applyAlignment="1">
      <alignment horizontal="justify" vertical="center"/>
    </xf>
    <xf numFmtId="0" fontId="9" fillId="0" borderId="0" xfId="0" applyFont="1" applyAlignment="1">
      <alignment horizontal="justify" vertical="center"/>
    </xf>
    <xf numFmtId="0" fontId="8" fillId="0" borderId="0" xfId="0" applyFont="1" applyAlignment="1">
      <alignment vertical="center"/>
    </xf>
    <xf numFmtId="0" fontId="9" fillId="0" borderId="0" xfId="0" applyFont="1" applyAlignment="1">
      <alignment vertical="center"/>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8" fillId="0" borderId="4" xfId="0" applyFont="1" applyBorder="1" applyAlignment="1">
      <alignment horizontal="justify" vertical="center" wrapText="1"/>
    </xf>
    <xf numFmtId="0" fontId="9" fillId="0" borderId="5" xfId="0" applyFont="1" applyBorder="1" applyAlignment="1">
      <alignment horizontal="justify" vertical="center" wrapText="1"/>
    </xf>
    <xf numFmtId="0" fontId="8" fillId="0" borderId="4" xfId="0" applyFont="1" applyBorder="1" applyAlignment="1">
      <alignment vertical="center" wrapText="1"/>
    </xf>
    <xf numFmtId="0" fontId="8" fillId="0" borderId="5" xfId="0" applyFont="1" applyBorder="1" applyAlignment="1">
      <alignment horizontal="justify" vertical="center"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0" fillId="0" borderId="4" xfId="0" applyFont="1" applyBorder="1" applyAlignment="1">
      <alignment horizontal="left" vertical="center" wrapText="1" indent="1"/>
    </xf>
    <xf numFmtId="0" fontId="9" fillId="0" borderId="5" xfId="0" applyFont="1" applyBorder="1" applyAlignment="1">
      <alignment vertical="center" wrapText="1"/>
    </xf>
    <xf numFmtId="0" fontId="0" fillId="0" borderId="5" xfId="0" applyBorder="1" applyAlignment="1">
      <alignment vertical="top" wrapText="1"/>
    </xf>
    <xf numFmtId="0" fontId="10" fillId="0" borderId="4" xfId="0" applyFont="1" applyBorder="1" applyAlignment="1">
      <alignment horizontal="left" vertical="center" wrapText="1" indent="5"/>
    </xf>
    <xf numFmtId="0" fontId="10" fillId="0" borderId="4" xfId="0" applyFont="1" applyBorder="1" applyAlignment="1">
      <alignment vertical="center" wrapText="1"/>
    </xf>
    <xf numFmtId="0" fontId="0" fillId="0" borderId="4" xfId="0" applyBorder="1" applyAlignment="1">
      <alignment vertical="top" wrapText="1"/>
    </xf>
    <xf numFmtId="0" fontId="10" fillId="2" borderId="4" xfId="0" applyFont="1" applyFill="1" applyBorder="1" applyAlignment="1">
      <alignment horizontal="center" vertical="center" wrapText="1"/>
    </xf>
    <xf numFmtId="0" fontId="11" fillId="0" borderId="5" xfId="0" applyFont="1" applyBorder="1" applyAlignment="1">
      <alignment vertical="center" wrapText="1"/>
    </xf>
    <xf numFmtId="0" fontId="11" fillId="0" borderId="5" xfId="0" applyFont="1" applyBorder="1" applyAlignment="1">
      <alignment horizontal="justify" vertical="center" wrapText="1"/>
    </xf>
    <xf numFmtId="0" fontId="8" fillId="0" borderId="4" xfId="0" applyFont="1" applyBorder="1" applyAlignment="1">
      <alignment horizontal="center" vertical="center" wrapText="1"/>
    </xf>
    <xf numFmtId="0" fontId="8" fillId="0" borderId="0" xfId="0" applyFont="1" applyAlignment="1">
      <alignment horizontal="right" vertical="center"/>
    </xf>
    <xf numFmtId="0" fontId="0" fillId="0" borderId="1" xfId="0" applyBorder="1"/>
    <xf numFmtId="43" fontId="10" fillId="2" borderId="4" xfId="1" applyFont="1" applyFill="1" applyBorder="1" applyAlignment="1">
      <alignment horizontal="center" vertical="center" wrapText="1"/>
    </xf>
    <xf numFmtId="0" fontId="18" fillId="0" borderId="0" xfId="0" applyFont="1" applyAlignment="1"/>
    <xf numFmtId="0" fontId="18" fillId="0" borderId="0" xfId="0" applyFont="1" applyBorder="1" applyAlignment="1">
      <alignment vertical="center"/>
    </xf>
    <xf numFmtId="0" fontId="18" fillId="0" borderId="7" xfId="0" applyFont="1" applyBorder="1" applyAlignment="1">
      <alignment vertical="center"/>
    </xf>
    <xf numFmtId="0" fontId="18" fillId="0" borderId="9" xfId="0" applyFont="1" applyBorder="1" applyAlignment="1">
      <alignment vertical="center"/>
    </xf>
    <xf numFmtId="0" fontId="18" fillId="0" borderId="0" xfId="0" applyFont="1" applyAlignment="1">
      <alignment vertical="center"/>
    </xf>
    <xf numFmtId="0" fontId="18" fillId="0" borderId="11" xfId="0" applyFont="1" applyBorder="1" applyAlignment="1">
      <alignment vertical="center"/>
    </xf>
    <xf numFmtId="0" fontId="18" fillId="0" borderId="12" xfId="0" applyFont="1" applyBorder="1" applyAlignment="1">
      <alignment vertical="center"/>
    </xf>
    <xf numFmtId="0" fontId="18" fillId="0" borderId="0" xfId="0" quotePrefix="1" applyFont="1" applyAlignment="1">
      <alignment vertical="center"/>
    </xf>
    <xf numFmtId="165" fontId="18" fillId="0" borderId="0" xfId="0" applyNumberFormat="1" applyFont="1" applyAlignment="1">
      <alignment horizontal="center" vertical="center"/>
    </xf>
    <xf numFmtId="0" fontId="21" fillId="0" borderId="0" xfId="0" applyFont="1"/>
    <xf numFmtId="0" fontId="18" fillId="0" borderId="1" xfId="0" applyFont="1" applyBorder="1" applyAlignment="1">
      <alignment vertical="center"/>
    </xf>
    <xf numFmtId="0" fontId="12" fillId="0" borderId="0" xfId="0" applyFont="1" applyAlignment="1">
      <alignment horizontal="left" vertical="center" indent="4"/>
    </xf>
    <xf numFmtId="0" fontId="12" fillId="0" borderId="0" xfId="0" applyFont="1"/>
    <xf numFmtId="0" fontId="23" fillId="0" borderId="0" xfId="0" applyFont="1" applyAlignment="1">
      <alignment horizontal="center" vertical="center"/>
    </xf>
    <xf numFmtId="0" fontId="6" fillId="0" borderId="0" xfId="0" applyFont="1" applyAlignment="1">
      <alignment vertical="center"/>
    </xf>
    <xf numFmtId="0" fontId="10" fillId="0" borderId="0" xfId="0" applyFont="1" applyAlignment="1">
      <alignment vertical="center"/>
    </xf>
    <xf numFmtId="0" fontId="12" fillId="0" borderId="0" xfId="0" applyFont="1" applyAlignment="1">
      <alignment vertical="center"/>
    </xf>
    <xf numFmtId="0" fontId="14" fillId="0" borderId="0" xfId="0" applyFont="1" applyAlignment="1">
      <alignment vertical="center"/>
    </xf>
    <xf numFmtId="0" fontId="17" fillId="0" borderId="0" xfId="0" applyFont="1" applyAlignment="1">
      <alignment horizontal="right"/>
    </xf>
    <xf numFmtId="0" fontId="14" fillId="0" borderId="0" xfId="0" applyFont="1"/>
    <xf numFmtId="0" fontId="12" fillId="0" borderId="18" xfId="0" applyFont="1" applyBorder="1"/>
    <xf numFmtId="0" fontId="12" fillId="0" borderId="0" xfId="0" applyFont="1" applyAlignment="1"/>
    <xf numFmtId="0" fontId="12" fillId="3" borderId="0" xfId="0" applyFont="1" applyFill="1" applyAlignment="1">
      <alignment vertical="center"/>
    </xf>
    <xf numFmtId="0" fontId="6" fillId="3" borderId="0" xfId="0" applyFont="1" applyFill="1"/>
    <xf numFmtId="0" fontId="12" fillId="3" borderId="0" xfId="0" applyFont="1" applyFill="1"/>
    <xf numFmtId="0" fontId="14" fillId="0" borderId="0" xfId="0" applyFont="1" applyAlignment="1">
      <alignment horizontal="left" vertical="top"/>
    </xf>
    <xf numFmtId="0" fontId="0" fillId="3" borderId="0" xfId="0" applyFill="1"/>
    <xf numFmtId="0" fontId="10" fillId="0" borderId="13" xfId="0" applyFont="1" applyFill="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Alignment="1">
      <alignment horizontal="center" vertical="center"/>
    </xf>
    <xf numFmtId="0" fontId="0" fillId="0" borderId="0" xfId="0" applyFill="1"/>
    <xf numFmtId="0" fontId="8" fillId="0" borderId="0" xfId="0" applyFont="1" applyFill="1" applyBorder="1" applyAlignment="1">
      <alignment horizontal="left" vertical="center"/>
    </xf>
    <xf numFmtId="0" fontId="8" fillId="0" borderId="0" xfId="0" applyFont="1" applyFill="1" applyBorder="1" applyAlignment="1">
      <alignment horizontal="left" vertical="top" wrapText="1"/>
    </xf>
    <xf numFmtId="0" fontId="8" fillId="0" borderId="0" xfId="0" applyFont="1" applyFill="1" applyAlignment="1">
      <alignment horizontal="distributed" vertical="center"/>
    </xf>
    <xf numFmtId="0" fontId="9" fillId="0" borderId="0" xfId="0" applyFont="1" applyFill="1" applyAlignment="1">
      <alignment vertical="center"/>
    </xf>
    <xf numFmtId="0" fontId="10" fillId="0" borderId="0" xfId="0" applyFont="1" applyFill="1" applyBorder="1" applyAlignment="1">
      <alignment horizontal="center" vertical="center" wrapText="1"/>
    </xf>
    <xf numFmtId="0" fontId="9" fillId="0" borderId="0" xfId="0" applyFont="1" applyFill="1" applyBorder="1" applyAlignment="1">
      <alignment vertical="center" wrapText="1"/>
    </xf>
    <xf numFmtId="0" fontId="10" fillId="0" borderId="0" xfId="0" applyFont="1" applyFill="1" applyBorder="1" applyAlignment="1">
      <alignment vertical="center" wrapText="1"/>
    </xf>
    <xf numFmtId="0" fontId="10" fillId="0" borderId="0" xfId="0" applyFont="1" applyFill="1" applyBorder="1" applyAlignment="1">
      <alignment horizontal="left" vertical="center" wrapText="1"/>
    </xf>
    <xf numFmtId="0" fontId="0" fillId="0" borderId="0" xfId="0" applyFill="1" applyBorder="1" applyAlignment="1">
      <alignment vertical="top" wrapText="1"/>
    </xf>
    <xf numFmtId="0" fontId="8" fillId="0" borderId="0" xfId="0" applyFont="1" applyFill="1" applyBorder="1" applyAlignment="1">
      <alignment horizontal="center" vertical="center" wrapText="1"/>
    </xf>
    <xf numFmtId="0" fontId="9" fillId="0" borderId="0" xfId="0" applyFont="1" applyFill="1" applyBorder="1" applyAlignment="1">
      <alignment horizontal="justify" vertical="center" wrapText="1"/>
    </xf>
    <xf numFmtId="0" fontId="8" fillId="0" borderId="0" xfId="0" applyFont="1" applyFill="1" applyBorder="1" applyAlignment="1">
      <alignment vertical="center" wrapText="1"/>
    </xf>
    <xf numFmtId="0" fontId="8" fillId="0" borderId="0" xfId="0" applyFont="1" applyFill="1" applyAlignment="1">
      <alignment horizontal="left" vertical="center"/>
    </xf>
    <xf numFmtId="0" fontId="0" fillId="0" borderId="0" xfId="0" applyFill="1" applyBorder="1"/>
    <xf numFmtId="0" fontId="20" fillId="0" borderId="0" xfId="0" applyFont="1" applyAlignment="1">
      <alignment vertical="center"/>
    </xf>
    <xf numFmtId="0" fontId="28" fillId="0" borderId="0" xfId="0" applyFont="1" applyAlignment="1">
      <alignment vertical="center"/>
    </xf>
    <xf numFmtId="0" fontId="27" fillId="0" borderId="0" xfId="0" applyFont="1" applyAlignment="1">
      <alignment horizontal="center"/>
    </xf>
    <xf numFmtId="43" fontId="27" fillId="0" borderId="1" xfId="0" applyNumberFormat="1" applyFont="1" applyBorder="1" applyAlignment="1">
      <alignment horizontal="center"/>
    </xf>
    <xf numFmtId="0" fontId="27" fillId="0" borderId="0" xfId="0" applyFont="1" applyBorder="1" applyAlignment="1">
      <alignment horizontal="center"/>
    </xf>
    <xf numFmtId="0" fontId="27" fillId="0" borderId="0" xfId="0" applyFont="1" applyAlignment="1">
      <alignment horizontal="center" wrapText="1"/>
    </xf>
    <xf numFmtId="0" fontId="27" fillId="0" borderId="0" xfId="0" applyFont="1" applyAlignment="1">
      <alignment horizontal="center" vertical="center"/>
    </xf>
    <xf numFmtId="43" fontId="27" fillId="0" borderId="0" xfId="0" applyNumberFormat="1" applyFont="1" applyAlignment="1">
      <alignment horizontal="center" vertical="center"/>
    </xf>
    <xf numFmtId="0" fontId="27" fillId="0" borderId="0" xfId="0" applyFont="1" applyBorder="1" applyAlignment="1">
      <alignment horizontal="center" vertical="center"/>
    </xf>
    <xf numFmtId="0" fontId="27" fillId="0" borderId="0" xfId="0" applyFont="1" applyAlignment="1">
      <alignment vertical="center"/>
    </xf>
    <xf numFmtId="43" fontId="27" fillId="0" borderId="0" xfId="0" applyNumberFormat="1" applyFont="1" applyAlignment="1">
      <alignment vertical="center"/>
    </xf>
    <xf numFmtId="0" fontId="27" fillId="0" borderId="0" xfId="0" applyFont="1" applyBorder="1" applyAlignment="1">
      <alignment vertical="center"/>
    </xf>
    <xf numFmtId="49" fontId="20" fillId="0" borderId="0" xfId="0" applyNumberFormat="1" applyFont="1" applyAlignment="1">
      <alignment vertical="center"/>
    </xf>
    <xf numFmtId="43" fontId="20" fillId="0" borderId="0" xfId="0" applyNumberFormat="1" applyFont="1" applyAlignment="1">
      <alignment vertical="center"/>
    </xf>
    <xf numFmtId="0" fontId="20" fillId="0" borderId="0" xfId="0" applyFont="1" applyBorder="1" applyAlignment="1">
      <alignment vertical="center"/>
    </xf>
    <xf numFmtId="39" fontId="20" fillId="0" borderId="0" xfId="0" applyNumberFormat="1" applyFont="1" applyAlignment="1">
      <alignment vertical="center"/>
    </xf>
    <xf numFmtId="0" fontId="30" fillId="0" borderId="0" xfId="0" applyFont="1" applyFill="1" applyAlignment="1">
      <alignment vertical="center"/>
    </xf>
    <xf numFmtId="0" fontId="30" fillId="0" borderId="0" xfId="0" applyFont="1" applyAlignment="1">
      <alignment vertical="center"/>
    </xf>
    <xf numFmtId="43" fontId="30" fillId="0" borderId="0" xfId="0" applyNumberFormat="1" applyFont="1" applyAlignment="1">
      <alignment vertical="center"/>
    </xf>
    <xf numFmtId="0" fontId="30" fillId="0" borderId="0" xfId="0" applyFont="1" applyBorder="1" applyAlignment="1">
      <alignment vertical="center"/>
    </xf>
    <xf numFmtId="0" fontId="27" fillId="0" borderId="0" xfId="0" applyFont="1" applyFill="1" applyAlignment="1">
      <alignment vertical="center"/>
    </xf>
    <xf numFmtId="39" fontId="27" fillId="0" borderId="19" xfId="0" applyNumberFormat="1" applyFont="1" applyBorder="1" applyAlignment="1">
      <alignment vertical="center"/>
    </xf>
    <xf numFmtId="39" fontId="27" fillId="0" borderId="0" xfId="0" applyNumberFormat="1" applyFont="1" applyBorder="1" applyAlignment="1">
      <alignment vertical="center"/>
    </xf>
    <xf numFmtId="0" fontId="20" fillId="0" borderId="1" xfId="0" applyFont="1" applyBorder="1" applyAlignment="1">
      <alignment vertical="center"/>
    </xf>
    <xf numFmtId="43" fontId="20" fillId="0" borderId="1" xfId="0" applyNumberFormat="1" applyFont="1" applyBorder="1" applyAlignment="1">
      <alignment vertical="center"/>
    </xf>
    <xf numFmtId="43" fontId="0" fillId="3" borderId="0" xfId="1" applyFont="1" applyFill="1" applyAlignment="1"/>
    <xf numFmtId="39" fontId="27" fillId="3" borderId="0" xfId="0" applyNumberFormat="1" applyFont="1" applyFill="1" applyAlignment="1">
      <alignment vertical="center"/>
    </xf>
    <xf numFmtId="39" fontId="20" fillId="3" borderId="0" xfId="0" applyNumberFormat="1" applyFont="1" applyFill="1" applyAlignment="1">
      <alignment vertical="center"/>
    </xf>
    <xf numFmtId="0" fontId="31" fillId="0" borderId="0" xfId="0" applyFont="1" applyAlignment="1">
      <alignment vertical="center"/>
    </xf>
    <xf numFmtId="0" fontId="31" fillId="0" borderId="0" xfId="0" applyFont="1" applyFill="1" applyAlignment="1">
      <alignment vertical="center"/>
    </xf>
    <xf numFmtId="0" fontId="28" fillId="0" borderId="0" xfId="0" applyFont="1" applyAlignment="1">
      <alignment horizontal="center" vertical="center"/>
    </xf>
    <xf numFmtId="0" fontId="28" fillId="0" borderId="0" xfId="0" applyFont="1" applyFill="1" applyAlignment="1">
      <alignment vertical="center"/>
    </xf>
    <xf numFmtId="41" fontId="28" fillId="0" borderId="0" xfId="0" applyNumberFormat="1" applyFont="1" applyFill="1" applyBorder="1" applyAlignment="1">
      <alignment vertical="center"/>
    </xf>
    <xf numFmtId="41" fontId="28" fillId="0" borderId="0" xfId="0" applyNumberFormat="1" applyFont="1" applyAlignment="1">
      <alignment vertical="center"/>
    </xf>
    <xf numFmtId="41" fontId="28" fillId="0" borderId="19" xfId="0" applyNumberFormat="1" applyFont="1" applyFill="1" applyBorder="1" applyAlignment="1">
      <alignment horizontal="right" vertical="center"/>
    </xf>
    <xf numFmtId="41" fontId="28" fillId="0" borderId="0" xfId="0" applyNumberFormat="1" applyFont="1" applyFill="1" applyAlignment="1">
      <alignment vertical="center"/>
    </xf>
    <xf numFmtId="41" fontId="28" fillId="0" borderId="0" xfId="0" applyNumberFormat="1" applyFont="1" applyFill="1" applyBorder="1" applyAlignment="1">
      <alignment horizontal="right" vertical="center"/>
    </xf>
    <xf numFmtId="0" fontId="10" fillId="0" borderId="2" xfId="0" applyFont="1" applyBorder="1" applyAlignment="1">
      <alignment horizontal="justify" vertical="center" wrapText="1"/>
    </xf>
    <xf numFmtId="0" fontId="0" fillId="0" borderId="0" xfId="0" applyBorder="1"/>
    <xf numFmtId="0" fontId="0" fillId="0" borderId="0" xfId="0" applyAlignment="1">
      <alignment horizontal="right"/>
    </xf>
    <xf numFmtId="0" fontId="10" fillId="0" borderId="0" xfId="0" applyFont="1"/>
    <xf numFmtId="0" fontId="15" fillId="0" borderId="0" xfId="0" applyFont="1"/>
    <xf numFmtId="0" fontId="32" fillId="0" borderId="0" xfId="0" applyFont="1"/>
    <xf numFmtId="0" fontId="10" fillId="0" borderId="0" xfId="0" applyFont="1" applyAlignment="1">
      <alignment horizontal="right"/>
    </xf>
    <xf numFmtId="0" fontId="10" fillId="0" borderId="1" xfId="0" applyFont="1" applyBorder="1"/>
    <xf numFmtId="0" fontId="33" fillId="0" borderId="0" xfId="0" applyFont="1"/>
    <xf numFmtId="0" fontId="0" fillId="0" borderId="3" xfId="0" applyBorder="1"/>
    <xf numFmtId="0" fontId="0" fillId="0" borderId="5"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8" xfId="0" applyBorder="1"/>
    <xf numFmtId="0" fontId="0" fillId="0" borderId="13" xfId="0" applyBorder="1"/>
    <xf numFmtId="0" fontId="0" fillId="0" borderId="14" xfId="0" applyBorder="1"/>
    <xf numFmtId="0" fontId="10" fillId="0" borderId="4" xfId="0" applyFont="1" applyBorder="1"/>
    <xf numFmtId="0" fontId="10" fillId="0" borderId="3" xfId="0" applyFont="1" applyBorder="1"/>
    <xf numFmtId="0" fontId="6" fillId="0" borderId="0" xfId="0" quotePrefix="1" applyFont="1"/>
    <xf numFmtId="0" fontId="6" fillId="0" borderId="0" xfId="0" applyFont="1" applyFill="1"/>
    <xf numFmtId="0" fontId="10" fillId="0" borderId="0" xfId="0" applyFont="1" applyAlignment="1">
      <alignment vertical="top" wrapText="1"/>
    </xf>
    <xf numFmtId="0" fontId="10" fillId="0" borderId="1" xfId="0" applyFont="1" applyBorder="1" applyAlignment="1">
      <alignment vertical="top" wrapText="1"/>
    </xf>
    <xf numFmtId="0" fontId="10" fillId="0" borderId="0" xfId="0" applyFont="1" applyBorder="1" applyAlignment="1">
      <alignment vertical="top" wrapText="1"/>
    </xf>
    <xf numFmtId="0" fontId="0" fillId="0" borderId="4" xfId="0" applyBorder="1"/>
    <xf numFmtId="0" fontId="10" fillId="0" borderId="0" xfId="0" applyFont="1" applyFill="1" applyBorder="1" applyAlignment="1">
      <alignment horizontal="center" vertical="top" wrapText="1"/>
    </xf>
    <xf numFmtId="0" fontId="10" fillId="0" borderId="11" xfId="0" applyFont="1" applyBorder="1" applyAlignment="1">
      <alignment vertical="top" wrapText="1"/>
    </xf>
    <xf numFmtId="0" fontId="10" fillId="0" borderId="5" xfId="0" applyFont="1" applyBorder="1" applyAlignment="1">
      <alignment vertical="top" wrapText="1"/>
    </xf>
    <xf numFmtId="0" fontId="17" fillId="0" borderId="4" xfId="0" applyFont="1" applyBorder="1"/>
    <xf numFmtId="0" fontId="17" fillId="0" borderId="5" xfId="0" applyFont="1" applyBorder="1"/>
    <xf numFmtId="0" fontId="17" fillId="0" borderId="4" xfId="0" applyFont="1" applyBorder="1" applyAlignment="1">
      <alignment horizontal="left"/>
    </xf>
    <xf numFmtId="0" fontId="17" fillId="0" borderId="13" xfId="0" applyFont="1" applyBorder="1" applyAlignment="1">
      <alignment vertical="top" wrapText="1"/>
    </xf>
    <xf numFmtId="0" fontId="17" fillId="0" borderId="4" xfId="0" applyFont="1" applyBorder="1" applyAlignment="1">
      <alignment vertical="top" wrapText="1"/>
    </xf>
    <xf numFmtId="0" fontId="10" fillId="0" borderId="9" xfId="0" applyFont="1" applyBorder="1" applyAlignment="1">
      <alignment vertical="center" wrapText="1"/>
    </xf>
    <xf numFmtId="0" fontId="10" fillId="0" borderId="12" xfId="0" applyFont="1" applyBorder="1" applyAlignment="1">
      <alignment vertical="center" wrapText="1"/>
    </xf>
    <xf numFmtId="0" fontId="15" fillId="0" borderId="15" xfId="0" applyFont="1" applyBorder="1"/>
    <xf numFmtId="0" fontId="0" fillId="0" borderId="16" xfId="0" applyBorder="1"/>
    <xf numFmtId="0" fontId="0" fillId="0" borderId="17" xfId="0" applyBorder="1"/>
    <xf numFmtId="0" fontId="10" fillId="0" borderId="13" xfId="0" applyFont="1" applyBorder="1"/>
    <xf numFmtId="0" fontId="10" fillId="0" borderId="0" xfId="0" applyFont="1" applyBorder="1"/>
    <xf numFmtId="0" fontId="10" fillId="0" borderId="2" xfId="0" applyFont="1" applyBorder="1" applyAlignment="1">
      <alignment horizontal="justify" vertical="top" wrapText="1"/>
    </xf>
    <xf numFmtId="0" fontId="17" fillId="0" borderId="0" xfId="0" applyFont="1" applyBorder="1"/>
    <xf numFmtId="0" fontId="14" fillId="3" borderId="0" xfId="0" applyFont="1" applyFill="1"/>
    <xf numFmtId="0" fontId="35" fillId="3" borderId="0" xfId="0" applyFont="1" applyFill="1" applyAlignment="1">
      <alignment horizontal="left" vertical="center"/>
    </xf>
    <xf numFmtId="0" fontId="36" fillId="3" borderId="0" xfId="0" applyFont="1" applyFill="1"/>
    <xf numFmtId="0" fontId="36" fillId="0" borderId="0" xfId="0" applyFont="1"/>
    <xf numFmtId="0" fontId="37" fillId="0" borderId="0" xfId="0" applyFont="1"/>
    <xf numFmtId="0" fontId="6" fillId="0" borderId="0" xfId="0" applyFont="1" applyBorder="1"/>
    <xf numFmtId="14" fontId="0" fillId="0" borderId="0" xfId="0" applyNumberFormat="1"/>
    <xf numFmtId="0" fontId="22" fillId="0" borderId="0" xfId="0" applyFont="1" applyAlignment="1">
      <alignment vertical="center"/>
    </xf>
    <xf numFmtId="0" fontId="23" fillId="0" borderId="0" xfId="0" applyFont="1" applyAlignment="1">
      <alignment vertical="center"/>
    </xf>
    <xf numFmtId="0" fontId="6" fillId="0" borderId="0" xfId="0" applyFont="1" applyAlignment="1"/>
    <xf numFmtId="0" fontId="14" fillId="0" borderId="0" xfId="0" applyFont="1" applyAlignment="1">
      <alignment horizontal="left" vertical="center"/>
    </xf>
    <xf numFmtId="0" fontId="38" fillId="0" borderId="0" xfId="0" applyFont="1"/>
    <xf numFmtId="0" fontId="42" fillId="0" borderId="0" xfId="0" applyFont="1" applyAlignment="1">
      <alignment horizontal="left" vertical="center"/>
    </xf>
    <xf numFmtId="0" fontId="42" fillId="0" borderId="0" xfId="0" applyFont="1" applyAlignment="1">
      <alignment horizontal="left" vertical="center" indent="4"/>
    </xf>
    <xf numFmtId="0" fontId="17" fillId="0" borderId="0" xfId="0" quotePrefix="1"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43" fillId="0" borderId="0" xfId="0" applyFont="1" applyAlignment="1">
      <alignment horizontal="left" vertical="center"/>
    </xf>
    <xf numFmtId="3" fontId="12" fillId="0" borderId="0" xfId="0" applyNumberFormat="1" applyFont="1" applyAlignment="1">
      <alignment horizontal="left" vertical="center"/>
    </xf>
    <xf numFmtId="14" fontId="0" fillId="3" borderId="0" xfId="0" applyNumberFormat="1" applyFill="1"/>
    <xf numFmtId="0" fontId="6" fillId="0" borderId="0" xfId="0" quotePrefix="1" applyFont="1" applyAlignment="1">
      <alignment horizontal="right"/>
    </xf>
    <xf numFmtId="0" fontId="6" fillId="3" borderId="0" xfId="0" applyFont="1" applyFill="1" applyAlignment="1"/>
    <xf numFmtId="0" fontId="12" fillId="0" borderId="0" xfId="0" applyFont="1" applyAlignment="1">
      <alignment horizontal="fill"/>
    </xf>
    <xf numFmtId="0" fontId="42" fillId="0" borderId="0" xfId="0" applyFont="1" applyAlignment="1">
      <alignment vertical="center"/>
    </xf>
    <xf numFmtId="0" fontId="12" fillId="0" borderId="0" xfId="0" applyFont="1" applyAlignment="1">
      <alignment vertical="top" wrapText="1"/>
    </xf>
    <xf numFmtId="0" fontId="46" fillId="0" borderId="0" xfId="0" applyFont="1" applyAlignment="1">
      <alignment vertical="center"/>
    </xf>
    <xf numFmtId="0" fontId="12" fillId="0" borderId="1" xfId="0" applyFont="1" applyBorder="1" applyAlignment="1">
      <alignment horizontal="left" vertical="center"/>
    </xf>
    <xf numFmtId="0" fontId="0" fillId="0" borderId="1" xfId="0" applyBorder="1" applyAlignment="1">
      <alignment horizontal="left"/>
    </xf>
    <xf numFmtId="0" fontId="6" fillId="0" borderId="1" xfId="0" applyFont="1" applyBorder="1"/>
    <xf numFmtId="0" fontId="6" fillId="5" borderId="0" xfId="0" applyFont="1" applyFill="1" applyAlignment="1"/>
    <xf numFmtId="0" fontId="6" fillId="5" borderId="0" xfId="0" applyFont="1" applyFill="1"/>
    <xf numFmtId="0" fontId="0" fillId="5" borderId="0" xfId="0" applyFill="1"/>
    <xf numFmtId="43" fontId="0" fillId="5" borderId="0" xfId="0" applyNumberFormat="1" applyFill="1"/>
    <xf numFmtId="0" fontId="43" fillId="0" borderId="0" xfId="0" applyFont="1" applyAlignment="1">
      <alignment vertical="center"/>
    </xf>
    <xf numFmtId="0" fontId="47" fillId="0" borderId="0" xfId="0" applyFont="1" applyAlignment="1">
      <alignment horizontal="left"/>
    </xf>
    <xf numFmtId="3" fontId="12" fillId="5" borderId="0" xfId="0" applyNumberFormat="1" applyFont="1" applyFill="1" applyAlignment="1">
      <alignment horizontal="left" vertical="center"/>
    </xf>
    <xf numFmtId="0" fontId="12" fillId="5" borderId="0" xfId="0" applyFont="1" applyFill="1"/>
    <xf numFmtId="0" fontId="12" fillId="5" borderId="0" xfId="0" applyFont="1" applyFill="1" applyAlignment="1">
      <alignment horizontal="left" vertical="center"/>
    </xf>
    <xf numFmtId="0" fontId="45" fillId="0" borderId="0" xfId="0" applyFont="1" applyAlignment="1">
      <alignment vertical="center"/>
    </xf>
    <xf numFmtId="0" fontId="12" fillId="0" borderId="0" xfId="0" applyFont="1" applyAlignment="1">
      <alignment horizontal="center" vertical="center"/>
    </xf>
    <xf numFmtId="0" fontId="0" fillId="0" borderId="0" xfId="0" applyAlignment="1">
      <alignment horizontal="center"/>
    </xf>
    <xf numFmtId="0" fontId="42" fillId="0" borderId="1" xfId="0" applyFont="1" applyBorder="1" applyAlignment="1">
      <alignment vertical="center"/>
    </xf>
    <xf numFmtId="0" fontId="12" fillId="0" borderId="0" xfId="0" applyFont="1" applyAlignment="1">
      <alignment horizontal="right" vertical="center"/>
    </xf>
    <xf numFmtId="0" fontId="15" fillId="0" borderId="0" xfId="0" applyFont="1" applyAlignment="1">
      <alignment vertical="center"/>
    </xf>
    <xf numFmtId="0" fontId="10" fillId="0" borderId="0" xfId="0" applyFont="1" applyAlignment="1">
      <alignment horizontal="justify" vertical="center"/>
    </xf>
    <xf numFmtId="0" fontId="48" fillId="0" borderId="0" xfId="0" applyFont="1"/>
    <xf numFmtId="0" fontId="48" fillId="3" borderId="0" xfId="0" applyFont="1" applyFill="1"/>
    <xf numFmtId="0" fontId="49" fillId="0" borderId="0" xfId="0" applyFont="1" applyAlignment="1">
      <alignment vertical="center"/>
    </xf>
    <xf numFmtId="0" fontId="49" fillId="0" borderId="0" xfId="0" applyFont="1" applyAlignment="1">
      <alignment horizontal="center" vertical="center"/>
    </xf>
    <xf numFmtId="41" fontId="49" fillId="0" borderId="0" xfId="0" applyNumberFormat="1" applyFont="1" applyAlignment="1">
      <alignment vertical="center"/>
    </xf>
    <xf numFmtId="169" fontId="51" fillId="0" borderId="0" xfId="0" applyNumberFormat="1" applyFont="1" applyAlignment="1">
      <alignment horizontal="right" vertical="center"/>
    </xf>
    <xf numFmtId="41" fontId="49" fillId="0" borderId="1" xfId="0" applyNumberFormat="1" applyFont="1" applyBorder="1" applyAlignment="1">
      <alignment vertical="center"/>
    </xf>
    <xf numFmtId="41" fontId="49" fillId="0" borderId="1" xfId="0" applyNumberFormat="1" applyFont="1" applyFill="1" applyBorder="1" applyAlignment="1">
      <alignment vertical="center"/>
    </xf>
    <xf numFmtId="0" fontId="49" fillId="0" borderId="0" xfId="0" applyFont="1" applyBorder="1" applyAlignment="1">
      <alignment vertical="center"/>
    </xf>
    <xf numFmtId="41" fontId="49" fillId="0" borderId="19" xfId="0" applyNumberFormat="1" applyFont="1" applyBorder="1" applyAlignment="1">
      <alignment vertical="center"/>
    </xf>
    <xf numFmtId="0" fontId="50" fillId="0" borderId="0" xfId="0" applyFont="1" applyFill="1" applyAlignment="1">
      <alignment horizontal="center" vertical="center"/>
    </xf>
    <xf numFmtId="0" fontId="49" fillId="0" borderId="0" xfId="0" applyFont="1" applyFill="1" applyAlignment="1">
      <alignment horizontal="center" vertical="center"/>
    </xf>
    <xf numFmtId="41" fontId="49" fillId="0" borderId="0" xfId="0" applyNumberFormat="1" applyFont="1" applyFill="1" applyAlignment="1">
      <alignment vertical="center"/>
    </xf>
    <xf numFmtId="0" fontId="52" fillId="0" borderId="0" xfId="0" applyFont="1" applyAlignment="1">
      <alignment vertical="center"/>
    </xf>
    <xf numFmtId="41" fontId="49" fillId="0" borderId="8" xfId="0" applyNumberFormat="1" applyFont="1" applyBorder="1" applyAlignment="1">
      <alignment vertical="center"/>
    </xf>
    <xf numFmtId="0" fontId="49" fillId="0" borderId="0" xfId="0" applyFont="1" applyFill="1" applyAlignment="1">
      <alignment vertical="center"/>
    </xf>
    <xf numFmtId="41" fontId="49" fillId="0" borderId="0" xfId="0" applyNumberFormat="1" applyFont="1" applyFill="1" applyBorder="1" applyAlignment="1">
      <alignment vertical="center"/>
    </xf>
    <xf numFmtId="41" fontId="49" fillId="0" borderId="0" xfId="0" applyNumberFormat="1" applyFont="1" applyBorder="1" applyAlignment="1">
      <alignment vertical="center"/>
    </xf>
    <xf numFmtId="41" fontId="49" fillId="0" borderId="8" xfId="0" applyNumberFormat="1" applyFont="1" applyFill="1" applyBorder="1" applyAlignment="1">
      <alignment vertical="center"/>
    </xf>
    <xf numFmtId="41" fontId="49" fillId="0" borderId="20" xfId="0" applyNumberFormat="1" applyFont="1" applyBorder="1" applyAlignment="1">
      <alignment vertical="center"/>
    </xf>
    <xf numFmtId="41" fontId="49" fillId="0" borderId="20" xfId="0" applyNumberFormat="1" applyFont="1" applyFill="1" applyBorder="1" applyAlignment="1">
      <alignment vertical="center"/>
    </xf>
    <xf numFmtId="0" fontId="49" fillId="0" borderId="1" xfId="0" applyFont="1" applyBorder="1" applyAlignment="1">
      <alignment vertical="center"/>
    </xf>
    <xf numFmtId="0" fontId="49" fillId="0" borderId="20" xfId="0" applyFont="1" applyBorder="1" applyAlignment="1">
      <alignment vertical="center"/>
    </xf>
    <xf numFmtId="0" fontId="42" fillId="0" borderId="0" xfId="0" applyFont="1" applyAlignment="1">
      <alignment horizontal="justify" vertical="center"/>
    </xf>
    <xf numFmtId="0" fontId="49" fillId="0" borderId="0" xfId="0" applyFont="1" applyBorder="1" applyAlignment="1">
      <alignment horizontal="center" vertical="center"/>
    </xf>
    <xf numFmtId="0" fontId="50" fillId="0" borderId="0" xfId="0" applyFont="1" applyBorder="1" applyAlignment="1">
      <alignment horizontal="center" vertical="center"/>
    </xf>
    <xf numFmtId="9" fontId="49" fillId="0" borderId="0" xfId="2" applyFont="1" applyBorder="1" applyAlignment="1">
      <alignment horizontal="left" vertical="center"/>
    </xf>
    <xf numFmtId="170" fontId="49" fillId="0" borderId="0" xfId="1" applyNumberFormat="1" applyFont="1" applyBorder="1">
      <alignment vertical="center"/>
    </xf>
    <xf numFmtId="170" fontId="49" fillId="0" borderId="19" xfId="0" applyNumberFormat="1" applyFont="1" applyBorder="1" applyAlignment="1">
      <alignment horizontal="center" vertical="center"/>
    </xf>
    <xf numFmtId="170" fontId="49" fillId="0" borderId="0" xfId="1" applyNumberFormat="1" applyFont="1" applyFill="1" applyBorder="1" applyAlignment="1">
      <alignment horizontal="center" vertical="center"/>
    </xf>
    <xf numFmtId="170" fontId="49" fillId="0" borderId="8" xfId="1" applyNumberFormat="1" applyFont="1" applyBorder="1">
      <alignment vertical="center"/>
    </xf>
    <xf numFmtId="170" fontId="49" fillId="0" borderId="20" xfId="1" applyNumberFormat="1" applyFont="1" applyBorder="1">
      <alignment vertical="center"/>
    </xf>
    <xf numFmtId="0" fontId="49" fillId="0" borderId="1" xfId="0" applyFont="1" applyBorder="1" applyAlignment="1">
      <alignment horizontal="center" vertical="center"/>
    </xf>
    <xf numFmtId="170" fontId="49" fillId="0" borderId="1" xfId="1" applyNumberFormat="1" applyFont="1" applyBorder="1">
      <alignment vertical="center"/>
    </xf>
    <xf numFmtId="0" fontId="42" fillId="0" borderId="0" xfId="0" applyFont="1" applyAlignment="1">
      <alignment horizontal="left" vertical="center" indent="2"/>
    </xf>
    <xf numFmtId="0" fontId="12" fillId="0" borderId="0" xfId="0" applyFont="1" applyAlignment="1">
      <alignment horizontal="justify" vertical="center"/>
    </xf>
    <xf numFmtId="0" fontId="12" fillId="0" borderId="0" xfId="0" applyFont="1" applyAlignment="1">
      <alignment horizontal="left" vertical="center" indent="5"/>
    </xf>
    <xf numFmtId="9" fontId="12" fillId="0" borderId="0" xfId="0" applyNumberFormat="1" applyFont="1" applyAlignment="1">
      <alignment horizontal="justify" vertical="center"/>
    </xf>
    <xf numFmtId="9" fontId="12" fillId="0" borderId="0" xfId="0" applyNumberFormat="1" applyFont="1"/>
    <xf numFmtId="0" fontId="42" fillId="0" borderId="0" xfId="0" applyFont="1" applyAlignment="1">
      <alignment horizontal="left" vertical="top"/>
    </xf>
    <xf numFmtId="0" fontId="55" fillId="0" borderId="0" xfId="0" applyFont="1" applyAlignment="1">
      <alignment horizontal="left" vertical="center"/>
    </xf>
    <xf numFmtId="0" fontId="28" fillId="0" borderId="0" xfId="0" applyFont="1" applyBorder="1" applyAlignment="1">
      <alignment vertical="center"/>
    </xf>
    <xf numFmtId="0" fontId="28" fillId="0" borderId="1" xfId="0" applyFont="1" applyBorder="1" applyAlignment="1">
      <alignment vertical="center"/>
    </xf>
    <xf numFmtId="0" fontId="49" fillId="0" borderId="0" xfId="0" applyFont="1" applyBorder="1" applyAlignment="1">
      <alignment horizontal="left" vertical="center"/>
    </xf>
    <xf numFmtId="0" fontId="28" fillId="0" borderId="0" xfId="0" applyFont="1" applyBorder="1" applyAlignment="1">
      <alignment horizontal="left" vertical="center"/>
    </xf>
    <xf numFmtId="170" fontId="49" fillId="0" borderId="16" xfId="1" applyNumberFormat="1" applyFont="1" applyBorder="1">
      <alignment vertical="center"/>
    </xf>
    <xf numFmtId="37" fontId="49" fillId="0" borderId="0" xfId="0" applyNumberFormat="1" applyFont="1" applyBorder="1" applyAlignment="1">
      <alignment horizontal="right" vertical="center"/>
    </xf>
    <xf numFmtId="0" fontId="49" fillId="0" borderId="0" xfId="0" applyFont="1" applyAlignment="1">
      <alignment horizontal="left" vertical="center"/>
    </xf>
    <xf numFmtId="37" fontId="49" fillId="0" borderId="20" xfId="0" applyNumberFormat="1" applyFont="1" applyBorder="1" applyAlignment="1">
      <alignment horizontal="right" vertical="center"/>
    </xf>
    <xf numFmtId="37" fontId="49" fillId="0" borderId="0" xfId="0" applyNumberFormat="1" applyFont="1" applyBorder="1" applyAlignment="1">
      <alignment vertical="center"/>
    </xf>
    <xf numFmtId="37" fontId="49" fillId="0" borderId="0" xfId="0" applyNumberFormat="1" applyFont="1" applyAlignment="1">
      <alignment vertical="center"/>
    </xf>
    <xf numFmtId="37" fontId="49" fillId="0" borderId="20" xfId="0" applyNumberFormat="1" applyFont="1" applyBorder="1" applyAlignment="1">
      <alignment vertical="center"/>
    </xf>
    <xf numFmtId="0" fontId="50" fillId="0" borderId="0" xfId="0" applyFont="1" applyAlignment="1">
      <alignment vertical="center"/>
    </xf>
    <xf numFmtId="0" fontId="48" fillId="0" borderId="1" xfId="0" applyFont="1" applyBorder="1"/>
    <xf numFmtId="0" fontId="10" fillId="0" borderId="1" xfId="0" applyFont="1" applyBorder="1" applyAlignment="1">
      <alignment vertical="center"/>
    </xf>
    <xf numFmtId="43" fontId="49" fillId="3" borderId="0" xfId="0" applyNumberFormat="1" applyFont="1" applyFill="1" applyAlignment="1">
      <alignment vertical="center"/>
    </xf>
    <xf numFmtId="0" fontId="49" fillId="3" borderId="0" xfId="0" applyFont="1" applyFill="1" applyAlignment="1">
      <alignment vertical="center"/>
    </xf>
    <xf numFmtId="0" fontId="49" fillId="6" borderId="0" xfId="0" applyFont="1" applyFill="1" applyAlignment="1">
      <alignment vertical="center"/>
    </xf>
    <xf numFmtId="0" fontId="12" fillId="0" borderId="1" xfId="0" applyFont="1" applyBorder="1"/>
    <xf numFmtId="0" fontId="7" fillId="0" borderId="0" xfId="0" applyFont="1"/>
    <xf numFmtId="0" fontId="6" fillId="0" borderId="0" xfId="0" applyFont="1" applyAlignment="1">
      <alignment horizontal="justify" vertical="center"/>
    </xf>
    <xf numFmtId="0" fontId="6" fillId="0" borderId="0" xfId="0" applyFont="1" applyAlignment="1">
      <alignment horizontal="left" vertical="top"/>
    </xf>
    <xf numFmtId="174" fontId="0" fillId="3" borderId="0" xfId="0" applyNumberFormat="1" applyFill="1"/>
    <xf numFmtId="173" fontId="0" fillId="0" borderId="0" xfId="0" applyNumberFormat="1"/>
    <xf numFmtId="14" fontId="18" fillId="0" borderId="0" xfId="0" applyNumberFormat="1" applyFont="1" applyAlignment="1">
      <alignment vertical="center"/>
    </xf>
    <xf numFmtId="43" fontId="18" fillId="0" borderId="0" xfId="1" applyFont="1" applyAlignment="1">
      <alignment vertical="center"/>
    </xf>
    <xf numFmtId="0" fontId="12" fillId="0" borderId="0" xfId="0" applyFont="1" applyAlignment="1">
      <alignment vertical="top"/>
    </xf>
    <xf numFmtId="0" fontId="22" fillId="0" borderId="0" xfId="0" applyFont="1" applyAlignment="1">
      <alignment horizontal="left" vertical="top"/>
    </xf>
    <xf numFmtId="0" fontId="6" fillId="0" borderId="0" xfId="0" applyFont="1" applyAlignment="1">
      <alignment vertical="top"/>
    </xf>
    <xf numFmtId="0" fontId="12" fillId="0" borderId="0" xfId="0" applyFont="1" applyAlignment="1">
      <alignment horizontal="left" vertical="top"/>
    </xf>
    <xf numFmtId="0" fontId="12" fillId="3" borderId="0" xfId="0" applyFont="1" applyFill="1" applyAlignment="1">
      <alignment vertical="top"/>
    </xf>
    <xf numFmtId="0" fontId="6" fillId="3" borderId="0" xfId="0" applyFont="1" applyFill="1" applyAlignment="1">
      <alignment vertical="top"/>
    </xf>
    <xf numFmtId="0" fontId="14" fillId="0" borderId="0" xfId="0" applyFont="1" applyAlignment="1">
      <alignment vertical="top"/>
    </xf>
    <xf numFmtId="0" fontId="12" fillId="0" borderId="18" xfId="0" applyFont="1" applyBorder="1" applyAlignment="1">
      <alignment vertical="top"/>
    </xf>
    <xf numFmtId="0" fontId="46" fillId="0" borderId="0" xfId="0" applyFont="1" applyAlignment="1">
      <alignment horizontal="center" vertical="top"/>
    </xf>
    <xf numFmtId="0" fontId="42" fillId="0" borderId="0" xfId="0" applyFont="1" applyAlignment="1">
      <alignment vertical="top"/>
    </xf>
    <xf numFmtId="0" fontId="12" fillId="0" borderId="0" xfId="0" applyFont="1" applyFill="1" applyAlignment="1">
      <alignment vertical="top"/>
    </xf>
    <xf numFmtId="0" fontId="6" fillId="0" borderId="0" xfId="0" applyFont="1" applyFill="1" applyAlignment="1">
      <alignment vertical="top"/>
    </xf>
    <xf numFmtId="0" fontId="12" fillId="0" borderId="0" xfId="0" applyFont="1" applyFill="1"/>
    <xf numFmtId="0" fontId="46" fillId="0" borderId="0" xfId="0" applyFont="1" applyFill="1" applyAlignment="1">
      <alignment horizontal="center" vertical="top"/>
    </xf>
    <xf numFmtId="0" fontId="17" fillId="0" borderId="0" xfId="0" applyFont="1" applyFill="1" applyAlignment="1">
      <alignment horizontal="right"/>
    </xf>
    <xf numFmtId="0" fontId="57" fillId="0" borderId="0" xfId="0" applyFont="1" applyAlignment="1">
      <alignment horizontal="left" vertical="top"/>
    </xf>
    <xf numFmtId="0" fontId="6" fillId="0" borderId="0" xfId="0" applyFont="1" applyFill="1" applyAlignment="1">
      <alignment horizontal="left" vertical="top"/>
    </xf>
    <xf numFmtId="0" fontId="23" fillId="0" borderId="0" xfId="0" applyFont="1" applyFill="1" applyAlignment="1">
      <alignment horizontal="center" vertical="top"/>
    </xf>
    <xf numFmtId="0" fontId="58" fillId="0" borderId="0" xfId="0" applyFont="1" applyFill="1" applyAlignment="1">
      <alignment vertical="top"/>
    </xf>
    <xf numFmtId="0" fontId="58" fillId="0" borderId="0" xfId="0" applyFont="1" applyFill="1"/>
    <xf numFmtId="0" fontId="60" fillId="0" borderId="0" xfId="0" applyFont="1" applyFill="1" applyAlignment="1">
      <alignment vertical="top"/>
    </xf>
    <xf numFmtId="0" fontId="59" fillId="0" borderId="0" xfId="0" applyFont="1" applyFill="1" applyAlignment="1">
      <alignment vertical="top"/>
    </xf>
    <xf numFmtId="0" fontId="58" fillId="0" borderId="0" xfId="0" applyFont="1" applyFill="1" applyAlignment="1">
      <alignment vertical="top" wrapText="1"/>
    </xf>
    <xf numFmtId="175" fontId="58" fillId="0" borderId="0" xfId="0" applyNumberFormat="1" applyFont="1" applyFill="1"/>
    <xf numFmtId="0" fontId="58" fillId="0" borderId="0" xfId="0" applyFont="1" applyAlignment="1">
      <alignment vertical="top"/>
    </xf>
    <xf numFmtId="0" fontId="58" fillId="0" borderId="0" xfId="0" applyFont="1"/>
    <xf numFmtId="0" fontId="61" fillId="0" borderId="0" xfId="0" applyFont="1" applyAlignment="1">
      <alignment vertical="top"/>
    </xf>
    <xf numFmtId="0" fontId="61" fillId="0" borderId="0" xfId="0" applyFont="1" applyFill="1" applyAlignment="1">
      <alignment vertical="top"/>
    </xf>
    <xf numFmtId="0" fontId="10" fillId="0" borderId="0" xfId="0" applyFont="1" applyFill="1" applyAlignment="1">
      <alignment vertical="center"/>
    </xf>
    <xf numFmtId="0" fontId="48" fillId="0" borderId="0" xfId="0" applyFont="1" applyFill="1"/>
    <xf numFmtId="0" fontId="48" fillId="7" borderId="0" xfId="0" applyFont="1" applyFill="1"/>
    <xf numFmtId="0" fontId="10" fillId="0" borderId="0" xfId="0" applyFont="1" applyAlignment="1">
      <alignment vertical="top"/>
    </xf>
    <xf numFmtId="0" fontId="0" fillId="7" borderId="0" xfId="0" applyFill="1"/>
    <xf numFmtId="0" fontId="62" fillId="0" borderId="0" xfId="4"/>
    <xf numFmtId="0" fontId="42" fillId="0" borderId="0" xfId="0" applyFont="1"/>
    <xf numFmtId="0" fontId="63" fillId="0" borderId="0" xfId="0" applyFont="1" applyAlignment="1">
      <alignment vertical="center"/>
    </xf>
    <xf numFmtId="0" fontId="15" fillId="0" borderId="0" xfId="0" applyFont="1" applyAlignment="1">
      <alignment vertical="top"/>
    </xf>
    <xf numFmtId="16" fontId="48" fillId="3" borderId="0" xfId="0" applyNumberFormat="1" applyFont="1" applyFill="1"/>
    <xf numFmtId="14" fontId="0" fillId="3" borderId="0" xfId="0" quotePrefix="1" applyNumberFormat="1" applyFill="1"/>
    <xf numFmtId="14" fontId="48" fillId="3" borderId="0" xfId="0" applyNumberFormat="1" applyFont="1" applyFill="1"/>
    <xf numFmtId="0" fontId="0" fillId="7" borderId="0" xfId="0" applyFill="1" applyAlignment="1">
      <alignment horizontal="left"/>
    </xf>
    <xf numFmtId="169" fontId="51" fillId="0" borderId="0" xfId="0" applyNumberFormat="1" applyFont="1" applyAlignment="1">
      <alignment horizontal="left" vertical="center"/>
    </xf>
    <xf numFmtId="0" fontId="12" fillId="7" borderId="0" xfId="0" applyFont="1" applyFill="1" applyBorder="1" applyAlignment="1">
      <alignment horizontal="left" vertical="center"/>
    </xf>
    <xf numFmtId="3" fontId="6" fillId="3" borderId="0" xfId="0" applyNumberFormat="1" applyFont="1" applyFill="1" applyAlignment="1"/>
    <xf numFmtId="0" fontId="0" fillId="0" borderId="0" xfId="0" applyBorder="1" applyAlignment="1"/>
    <xf numFmtId="0" fontId="48" fillId="0" borderId="0" xfId="0" applyFont="1" applyBorder="1"/>
    <xf numFmtId="0" fontId="10" fillId="0" borderId="0" xfId="0" applyFont="1" applyBorder="1" applyAlignment="1">
      <alignment vertical="center"/>
    </xf>
    <xf numFmtId="0" fontId="64" fillId="0" borderId="0" xfId="5" applyBorder="1" applyAlignment="1"/>
    <xf numFmtId="0" fontId="64" fillId="0" borderId="0" xfId="5" applyAlignment="1"/>
    <xf numFmtId="0" fontId="64" fillId="7" borderId="0" xfId="5" applyFill="1" applyBorder="1" applyAlignment="1"/>
    <xf numFmtId="0" fontId="64" fillId="0" borderId="0" xfId="5"/>
    <xf numFmtId="0" fontId="64" fillId="7" borderId="0" xfId="5" applyFill="1"/>
    <xf numFmtId="0" fontId="65" fillId="0" borderId="0" xfId="5" applyFont="1"/>
    <xf numFmtId="0" fontId="47" fillId="0" borderId="0" xfId="5" applyFont="1"/>
    <xf numFmtId="0" fontId="43" fillId="0" borderId="0" xfId="5" applyFont="1"/>
    <xf numFmtId="0" fontId="12" fillId="0" borderId="0" xfId="5" applyFont="1"/>
    <xf numFmtId="0" fontId="64" fillId="0" borderId="0" xfId="5" applyBorder="1"/>
    <xf numFmtId="0" fontId="0" fillId="0" borderId="0" xfId="0" applyAlignment="1"/>
    <xf numFmtId="0" fontId="0" fillId="7" borderId="0" xfId="0" applyFill="1" applyBorder="1" applyAlignment="1"/>
    <xf numFmtId="0" fontId="0" fillId="8" borderId="0" xfId="0" applyFill="1"/>
    <xf numFmtId="14" fontId="0" fillId="8" borderId="0" xfId="0" applyNumberFormat="1" applyFill="1"/>
    <xf numFmtId="174" fontId="0" fillId="8" borderId="0" xfId="0" applyNumberFormat="1" applyFill="1"/>
    <xf numFmtId="168" fontId="0" fillId="8" borderId="0" xfId="0" applyNumberFormat="1" applyFill="1"/>
    <xf numFmtId="0" fontId="50" fillId="0" borderId="0" xfId="0" applyFont="1" applyBorder="1" applyAlignment="1">
      <alignment horizontal="center" vertical="center"/>
    </xf>
    <xf numFmtId="0" fontId="49" fillId="3" borderId="0" xfId="0" applyFont="1" applyFill="1" applyBorder="1" applyAlignment="1">
      <alignment horizontal="left" vertical="center"/>
    </xf>
    <xf numFmtId="0" fontId="49" fillId="3" borderId="0" xfId="0" applyFont="1" applyFill="1" applyBorder="1" applyAlignment="1">
      <alignment horizontal="center" vertical="center"/>
    </xf>
    <xf numFmtId="0" fontId="50" fillId="0" borderId="0" xfId="0" applyFont="1" applyBorder="1" applyAlignment="1">
      <alignment vertical="center"/>
    </xf>
    <xf numFmtId="0" fontId="47" fillId="0" borderId="0" xfId="5" applyFont="1" applyAlignment="1"/>
    <xf numFmtId="0" fontId="65" fillId="0" borderId="0" xfId="5" applyFont="1" applyAlignment="1"/>
    <xf numFmtId="0" fontId="66" fillId="0" borderId="0" xfId="5" applyFont="1" applyAlignment="1">
      <alignment vertical="center"/>
    </xf>
    <xf numFmtId="0" fontId="66" fillId="0" borderId="0" xfId="5" applyFont="1" applyBorder="1" applyAlignment="1">
      <alignment vertical="center"/>
    </xf>
    <xf numFmtId="0" fontId="68" fillId="0" borderId="0" xfId="5" applyFont="1" applyBorder="1" applyAlignment="1">
      <alignment horizontal="center" vertical="center"/>
    </xf>
    <xf numFmtId="0" fontId="66" fillId="0" borderId="0" xfId="5" applyFont="1" applyBorder="1" applyAlignment="1">
      <alignment horizontal="center" vertical="center"/>
    </xf>
    <xf numFmtId="0" fontId="67" fillId="0" borderId="0" xfId="5" applyFont="1" applyBorder="1" applyAlignment="1">
      <alignment horizontal="center" vertical="center"/>
    </xf>
    <xf numFmtId="0" fontId="69" fillId="0" borderId="0" xfId="5" applyFont="1" applyBorder="1" applyAlignment="1">
      <alignment horizontal="center" vertical="center"/>
    </xf>
    <xf numFmtId="37" fontId="66" fillId="0" borderId="0" xfId="5" applyNumberFormat="1" applyFont="1" applyBorder="1" applyAlignment="1">
      <alignment horizontal="right" vertical="center"/>
    </xf>
    <xf numFmtId="37" fontId="66" fillId="0" borderId="0" xfId="5" applyNumberFormat="1" applyFont="1" applyBorder="1" applyAlignment="1">
      <alignment vertical="center"/>
    </xf>
    <xf numFmtId="0" fontId="68" fillId="0" borderId="0" xfId="5" applyFont="1" applyBorder="1" applyAlignment="1">
      <alignment vertical="center"/>
    </xf>
    <xf numFmtId="0" fontId="66" fillId="0" borderId="0" xfId="5" applyFont="1" applyAlignment="1">
      <alignment horizontal="left" vertical="center"/>
    </xf>
    <xf numFmtId="0" fontId="47" fillId="7" borderId="0" xfId="5" applyFont="1" applyFill="1" applyAlignment="1"/>
    <xf numFmtId="0" fontId="64" fillId="2" borderId="0" xfId="5" applyFill="1" applyBorder="1" applyAlignment="1"/>
    <xf numFmtId="3" fontId="64" fillId="0" borderId="0" xfId="5" applyNumberFormat="1" applyAlignment="1"/>
    <xf numFmtId="0" fontId="64" fillId="7" borderId="0" xfId="5" applyFill="1" applyAlignment="1"/>
    <xf numFmtId="0" fontId="47" fillId="0" borderId="0" xfId="5" applyFont="1" applyFill="1" applyAlignment="1"/>
    <xf numFmtId="0" fontId="64" fillId="0" borderId="0" xfId="5" applyFill="1" applyBorder="1" applyAlignment="1"/>
    <xf numFmtId="0" fontId="64" fillId="3" borderId="0" xfId="5" applyFill="1" applyBorder="1" applyAlignment="1"/>
    <xf numFmtId="0" fontId="66" fillId="7" borderId="0" xfId="5" applyFont="1" applyFill="1" applyAlignment="1">
      <alignment horizontal="left" vertical="center"/>
    </xf>
    <xf numFmtId="37" fontId="66" fillId="7" borderId="20" xfId="5" applyNumberFormat="1" applyFont="1" applyFill="1" applyBorder="1" applyAlignment="1">
      <alignment horizontal="right" vertical="center"/>
    </xf>
    <xf numFmtId="3" fontId="12" fillId="7" borderId="0" xfId="0" applyNumberFormat="1" applyFont="1" applyFill="1" applyAlignment="1">
      <alignment horizontal="left" vertical="center"/>
    </xf>
    <xf numFmtId="0" fontId="37" fillId="0" borderId="0" xfId="0" quotePrefix="1" applyFont="1"/>
    <xf numFmtId="14" fontId="49" fillId="0" borderId="0" xfId="0" applyNumberFormat="1" applyFont="1" applyAlignment="1">
      <alignment vertical="center"/>
    </xf>
    <xf numFmtId="0" fontId="49" fillId="0" borderId="0" xfId="0" quotePrefix="1" applyFont="1" applyAlignment="1">
      <alignment vertical="center"/>
    </xf>
    <xf numFmtId="0" fontId="49" fillId="0" borderId="0" xfId="0" applyNumberFormat="1" applyFont="1" applyAlignment="1">
      <alignment horizontal="center" vertical="center"/>
    </xf>
    <xf numFmtId="14" fontId="12" fillId="0" borderId="0" xfId="0" applyNumberFormat="1" applyFont="1" applyAlignment="1">
      <alignment vertical="top" wrapText="1"/>
    </xf>
    <xf numFmtId="41" fontId="6" fillId="3" borderId="0" xfId="0" applyNumberFormat="1" applyFont="1" applyFill="1"/>
    <xf numFmtId="0" fontId="12" fillId="0" borderId="0" xfId="0" applyFont="1" applyFill="1" applyAlignment="1"/>
    <xf numFmtId="0" fontId="42" fillId="7" borderId="0" xfId="0" applyFont="1" applyFill="1" applyAlignment="1">
      <alignment horizontal="left" vertical="center"/>
    </xf>
    <xf numFmtId="0" fontId="6" fillId="7" borderId="0" xfId="0" applyFont="1" applyFill="1"/>
    <xf numFmtId="0" fontId="12" fillId="7" borderId="0" xfId="0" applyFont="1" applyFill="1" applyAlignment="1"/>
    <xf numFmtId="15" fontId="66" fillId="0" borderId="0" xfId="5" applyNumberFormat="1" applyFont="1" applyFill="1" applyAlignment="1">
      <alignment horizontal="center" vertical="center"/>
    </xf>
    <xf numFmtId="15" fontId="67" fillId="0" borderId="0" xfId="5" applyNumberFormat="1" applyFont="1" applyFill="1" applyAlignment="1">
      <alignment horizontal="center" vertical="center"/>
    </xf>
    <xf numFmtId="0" fontId="66" fillId="0" borderId="0" xfId="5" applyFont="1" applyFill="1" applyBorder="1" applyAlignment="1">
      <alignment horizontal="left" vertical="center"/>
    </xf>
    <xf numFmtId="0" fontId="66" fillId="0" borderId="0" xfId="5" applyFont="1" applyFill="1" applyAlignment="1">
      <alignment horizontal="left" vertical="center"/>
    </xf>
    <xf numFmtId="37" fontId="66" fillId="0" borderId="0" xfId="5" applyNumberFormat="1" applyFont="1" applyFill="1" applyAlignment="1">
      <alignment vertical="center"/>
    </xf>
    <xf numFmtId="37" fontId="66" fillId="0" borderId="0" xfId="5" applyNumberFormat="1" applyFont="1" applyFill="1" applyBorder="1" applyAlignment="1">
      <alignment vertical="center"/>
    </xf>
    <xf numFmtId="37" fontId="66" fillId="0" borderId="20" xfId="5" applyNumberFormat="1" applyFont="1" applyFill="1" applyBorder="1" applyAlignment="1">
      <alignment vertical="center"/>
    </xf>
    <xf numFmtId="37" fontId="66" fillId="7" borderId="0" xfId="5" applyNumberFormat="1" applyFont="1" applyFill="1" applyAlignment="1">
      <alignment vertical="center"/>
    </xf>
    <xf numFmtId="0" fontId="64" fillId="0" borderId="0" xfId="5" applyFill="1" applyAlignment="1"/>
    <xf numFmtId="0" fontId="68" fillId="0" borderId="0" xfId="5" applyFont="1" applyFill="1" applyBorder="1" applyAlignment="1">
      <alignment horizontal="left" vertical="center"/>
    </xf>
    <xf numFmtId="0" fontId="68" fillId="0" borderId="0" xfId="5" applyFont="1" applyFill="1" applyBorder="1" applyAlignment="1">
      <alignment vertical="center"/>
    </xf>
    <xf numFmtId="0" fontId="43" fillId="7" borderId="0" xfId="0" applyFont="1" applyFill="1" applyBorder="1" applyAlignment="1">
      <alignment horizontal="left" vertical="center"/>
    </xf>
    <xf numFmtId="0" fontId="12" fillId="6" borderId="0" xfId="0" applyFont="1" applyFill="1" applyAlignment="1">
      <alignment vertical="top" wrapText="1"/>
    </xf>
    <xf numFmtId="0" fontId="10" fillId="7" borderId="0" xfId="0" applyFont="1" applyFill="1" applyAlignment="1">
      <alignment vertical="center"/>
    </xf>
    <xf numFmtId="0" fontId="58" fillId="0" borderId="0" xfId="0" applyFont="1" applyAlignment="1">
      <alignment wrapText="1"/>
    </xf>
    <xf numFmtId="0" fontId="58" fillId="0" borderId="1" xfId="0" applyFont="1" applyBorder="1" applyAlignment="1">
      <alignment vertical="top"/>
    </xf>
    <xf numFmtId="0" fontId="58" fillId="0" borderId="1" xfId="0" applyFont="1" applyBorder="1"/>
    <xf numFmtId="0" fontId="47" fillId="0" borderId="0" xfId="5" quotePrefix="1" applyFont="1" applyFill="1" applyAlignment="1"/>
    <xf numFmtId="0" fontId="12" fillId="0" borderId="0" xfId="5" applyFont="1" applyAlignment="1">
      <alignment horizontal="center"/>
    </xf>
    <xf numFmtId="43" fontId="49" fillId="0" borderId="1" xfId="1" applyFont="1" applyBorder="1" applyAlignment="1">
      <alignment horizontal="right" vertical="center"/>
    </xf>
    <xf numFmtId="0" fontId="47" fillId="0" borderId="0" xfId="5" applyFont="1" applyAlignment="1">
      <alignment horizontal="center"/>
    </xf>
    <xf numFmtId="0" fontId="71" fillId="0" borderId="0" xfId="5" applyFont="1" applyAlignment="1">
      <alignment horizontal="center"/>
    </xf>
    <xf numFmtId="170" fontId="47" fillId="0" borderId="20" xfId="1" applyNumberFormat="1" applyFont="1" applyBorder="1" applyAlignment="1"/>
    <xf numFmtId="170" fontId="47" fillId="0" borderId="0" xfId="5" applyNumberFormat="1" applyFont="1" applyAlignment="1"/>
    <xf numFmtId="174" fontId="0" fillId="0" borderId="0" xfId="0" applyNumberFormat="1"/>
    <xf numFmtId="41" fontId="49" fillId="0" borderId="0" xfId="0" applyNumberFormat="1" applyFont="1" applyAlignment="1">
      <alignment horizontal="right" vertical="center"/>
    </xf>
    <xf numFmtId="0" fontId="49" fillId="0" borderId="0" xfId="0" applyFont="1" applyAlignment="1">
      <alignment horizontal="right" vertical="center"/>
    </xf>
    <xf numFmtId="41" fontId="49" fillId="0" borderId="1" xfId="0" applyNumberFormat="1" applyFont="1" applyFill="1" applyBorder="1" applyAlignment="1">
      <alignment horizontal="right" vertical="center"/>
    </xf>
    <xf numFmtId="0" fontId="49" fillId="0" borderId="0" xfId="0" applyFont="1" applyBorder="1" applyAlignment="1">
      <alignment horizontal="right" vertical="center"/>
    </xf>
    <xf numFmtId="41" fontId="49" fillId="0" borderId="19" xfId="0" applyNumberFormat="1" applyFont="1" applyBorder="1" applyAlignment="1">
      <alignment horizontal="right" vertical="center"/>
    </xf>
    <xf numFmtId="170" fontId="49" fillId="0" borderId="0" xfId="0" applyNumberFormat="1" applyFont="1" applyBorder="1" applyAlignment="1">
      <alignment horizontal="right" vertical="center"/>
    </xf>
    <xf numFmtId="170" fontId="49" fillId="0" borderId="0" xfId="1" applyNumberFormat="1" applyFont="1" applyBorder="1" applyAlignment="1">
      <alignment horizontal="right" vertical="center"/>
    </xf>
    <xf numFmtId="170" fontId="49" fillId="0" borderId="1" xfId="1" applyNumberFormat="1" applyFont="1" applyBorder="1" applyAlignment="1">
      <alignment horizontal="right" vertical="center"/>
    </xf>
    <xf numFmtId="170" fontId="49" fillId="0" borderId="20" xfId="0" applyNumberFormat="1" applyFont="1" applyBorder="1" applyAlignment="1">
      <alignment horizontal="right" vertical="center"/>
    </xf>
    <xf numFmtId="170" fontId="49" fillId="0" borderId="0" xfId="1" applyNumberFormat="1" applyFont="1" applyFill="1" applyBorder="1" applyAlignment="1">
      <alignment horizontal="right" vertical="center"/>
    </xf>
    <xf numFmtId="170" fontId="49" fillId="0" borderId="19" xfId="1" applyNumberFormat="1" applyFont="1" applyBorder="1" applyAlignment="1">
      <alignment horizontal="right" vertical="center"/>
    </xf>
    <xf numFmtId="0" fontId="66" fillId="0" borderId="0" xfId="5" applyFont="1" applyAlignment="1">
      <alignment horizontal="right" vertical="center"/>
    </xf>
    <xf numFmtId="0" fontId="66" fillId="0" borderId="0" xfId="5" applyFont="1" applyFill="1" applyAlignment="1">
      <alignment horizontal="right" vertical="center"/>
    </xf>
    <xf numFmtId="14" fontId="64" fillId="0" borderId="0" xfId="5" applyNumberFormat="1" applyAlignment="1"/>
    <xf numFmtId="43" fontId="64" fillId="0" borderId="0" xfId="1" applyFont="1" applyAlignment="1"/>
    <xf numFmtId="170" fontId="47" fillId="0" borderId="0" xfId="1" applyNumberFormat="1" applyFont="1" applyBorder="1" applyAlignment="1"/>
    <xf numFmtId="0" fontId="0" fillId="3" borderId="0" xfId="0" quotePrefix="1" applyFill="1"/>
    <xf numFmtId="0" fontId="47" fillId="0" borderId="0" xfId="5" applyFont="1" applyAlignment="1">
      <alignment horizontal="left"/>
    </xf>
    <xf numFmtId="0" fontId="70" fillId="0" borderId="0" xfId="5" applyFont="1" applyAlignment="1">
      <alignment horizontal="left"/>
    </xf>
    <xf numFmtId="41" fontId="64" fillId="7" borderId="0" xfId="5" applyNumberFormat="1" applyFill="1" applyBorder="1" applyAlignment="1"/>
    <xf numFmtId="14" fontId="12" fillId="0" borderId="0" xfId="1" applyNumberFormat="1" applyFont="1" applyAlignment="1"/>
    <xf numFmtId="43" fontId="0" fillId="0" borderId="0" xfId="1" applyFont="1" applyFill="1" applyAlignment="1"/>
    <xf numFmtId="0" fontId="49" fillId="0" borderId="0" xfId="0" applyFont="1" applyFill="1" applyBorder="1" applyAlignment="1">
      <alignment horizontal="left" vertical="center"/>
    </xf>
    <xf numFmtId="0" fontId="49" fillId="0" borderId="0" xfId="0" applyFont="1" applyFill="1" applyBorder="1" applyAlignment="1">
      <alignment horizontal="center" vertical="center"/>
    </xf>
    <xf numFmtId="41" fontId="66" fillId="2" borderId="0" xfId="5" applyNumberFormat="1" applyFont="1" applyFill="1" applyAlignment="1">
      <alignment horizontal="right" vertical="center"/>
    </xf>
    <xf numFmtId="41" fontId="66" fillId="2" borderId="0" xfId="5" applyNumberFormat="1" applyFont="1" applyFill="1" applyBorder="1" applyAlignment="1">
      <alignment horizontal="right" vertical="center"/>
    </xf>
    <xf numFmtId="41" fontId="66" fillId="2" borderId="20" xfId="5" applyNumberFormat="1" applyFont="1" applyFill="1" applyBorder="1" applyAlignment="1">
      <alignment horizontal="right" vertical="center"/>
    </xf>
    <xf numFmtId="0" fontId="47" fillId="2" borderId="0" xfId="5" applyFont="1" applyFill="1" applyAlignment="1"/>
    <xf numFmtId="170" fontId="47" fillId="2" borderId="20" xfId="1" applyNumberFormat="1" applyFont="1" applyFill="1" applyBorder="1" applyAlignment="1"/>
    <xf numFmtId="0" fontId="72" fillId="0" borderId="0" xfId="5" applyFont="1" applyFill="1" applyAlignment="1"/>
    <xf numFmtId="0" fontId="70" fillId="0" borderId="0" xfId="5" applyFont="1" applyFill="1" applyAlignment="1"/>
    <xf numFmtId="15" fontId="70" fillId="0" borderId="0" xfId="5" applyNumberFormat="1" applyFont="1" applyFill="1" applyAlignment="1">
      <alignment horizontal="center"/>
    </xf>
    <xf numFmtId="170" fontId="47" fillId="0" borderId="0" xfId="1" applyNumberFormat="1" applyFont="1" applyFill="1" applyAlignment="1"/>
    <xf numFmtId="0" fontId="47" fillId="0" borderId="0" xfId="5" applyFont="1" applyFill="1" applyAlignment="1">
      <alignment horizontal="right"/>
    </xf>
    <xf numFmtId="0" fontId="47" fillId="0" borderId="0" xfId="5" applyFont="1" applyFill="1" applyAlignment="1">
      <alignment horizontal="center"/>
    </xf>
    <xf numFmtId="0" fontId="71" fillId="0" borderId="0" xfId="5" applyFont="1" applyFill="1" applyAlignment="1">
      <alignment horizontal="center"/>
    </xf>
    <xf numFmtId="0" fontId="72" fillId="0" borderId="0" xfId="5" applyFont="1" applyAlignment="1"/>
    <xf numFmtId="170" fontId="47" fillId="0" borderId="0" xfId="1" applyNumberFormat="1" applyFont="1" applyAlignment="1"/>
    <xf numFmtId="0" fontId="7" fillId="0" borderId="0" xfId="0" applyFont="1" applyAlignment="1">
      <alignment vertical="top"/>
    </xf>
    <xf numFmtId="0" fontId="57" fillId="0" borderId="0" xfId="0" applyFont="1" applyAlignment="1">
      <alignment vertical="top"/>
    </xf>
    <xf numFmtId="0" fontId="6" fillId="0" borderId="0" xfId="0" applyFont="1" applyFill="1" applyAlignment="1">
      <alignment vertical="top" wrapText="1"/>
    </xf>
    <xf numFmtId="0" fontId="12" fillId="0" borderId="0" xfId="0" applyFont="1" applyFill="1" applyBorder="1" applyAlignment="1">
      <alignment horizontal="left" vertical="center"/>
    </xf>
    <xf numFmtId="43" fontId="0" fillId="0" borderId="0" xfId="1" applyFont="1" applyAlignment="1"/>
    <xf numFmtId="41" fontId="66" fillId="0" borderId="0" xfId="5" applyNumberFormat="1" applyFont="1" applyFill="1" applyAlignment="1">
      <alignment horizontal="right" vertical="center"/>
    </xf>
    <xf numFmtId="41" fontId="66" fillId="0" borderId="19" xfId="5" applyNumberFormat="1" applyFont="1" applyFill="1" applyBorder="1" applyAlignment="1">
      <alignment horizontal="right" vertical="center"/>
    </xf>
    <xf numFmtId="41" fontId="66" fillId="0" borderId="0" xfId="5" applyNumberFormat="1" applyFont="1" applyFill="1" applyBorder="1" applyAlignment="1">
      <alignment horizontal="right" vertical="center"/>
    </xf>
    <xf numFmtId="0" fontId="64" fillId="6" borderId="0" xfId="5" applyFill="1" applyAlignment="1"/>
    <xf numFmtId="0" fontId="64" fillId="3" borderId="0" xfId="5" applyFill="1" applyAlignment="1"/>
    <xf numFmtId="3" fontId="0" fillId="3" borderId="0" xfId="0" applyNumberFormat="1" applyFill="1"/>
    <xf numFmtId="170" fontId="49" fillId="2" borderId="0" xfId="0" applyNumberFormat="1" applyFont="1" applyFill="1" applyBorder="1" applyAlignment="1">
      <alignment horizontal="right" vertical="center"/>
    </xf>
    <xf numFmtId="0" fontId="50" fillId="0" borderId="0" xfId="0" applyFont="1" applyFill="1" applyBorder="1" applyAlignment="1">
      <alignment horizontal="center" vertical="center" wrapText="1"/>
    </xf>
    <xf numFmtId="0" fontId="28" fillId="0" borderId="0" xfId="0" quotePrefix="1" applyFont="1" applyFill="1" applyAlignment="1">
      <alignment vertical="center"/>
    </xf>
    <xf numFmtId="0" fontId="28" fillId="0" borderId="0" xfId="0" applyFont="1" applyFill="1" applyAlignment="1">
      <alignment vertical="top"/>
    </xf>
    <xf numFmtId="0" fontId="64" fillId="2" borderId="0" xfId="5" applyFill="1" applyAlignment="1"/>
    <xf numFmtId="0" fontId="0" fillId="3" borderId="0" xfId="0" applyFill="1" applyAlignment="1">
      <alignment horizontal="left"/>
    </xf>
    <xf numFmtId="0" fontId="0" fillId="0" borderId="0" xfId="0" applyFill="1" applyAlignment="1">
      <alignment horizontal="left"/>
    </xf>
    <xf numFmtId="0" fontId="15" fillId="0" borderId="0" xfId="0" applyFont="1" applyAlignment="1">
      <alignment horizontal="center" vertical="center"/>
    </xf>
    <xf numFmtId="0" fontId="6" fillId="0" borderId="0" xfId="0" applyFont="1" applyBorder="1" applyAlignment="1">
      <alignment horizontal="left" vertical="top" wrapText="1"/>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center" vertical="center"/>
    </xf>
    <xf numFmtId="0" fontId="8" fillId="2" borderId="1" xfId="0" applyFont="1" applyFill="1" applyBorder="1" applyAlignment="1">
      <alignment horizontal="left" vertical="center"/>
    </xf>
    <xf numFmtId="0" fontId="55" fillId="0" borderId="0" xfId="0" applyFont="1" applyAlignment="1">
      <alignment horizontal="center" vertical="center"/>
    </xf>
    <xf numFmtId="0" fontId="14" fillId="0" borderId="0" xfId="0" applyFont="1" applyAlignment="1">
      <alignment horizontal="center" vertical="center"/>
    </xf>
    <xf numFmtId="0" fontId="31" fillId="0" borderId="0" xfId="0" applyFont="1" applyFill="1" applyAlignment="1">
      <alignment horizontal="center" vertical="center"/>
    </xf>
    <xf numFmtId="0" fontId="28" fillId="0" borderId="0" xfId="0" applyFont="1" applyFill="1" applyAlignment="1">
      <alignment horizontal="center" vertical="center"/>
    </xf>
    <xf numFmtId="0" fontId="27" fillId="0" borderId="0" xfId="0" applyFont="1" applyAlignment="1">
      <alignment horizontal="center" vertical="center"/>
    </xf>
    <xf numFmtId="0" fontId="10" fillId="0" borderId="14" xfId="0" applyFont="1" applyBorder="1" applyAlignment="1">
      <alignment horizontal="justify" vertical="top" wrapText="1"/>
    </xf>
    <xf numFmtId="0" fontId="10" fillId="0" borderId="13" xfId="0" applyFont="1" applyBorder="1" applyAlignment="1">
      <alignment horizontal="justify" vertical="top" wrapText="1"/>
    </xf>
    <xf numFmtId="0" fontId="10" fillId="0" borderId="0" xfId="0" applyFont="1" applyBorder="1" applyAlignment="1">
      <alignment horizontal="justify" vertical="top" wrapText="1"/>
    </xf>
    <xf numFmtId="0" fontId="10" fillId="0" borderId="13"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6" fillId="0" borderId="9" xfId="0" applyFont="1" applyBorder="1" applyAlignment="1">
      <alignment vertical="center" wrapText="1"/>
    </xf>
    <xf numFmtId="0" fontId="22" fillId="0" borderId="0" xfId="0" applyFont="1" applyAlignment="1">
      <alignment horizontal="left" vertical="center"/>
    </xf>
    <xf numFmtId="0" fontId="12" fillId="0" borderId="0" xfId="0" applyFont="1" applyAlignment="1">
      <alignment horizontal="justify" vertical="top" wrapText="1"/>
    </xf>
    <xf numFmtId="0" fontId="50" fillId="0" borderId="0" xfId="0" applyNumberFormat="1" applyFont="1" applyAlignment="1">
      <alignment horizontal="center" vertical="center"/>
    </xf>
    <xf numFmtId="15" fontId="50" fillId="0" borderId="0" xfId="0" applyNumberFormat="1" applyFont="1" applyFill="1" applyAlignment="1">
      <alignment horizontal="center" vertical="center"/>
    </xf>
    <xf numFmtId="41" fontId="49" fillId="0" borderId="0" xfId="0" applyNumberFormat="1" applyFont="1" applyFill="1" applyAlignment="1">
      <alignment horizontal="center" vertical="center"/>
    </xf>
    <xf numFmtId="170" fontId="49" fillId="0" borderId="0" xfId="1" applyNumberFormat="1" applyFont="1" applyBorder="1" applyAlignment="1">
      <alignment horizontal="center" vertical="center"/>
    </xf>
    <xf numFmtId="0" fontId="50" fillId="0" borderId="0" xfId="0" applyFont="1" applyBorder="1" applyAlignment="1">
      <alignment horizontal="center" vertical="center"/>
    </xf>
    <xf numFmtId="170" fontId="49" fillId="0" borderId="0" xfId="0" applyNumberFormat="1" applyFont="1" applyBorder="1" applyAlignment="1">
      <alignment horizontal="center" vertical="center"/>
    </xf>
    <xf numFmtId="15" fontId="50" fillId="0" borderId="0" xfId="0" applyNumberFormat="1" applyFont="1" applyAlignment="1">
      <alignment horizontal="center" vertical="center"/>
    </xf>
    <xf numFmtId="170" fontId="49" fillId="0" borderId="20" xfId="1" applyNumberFormat="1" applyFont="1" applyBorder="1" applyAlignment="1">
      <alignment horizontal="center" vertical="center"/>
    </xf>
    <xf numFmtId="0" fontId="50" fillId="0" borderId="0" xfId="0" applyFont="1" applyAlignment="1">
      <alignment horizontal="center" vertical="center"/>
    </xf>
    <xf numFmtId="14" fontId="64" fillId="0" borderId="0" xfId="5" applyNumberFormat="1" applyFill="1" applyAlignment="1"/>
    <xf numFmtId="43" fontId="64" fillId="0" borderId="0" xfId="1" applyFont="1" applyFill="1" applyAlignment="1"/>
    <xf numFmtId="0" fontId="64" fillId="0" borderId="0" xfId="5" quotePrefix="1" applyAlignment="1"/>
    <xf numFmtId="0" fontId="67" fillId="0" borderId="0" xfId="5" applyFont="1" applyBorder="1" applyAlignment="1">
      <alignment horizontal="left" vertical="center"/>
    </xf>
    <xf numFmtId="0" fontId="69" fillId="0" borderId="0" xfId="5" applyFont="1" applyFill="1" applyBorder="1" applyAlignment="1">
      <alignment vertical="center"/>
    </xf>
    <xf numFmtId="170" fontId="66" fillId="0" borderId="0" xfId="6" applyNumberFormat="1" applyFont="1" applyBorder="1" applyAlignment="1">
      <alignment horizontal="right" vertical="center"/>
    </xf>
    <xf numFmtId="170" fontId="66" fillId="0" borderId="16" xfId="6" applyNumberFormat="1" applyFont="1" applyBorder="1" applyAlignment="1">
      <alignment horizontal="right" vertical="center"/>
    </xf>
    <xf numFmtId="170" fontId="66" fillId="0" borderId="20" xfId="6" applyNumberFormat="1" applyFont="1" applyBorder="1" applyAlignment="1">
      <alignment horizontal="right" vertical="center"/>
    </xf>
    <xf numFmtId="43" fontId="64" fillId="0" borderId="0" xfId="1" applyFont="1" applyAlignment="1">
      <alignment horizontal="right"/>
    </xf>
    <xf numFmtId="43" fontId="64" fillId="0" borderId="0" xfId="5" applyNumberFormat="1" applyAlignment="1"/>
    <xf numFmtId="164" fontId="64" fillId="0" borderId="0" xfId="5" applyNumberFormat="1" applyAlignment="1"/>
    <xf numFmtId="9" fontId="64" fillId="0" borderId="0" xfId="5" applyNumberFormat="1" applyAlignment="1"/>
    <xf numFmtId="10" fontId="51" fillId="0" borderId="0" xfId="2" applyNumberFormat="1" applyFont="1" applyAlignment="1">
      <alignment horizontal="right" vertical="center"/>
    </xf>
    <xf numFmtId="10" fontId="51" fillId="0" borderId="0" xfId="0" applyNumberFormat="1" applyFont="1" applyAlignment="1">
      <alignment horizontal="right" vertical="center"/>
    </xf>
    <xf numFmtId="14" fontId="0" fillId="0" borderId="0" xfId="0" applyNumberFormat="1" applyFill="1"/>
    <xf numFmtId="174" fontId="0" fillId="0" borderId="0" xfId="0" applyNumberFormat="1" applyFill="1"/>
    <xf numFmtId="0" fontId="0" fillId="0" borderId="19" xfId="0" applyFill="1" applyBorder="1"/>
    <xf numFmtId="0" fontId="12" fillId="0" borderId="0" xfId="0" applyFont="1" applyFill="1" applyAlignment="1">
      <alignment vertical="center"/>
    </xf>
    <xf numFmtId="0" fontId="12" fillId="0" borderId="0" xfId="0" applyFont="1" applyAlignment="1">
      <alignment horizontal="left" vertical="center"/>
    </xf>
    <xf numFmtId="0" fontId="15" fillId="0" borderId="0" xfId="0" applyFont="1" applyAlignment="1">
      <alignment horizontal="center" vertical="center"/>
    </xf>
    <xf numFmtId="0" fontId="8" fillId="0" borderId="0" xfId="0" applyFont="1" applyAlignment="1">
      <alignment horizontal="left" vertical="center"/>
    </xf>
    <xf numFmtId="0" fontId="6" fillId="0" borderId="0" xfId="0" applyFont="1" applyAlignment="1">
      <alignment horizontal="center" vertical="center"/>
    </xf>
    <xf numFmtId="0" fontId="8" fillId="2" borderId="1" xfId="0" applyFont="1" applyFill="1" applyBorder="1" applyAlignment="1">
      <alignment horizontal="left" vertical="center"/>
    </xf>
    <xf numFmtId="0" fontId="0" fillId="0" borderId="19" xfId="0" applyBorder="1"/>
    <xf numFmtId="0" fontId="33" fillId="5" borderId="0" xfId="0" applyFont="1" applyFill="1"/>
    <xf numFmtId="41" fontId="66" fillId="0" borderId="20" xfId="5" applyNumberFormat="1" applyFont="1" applyFill="1" applyBorder="1" applyAlignment="1">
      <alignment horizontal="right" vertical="center"/>
    </xf>
    <xf numFmtId="0" fontId="47" fillId="0" borderId="0" xfId="5" applyFont="1" applyAlignment="1">
      <alignment wrapText="1"/>
    </xf>
    <xf numFmtId="0" fontId="0" fillId="0" borderId="0" xfId="0" applyFill="1" applyAlignment="1">
      <alignment horizontal="left"/>
    </xf>
    <xf numFmtId="0" fontId="0" fillId="3" borderId="0" xfId="0" applyFill="1" applyAlignment="1">
      <alignment horizontal="left"/>
    </xf>
    <xf numFmtId="0" fontId="0" fillId="3" borderId="0" xfId="0" applyFill="1" applyAlignment="1"/>
    <xf numFmtId="0" fontId="10" fillId="0" borderId="0" xfId="0" applyFont="1" applyFill="1"/>
    <xf numFmtId="170" fontId="47" fillId="0" borderId="0" xfId="5" applyNumberFormat="1" applyFont="1" applyBorder="1" applyAlignment="1"/>
    <xf numFmtId="170" fontId="47" fillId="2" borderId="0" xfId="1" applyNumberFormat="1" applyFont="1" applyFill="1" applyBorder="1" applyAlignment="1"/>
    <xf numFmtId="170" fontId="47" fillId="0" borderId="0" xfId="1" applyNumberFormat="1" applyFont="1" applyFill="1" applyBorder="1" applyAlignment="1"/>
    <xf numFmtId="170" fontId="47" fillId="0" borderId="19" xfId="1" applyNumberFormat="1" applyFont="1" applyBorder="1" applyAlignment="1"/>
    <xf numFmtId="170" fontId="64" fillId="0" borderId="0" xfId="5" applyNumberFormat="1" applyFill="1" applyBorder="1" applyAlignment="1"/>
    <xf numFmtId="0" fontId="0" fillId="0" borderId="0" xfId="0" applyFill="1" applyAlignment="1">
      <alignment horizontal="left"/>
    </xf>
    <xf numFmtId="0" fontId="0" fillId="3" borderId="0" xfId="0" applyFill="1" applyAlignment="1">
      <alignment horizontal="left"/>
    </xf>
    <xf numFmtId="3" fontId="12" fillId="0" borderId="0" xfId="0" applyNumberFormat="1" applyFont="1" applyFill="1" applyAlignment="1">
      <alignment horizontal="left" vertical="center"/>
    </xf>
    <xf numFmtId="43" fontId="0" fillId="0" borderId="19" xfId="1" applyFont="1" applyFill="1" applyBorder="1" applyAlignment="1"/>
    <xf numFmtId="43" fontId="0" fillId="0" borderId="19" xfId="1" applyFont="1" applyBorder="1" applyAlignment="1"/>
    <xf numFmtId="43" fontId="0" fillId="0" borderId="0" xfId="1" applyFont="1" applyFill="1" applyBorder="1" applyAlignment="1"/>
    <xf numFmtId="0" fontId="68" fillId="3" borderId="0" xfId="0" applyFont="1" applyFill="1"/>
    <xf numFmtId="14" fontId="48" fillId="0" borderId="0" xfId="0" applyNumberFormat="1" applyFont="1"/>
    <xf numFmtId="43" fontId="48" fillId="0" borderId="0" xfId="1" applyFont="1" applyAlignment="1"/>
    <xf numFmtId="14" fontId="6" fillId="0" borderId="0" xfId="0" applyNumberFormat="1" applyFont="1"/>
    <xf numFmtId="43" fontId="6" fillId="0" borderId="0" xfId="1" applyFont="1" applyAlignment="1"/>
    <xf numFmtId="14" fontId="64" fillId="0" borderId="0" xfId="5" applyNumberFormat="1" applyFill="1" applyBorder="1" applyAlignment="1"/>
    <xf numFmtId="0" fontId="21" fillId="0" borderId="0" xfId="0" quotePrefix="1" applyFont="1" applyBorder="1" applyAlignment="1">
      <alignment horizontal="center"/>
    </xf>
    <xf numFmtId="0" fontId="34" fillId="0" borderId="0" xfId="0" applyFont="1" applyBorder="1" applyAlignment="1">
      <alignment horizontal="center"/>
    </xf>
    <xf numFmtId="170" fontId="47" fillId="2" borderId="20" xfId="1" applyNumberFormat="1" applyFont="1" applyFill="1" applyBorder="1" applyAlignment="1">
      <alignment horizontal="right"/>
    </xf>
    <xf numFmtId="0" fontId="47" fillId="2" borderId="0" xfId="5" applyFont="1" applyFill="1" applyAlignment="1">
      <alignment wrapText="1"/>
    </xf>
    <xf numFmtId="0" fontId="0" fillId="3" borderId="0" xfId="0" applyFill="1" applyAlignment="1">
      <alignment horizontal="left"/>
    </xf>
    <xf numFmtId="41" fontId="64" fillId="2" borderId="0" xfId="5" applyNumberFormat="1" applyFill="1" applyBorder="1" applyAlignment="1"/>
    <xf numFmtId="0" fontId="47" fillId="0" borderId="0" xfId="5" quotePrefix="1" applyFont="1" applyAlignment="1"/>
    <xf numFmtId="0" fontId="55" fillId="0" borderId="0" xfId="8" applyFont="1" applyAlignment="1">
      <alignment vertical="center"/>
    </xf>
    <xf numFmtId="0" fontId="31" fillId="0" borderId="0" xfId="8" applyFont="1" applyAlignment="1">
      <alignment vertical="center"/>
    </xf>
    <xf numFmtId="0" fontId="28" fillId="0" borderId="0" xfId="8" applyFont="1">
      <alignment vertical="center"/>
    </xf>
    <xf numFmtId="0" fontId="31" fillId="0" borderId="0" xfId="8" applyFont="1">
      <alignment vertical="center"/>
    </xf>
    <xf numFmtId="0" fontId="28" fillId="0" borderId="0" xfId="8" applyFont="1" applyAlignment="1">
      <alignment horizontal="center" vertical="center"/>
    </xf>
    <xf numFmtId="0" fontId="31" fillId="0" borderId="0" xfId="8" applyFont="1" applyAlignment="1">
      <alignment horizontal="center" vertical="center"/>
    </xf>
    <xf numFmtId="41" fontId="28" fillId="0" borderId="0" xfId="8" applyNumberFormat="1" applyFont="1">
      <alignment vertical="center"/>
    </xf>
    <xf numFmtId="41" fontId="28" fillId="0" borderId="1" xfId="8" applyNumberFormat="1" applyFont="1" applyBorder="1">
      <alignment vertical="center"/>
    </xf>
    <xf numFmtId="37" fontId="28" fillId="0" borderId="0" xfId="8" applyNumberFormat="1" applyFont="1">
      <alignment vertical="center"/>
    </xf>
    <xf numFmtId="0" fontId="28" fillId="0" borderId="0" xfId="8" applyFont="1" applyBorder="1">
      <alignment vertical="center"/>
    </xf>
    <xf numFmtId="37" fontId="28" fillId="0" borderId="1" xfId="8" applyNumberFormat="1" applyFont="1" applyBorder="1">
      <alignment vertical="center"/>
    </xf>
    <xf numFmtId="41" fontId="28" fillId="0" borderId="0" xfId="8" applyNumberFormat="1" applyFont="1" applyBorder="1">
      <alignment vertical="center"/>
    </xf>
    <xf numFmtId="37" fontId="28" fillId="0" borderId="16" xfId="8" applyNumberFormat="1" applyFont="1" applyBorder="1">
      <alignment vertical="center"/>
    </xf>
    <xf numFmtId="41" fontId="28" fillId="0" borderId="20" xfId="8" applyNumberFormat="1" applyFont="1" applyBorder="1">
      <alignment vertical="center"/>
    </xf>
    <xf numFmtId="4" fontId="28" fillId="0" borderId="0" xfId="8" applyNumberFormat="1" applyFont="1">
      <alignment vertical="center"/>
    </xf>
    <xf numFmtId="9" fontId="31" fillId="0" borderId="0" xfId="8" applyNumberFormat="1" applyFont="1" applyBorder="1" applyAlignment="1">
      <alignment horizontal="center" vertical="center"/>
    </xf>
    <xf numFmtId="0" fontId="31" fillId="0" borderId="0" xfId="8" applyFont="1" applyBorder="1" applyAlignment="1">
      <alignment horizontal="center" vertical="center"/>
    </xf>
    <xf numFmtId="9" fontId="31" fillId="0" borderId="0" xfId="8" applyNumberFormat="1" applyFont="1" applyAlignment="1">
      <alignment horizontal="center" vertical="center"/>
    </xf>
    <xf numFmtId="0" fontId="28" fillId="0" borderId="0" xfId="8" applyFont="1" applyBorder="1" applyAlignment="1">
      <alignment horizontal="center" vertical="center"/>
    </xf>
    <xf numFmtId="170" fontId="28" fillId="0" borderId="0" xfId="9" applyNumberFormat="1" applyFont="1">
      <alignment vertical="center"/>
    </xf>
    <xf numFmtId="41" fontId="28" fillId="0" borderId="19" xfId="8" applyNumberFormat="1" applyFont="1" applyBorder="1">
      <alignment vertical="center"/>
    </xf>
    <xf numFmtId="41" fontId="28" fillId="0" borderId="1" xfId="0" applyNumberFormat="1" applyFont="1" applyFill="1" applyBorder="1" applyAlignment="1">
      <alignment vertical="center"/>
    </xf>
    <xf numFmtId="0" fontId="0" fillId="0" borderId="0" xfId="0" quotePrefix="1"/>
    <xf numFmtId="0" fontId="4" fillId="0" borderId="0" xfId="5" applyFont="1" applyAlignment="1">
      <alignment wrapText="1"/>
    </xf>
    <xf numFmtId="170" fontId="47" fillId="0" borderId="0" xfId="1" applyNumberFormat="1" applyFont="1" applyFill="1" applyAlignment="1">
      <alignment horizontal="right"/>
    </xf>
    <xf numFmtId="0" fontId="6" fillId="0" borderId="0" xfId="0" applyFont="1" applyBorder="1" applyAlignment="1">
      <alignment horizontal="left" vertical="top" wrapText="1"/>
    </xf>
    <xf numFmtId="0" fontId="6" fillId="0" borderId="0" xfId="0" applyFont="1" applyAlignment="1">
      <alignment horizontal="justify" vertical="top"/>
    </xf>
    <xf numFmtId="0" fontId="57" fillId="0" borderId="0" xfId="0" applyFont="1"/>
    <xf numFmtId="0" fontId="6" fillId="7" borderId="1" xfId="0" applyFont="1" applyFill="1" applyBorder="1"/>
    <xf numFmtId="0" fontId="6" fillId="0" borderId="1" xfId="0" applyFont="1" applyFill="1" applyBorder="1"/>
    <xf numFmtId="0" fontId="6" fillId="0" borderId="0" xfId="0" applyFont="1" applyFill="1" applyAlignment="1">
      <alignment horizontal="center"/>
    </xf>
    <xf numFmtId="0" fontId="6" fillId="0" borderId="0" xfId="0" applyFont="1" applyAlignment="1">
      <alignment horizontal="right"/>
    </xf>
    <xf numFmtId="0" fontId="6" fillId="0" borderId="1" xfId="0" applyFont="1" applyFill="1" applyBorder="1" applyAlignment="1">
      <alignment horizontal="center"/>
    </xf>
    <xf numFmtId="0" fontId="6" fillId="0" borderId="0" xfId="0" applyFont="1" applyFill="1" applyAlignment="1"/>
    <xf numFmtId="0" fontId="4" fillId="0" borderId="0" xfId="5" applyFont="1" applyAlignment="1"/>
    <xf numFmtId="0" fontId="4" fillId="0" borderId="0" xfId="5" applyFont="1" applyFill="1" applyAlignment="1"/>
    <xf numFmtId="0" fontId="35" fillId="0" borderId="0" xfId="0" applyFont="1" applyFill="1" applyAlignment="1">
      <alignment vertical="center"/>
    </xf>
    <xf numFmtId="0" fontId="42" fillId="0" borderId="0" xfId="0" applyFont="1" applyFill="1" applyAlignment="1">
      <alignment vertical="top"/>
    </xf>
    <xf numFmtId="0" fontId="57" fillId="0" borderId="0" xfId="0" applyFont="1" applyFill="1" applyAlignment="1">
      <alignment vertical="top"/>
    </xf>
    <xf numFmtId="0" fontId="6" fillId="0" borderId="1" xfId="0" applyFont="1" applyFill="1" applyBorder="1" applyAlignment="1">
      <alignment vertical="top"/>
    </xf>
    <xf numFmtId="0" fontId="51" fillId="0" borderId="0" xfId="2" applyNumberFormat="1" applyFont="1" applyAlignment="1">
      <alignment horizontal="right" vertical="center"/>
    </xf>
    <xf numFmtId="0" fontId="4" fillId="7" borderId="0" xfId="5" applyFont="1" applyFill="1" applyAlignment="1"/>
    <xf numFmtId="170" fontId="47" fillId="0" borderId="19" xfId="1" applyNumberFormat="1" applyFont="1" applyFill="1" applyBorder="1" applyAlignment="1">
      <alignment horizontal="right"/>
    </xf>
    <xf numFmtId="9" fontId="4" fillId="7" borderId="0" xfId="5" quotePrefix="1" applyNumberFormat="1" applyFont="1" applyFill="1" applyAlignment="1"/>
    <xf numFmtId="0" fontId="14" fillId="9" borderId="0" xfId="0" applyFont="1" applyFill="1"/>
    <xf numFmtId="0" fontId="6" fillId="9" borderId="0" xfId="0" applyFont="1" applyFill="1"/>
    <xf numFmtId="0" fontId="6" fillId="9" borderId="0" xfId="0" quotePrefix="1" applyFont="1" applyFill="1"/>
    <xf numFmtId="0" fontId="72" fillId="7" borderId="0" xfId="5" applyFont="1" applyFill="1" applyAlignment="1"/>
    <xf numFmtId="0" fontId="64" fillId="7" borderId="0" xfId="5" applyFont="1" applyFill="1" applyAlignment="1"/>
    <xf numFmtId="15" fontId="70" fillId="7" borderId="0" xfId="5" applyNumberFormat="1" applyFont="1" applyFill="1" applyAlignment="1">
      <alignment horizontal="center"/>
    </xf>
    <xf numFmtId="0" fontId="4" fillId="7" borderId="0" xfId="5" applyFont="1" applyFill="1" applyAlignment="1">
      <alignment horizontal="center"/>
    </xf>
    <xf numFmtId="0" fontId="71" fillId="7" borderId="0" xfId="5" applyFont="1" applyFill="1" applyAlignment="1">
      <alignment horizontal="center"/>
    </xf>
    <xf numFmtId="170" fontId="4" fillId="7" borderId="0" xfId="1" applyNumberFormat="1" applyFont="1" applyFill="1" applyBorder="1" applyAlignment="1"/>
    <xf numFmtId="0" fontId="4" fillId="7" borderId="0" xfId="5" quotePrefix="1" applyFont="1" applyFill="1" applyAlignment="1"/>
    <xf numFmtId="170" fontId="4" fillId="7" borderId="19" xfId="1" applyNumberFormat="1" applyFont="1" applyFill="1" applyBorder="1" applyAlignment="1"/>
    <xf numFmtId="0" fontId="28" fillId="0" borderId="0" xfId="0" applyFont="1" applyAlignment="1">
      <alignment horizontal="distributed" vertical="distributed" wrapText="1"/>
    </xf>
    <xf numFmtId="0" fontId="28" fillId="0" borderId="0" xfId="0" applyFont="1" applyAlignment="1">
      <alignment horizontal="left" wrapText="1"/>
    </xf>
    <xf numFmtId="0" fontId="12" fillId="0" borderId="0" xfId="0" applyFont="1" applyAlignment="1">
      <alignment horizontal="left" vertical="center"/>
    </xf>
    <xf numFmtId="3" fontId="6" fillId="0" borderId="0" xfId="0" applyNumberFormat="1" applyFont="1"/>
    <xf numFmtId="41" fontId="6" fillId="0" borderId="0" xfId="0" applyNumberFormat="1" applyFont="1"/>
    <xf numFmtId="0" fontId="57" fillId="9" borderId="0" xfId="0" applyFont="1" applyFill="1"/>
    <xf numFmtId="0" fontId="57" fillId="8" borderId="0" xfId="0" applyFont="1" applyFill="1"/>
    <xf numFmtId="0" fontId="6" fillId="8" borderId="0" xfId="0" applyFont="1" applyFill="1"/>
    <xf numFmtId="0" fontId="42" fillId="8" borderId="0" xfId="0" applyFont="1" applyFill="1" applyAlignment="1">
      <alignment horizontal="justify" vertical="center"/>
    </xf>
    <xf numFmtId="3" fontId="48" fillId="0" borderId="0" xfId="0" applyNumberFormat="1" applyFont="1"/>
    <xf numFmtId="41" fontId="48" fillId="0" borderId="0" xfId="0" applyNumberFormat="1" applyFont="1"/>
    <xf numFmtId="0" fontId="80" fillId="3" borderId="0" xfId="0" applyFont="1" applyFill="1"/>
    <xf numFmtId="0" fontId="80" fillId="0" borderId="0" xfId="0" applyFont="1"/>
    <xf numFmtId="0" fontId="82" fillId="0" borderId="0" xfId="0" applyFont="1"/>
    <xf numFmtId="0" fontId="83" fillId="0" borderId="0" xfId="0" applyFont="1"/>
    <xf numFmtId="0" fontId="84" fillId="0" borderId="0" xfId="0" applyFont="1"/>
    <xf numFmtId="0" fontId="81" fillId="2" borderId="0" xfId="0" applyFont="1" applyFill="1"/>
    <xf numFmtId="0" fontId="81" fillId="0" borderId="0" xfId="0" applyFont="1" applyAlignment="1">
      <alignment vertical="center"/>
    </xf>
    <xf numFmtId="0" fontId="86" fillId="0" borderId="0" xfId="0" applyFont="1" applyAlignment="1">
      <alignment vertical="center"/>
    </xf>
    <xf numFmtId="14" fontId="86" fillId="0" borderId="0" xfId="0" applyNumberFormat="1" applyFont="1" applyAlignment="1">
      <alignment vertical="center"/>
    </xf>
    <xf numFmtId="43" fontId="86" fillId="0" borderId="0" xfId="1" applyFont="1" applyAlignment="1">
      <alignment vertical="center"/>
    </xf>
    <xf numFmtId="0" fontId="80" fillId="2" borderId="0" xfId="0" applyFont="1" applyFill="1"/>
    <xf numFmtId="3" fontId="80" fillId="2" borderId="0" xfId="0" applyNumberFormat="1" applyFont="1" applyFill="1"/>
    <xf numFmtId="0" fontId="75" fillId="0" borderId="0" xfId="0" applyFont="1"/>
    <xf numFmtId="0" fontId="87" fillId="0" borderId="13" xfId="0" applyFont="1" applyFill="1" applyBorder="1" applyAlignment="1">
      <alignment horizontal="center" vertical="center" wrapText="1"/>
    </xf>
    <xf numFmtId="0" fontId="80" fillId="2" borderId="0" xfId="0" applyFont="1" applyFill="1" applyAlignment="1">
      <alignment vertical="center"/>
    </xf>
    <xf numFmtId="0" fontId="80" fillId="2" borderId="0" xfId="0" quotePrefix="1" applyFont="1" applyFill="1" applyAlignment="1">
      <alignment vertical="center"/>
    </xf>
    <xf numFmtId="14" fontId="80" fillId="2" borderId="0" xfId="1" applyNumberFormat="1" applyFont="1" applyFill="1" applyAlignment="1"/>
    <xf numFmtId="0" fontId="75" fillId="3" borderId="0" xfId="0" applyFont="1" applyFill="1"/>
    <xf numFmtId="0" fontId="88" fillId="0" borderId="0" xfId="0" applyFont="1"/>
    <xf numFmtId="0" fontId="80" fillId="0" borderId="0" xfId="0" applyFont="1" applyAlignment="1">
      <alignment vertical="center"/>
    </xf>
    <xf numFmtId="0" fontId="87" fillId="0" borderId="0" xfId="0" applyFont="1" applyAlignment="1">
      <alignment horizontal="left"/>
    </xf>
    <xf numFmtId="0" fontId="87" fillId="0" borderId="0" xfId="0" applyFont="1" applyAlignment="1">
      <alignment horizontal="left" vertical="center"/>
    </xf>
    <xf numFmtId="0" fontId="89" fillId="0" borderId="0" xfId="0" applyFont="1" applyAlignment="1">
      <alignment horizontal="center"/>
    </xf>
    <xf numFmtId="0" fontId="89" fillId="0" borderId="0" xfId="0" applyFont="1" applyAlignment="1">
      <alignment horizontal="left" wrapText="1"/>
    </xf>
    <xf numFmtId="0" fontId="89" fillId="0" borderId="0" xfId="0" applyFont="1" applyAlignment="1">
      <alignment horizontal="left" vertical="center"/>
    </xf>
    <xf numFmtId="0" fontId="87" fillId="0" borderId="0" xfId="0" applyFont="1" applyAlignment="1">
      <alignment vertical="center"/>
    </xf>
    <xf numFmtId="0" fontId="90" fillId="0" borderId="0" xfId="0" applyFont="1" applyAlignment="1">
      <alignment vertical="center"/>
    </xf>
    <xf numFmtId="0" fontId="89" fillId="0" borderId="0" xfId="0" applyFont="1" applyAlignment="1">
      <alignment vertical="center"/>
    </xf>
    <xf numFmtId="0" fontId="89" fillId="0" borderId="0" xfId="0" applyFont="1"/>
    <xf numFmtId="0" fontId="87" fillId="0" borderId="0" xfId="0" applyFont="1"/>
    <xf numFmtId="0" fontId="87" fillId="0" borderId="0" xfId="0" applyFont="1" applyFill="1"/>
    <xf numFmtId="0" fontId="87" fillId="0" borderId="0" xfId="0" applyFont="1" applyFill="1" applyAlignment="1">
      <alignment horizontal="left"/>
    </xf>
    <xf numFmtId="0" fontId="91" fillId="0" borderId="0" xfId="0" applyFont="1" applyFill="1"/>
    <xf numFmtId="0" fontId="75" fillId="0" borderId="0" xfId="0" applyFont="1" applyBorder="1"/>
    <xf numFmtId="0" fontId="6" fillId="0" borderId="0" xfId="0" applyFont="1" applyAlignment="1">
      <alignment horizontal="center" vertical="center"/>
    </xf>
    <xf numFmtId="0" fontId="75" fillId="0" borderId="0" xfId="0" applyFont="1" applyFill="1"/>
    <xf numFmtId="0" fontId="92" fillId="0" borderId="0" xfId="0" applyFont="1"/>
    <xf numFmtId="0" fontId="92" fillId="7" borderId="0" xfId="0" applyFont="1" applyFill="1"/>
    <xf numFmtId="0" fontId="92" fillId="3" borderId="0" xfId="0" applyFont="1" applyFill="1"/>
    <xf numFmtId="0" fontId="92" fillId="0" borderId="0" xfId="0" applyFont="1" applyFill="1"/>
    <xf numFmtId="0" fontId="93" fillId="0" borderId="0" xfId="0" applyFont="1" applyAlignment="1">
      <alignment horizontal="justify" vertical="center"/>
    </xf>
    <xf numFmtId="0" fontId="94" fillId="0" borderId="0" xfId="0" applyFont="1" applyAlignment="1">
      <alignment vertical="center"/>
    </xf>
    <xf numFmtId="169" fontId="87" fillId="0" borderId="0" xfId="0" applyNumberFormat="1" applyFont="1" applyAlignment="1">
      <alignment horizontal="right" vertical="center"/>
    </xf>
    <xf numFmtId="43" fontId="94" fillId="3" borderId="0" xfId="0" applyNumberFormat="1" applyFont="1" applyFill="1" applyAlignment="1">
      <alignment vertical="center"/>
    </xf>
    <xf numFmtId="0" fontId="94" fillId="3" borderId="0" xfId="0" applyFont="1" applyFill="1" applyAlignment="1">
      <alignment vertical="center"/>
    </xf>
    <xf numFmtId="0" fontId="94" fillId="6" borderId="0" xfId="0" applyFont="1" applyFill="1" applyAlignment="1">
      <alignment vertical="center"/>
    </xf>
    <xf numFmtId="0" fontId="94" fillId="0" borderId="0" xfId="0" applyFont="1" applyFill="1" applyAlignment="1">
      <alignment vertical="center"/>
    </xf>
    <xf numFmtId="0" fontId="94" fillId="0" borderId="0" xfId="0" applyFont="1" applyBorder="1" applyAlignment="1">
      <alignment horizontal="center" vertical="center"/>
    </xf>
    <xf numFmtId="0" fontId="95" fillId="0" borderId="0" xfId="0" applyFont="1" applyBorder="1" applyAlignment="1">
      <alignment horizontal="center" vertical="center"/>
    </xf>
    <xf numFmtId="0" fontId="94" fillId="0" borderId="0" xfId="0" applyFont="1" applyBorder="1" applyAlignment="1">
      <alignment vertical="center"/>
    </xf>
    <xf numFmtId="171" fontId="12" fillId="0" borderId="0" xfId="0" applyNumberFormat="1" applyFont="1" applyAlignment="1">
      <alignment horizontal="justify" vertical="top" wrapText="1"/>
    </xf>
    <xf numFmtId="0" fontId="12" fillId="0" borderId="0" xfId="0" applyFont="1" applyAlignment="1">
      <alignment horizontal="justify" vertical="top" wrapText="1"/>
    </xf>
    <xf numFmtId="0" fontId="7" fillId="0" borderId="0" xfId="0" applyFont="1" applyAlignment="1">
      <alignment vertical="center"/>
    </xf>
    <xf numFmtId="0" fontId="7" fillId="0" borderId="0" xfId="0" applyFont="1" applyFill="1" applyAlignment="1">
      <alignment vertical="center"/>
    </xf>
    <xf numFmtId="41" fontId="6" fillId="0" borderId="0" xfId="0" applyNumberFormat="1" applyFont="1" applyFill="1" applyBorder="1" applyAlignment="1">
      <alignment vertical="center"/>
    </xf>
    <xf numFmtId="41" fontId="6" fillId="0" borderId="0" xfId="0" applyNumberFormat="1" applyFont="1" applyAlignment="1">
      <alignment vertical="center"/>
    </xf>
    <xf numFmtId="0" fontId="6" fillId="0" borderId="0" xfId="0" applyFont="1" applyFill="1" applyAlignment="1">
      <alignment vertical="center"/>
    </xf>
    <xf numFmtId="41" fontId="6" fillId="0" borderId="0" xfId="0" applyNumberFormat="1" applyFont="1" applyFill="1" applyBorder="1" applyAlignment="1">
      <alignment horizontal="right" vertical="center"/>
    </xf>
    <xf numFmtId="0" fontId="6" fillId="0" borderId="0" xfId="0" applyFont="1" applyFill="1" applyBorder="1" applyAlignment="1">
      <alignment vertical="center"/>
    </xf>
    <xf numFmtId="41" fontId="6" fillId="0" borderId="8" xfId="0" applyNumberFormat="1" applyFont="1" applyFill="1" applyBorder="1" applyAlignment="1">
      <alignment vertical="center"/>
    </xf>
    <xf numFmtId="41" fontId="6" fillId="0" borderId="19" xfId="0" applyNumberFormat="1" applyFont="1" applyFill="1" applyBorder="1" applyAlignment="1">
      <alignment vertical="center"/>
    </xf>
    <xf numFmtId="41" fontId="6" fillId="0" borderId="20" xfId="0" applyNumberFormat="1" applyFont="1" applyBorder="1" applyAlignment="1">
      <alignment vertical="center"/>
    </xf>
    <xf numFmtId="170" fontId="6" fillId="0" borderId="1" xfId="1" applyNumberFormat="1" applyFont="1" applyBorder="1" applyAlignment="1">
      <alignment vertical="center"/>
    </xf>
    <xf numFmtId="41" fontId="6" fillId="0" borderId="1" xfId="0" applyNumberFormat="1" applyFont="1" applyBorder="1" applyAlignment="1">
      <alignment vertical="center"/>
    </xf>
    <xf numFmtId="41" fontId="6" fillId="0" borderId="0" xfId="0" applyNumberFormat="1" applyFont="1" applyBorder="1" applyAlignment="1">
      <alignment vertical="center"/>
    </xf>
    <xf numFmtId="0" fontId="6" fillId="0" borderId="0" xfId="0" applyFont="1" applyAlignment="1">
      <alignment horizontal="distributed" vertical="distributed" wrapText="1"/>
    </xf>
    <xf numFmtId="0" fontId="6" fillId="0" borderId="0" xfId="0" applyFont="1" applyAlignment="1">
      <alignment horizontal="left" wrapText="1"/>
    </xf>
    <xf numFmtId="0" fontId="12" fillId="7" borderId="0" xfId="0" applyFont="1" applyFill="1" applyAlignment="1">
      <alignment vertical="top"/>
    </xf>
    <xf numFmtId="0" fontId="12" fillId="7" borderId="0" xfId="0" applyFont="1" applyFill="1"/>
    <xf numFmtId="0" fontId="50" fillId="0" borderId="0" xfId="0" applyFont="1" applyBorder="1" applyAlignment="1">
      <alignment horizontal="left" vertical="center"/>
    </xf>
    <xf numFmtId="0" fontId="49" fillId="0" borderId="0" xfId="0" quotePrefix="1" applyFont="1" applyBorder="1" applyAlignment="1">
      <alignment horizontal="left" vertical="center"/>
    </xf>
    <xf numFmtId="0" fontId="6" fillId="8" borderId="0" xfId="0" quotePrefix="1" applyFont="1" applyFill="1"/>
    <xf numFmtId="0" fontId="14" fillId="8" borderId="0" xfId="0" applyFont="1" applyFill="1"/>
    <xf numFmtId="0" fontId="0" fillId="3" borderId="0" xfId="0" applyFill="1" applyAlignment="1">
      <alignment horizontal="left"/>
    </xf>
    <xf numFmtId="0" fontId="12" fillId="0" borderId="0" xfId="0" quotePrefix="1" applyFont="1"/>
    <xf numFmtId="0" fontId="12" fillId="10" borderId="0" xfId="0" applyFont="1" applyFill="1"/>
    <xf numFmtId="0" fontId="12" fillId="10" borderId="0" xfId="0" applyFont="1" applyFill="1" applyAlignment="1"/>
    <xf numFmtId="14" fontId="12" fillId="0" borderId="0" xfId="0" applyNumberFormat="1" applyFont="1"/>
    <xf numFmtId="170" fontId="12" fillId="0" borderId="0" xfId="1" applyNumberFormat="1" applyFont="1" applyAlignment="1"/>
    <xf numFmtId="0" fontId="42" fillId="11" borderId="0" xfId="0" applyFont="1" applyFill="1" applyAlignment="1">
      <alignment vertical="center"/>
    </xf>
    <xf numFmtId="0" fontId="12" fillId="11" borderId="0" xfId="0" applyFont="1" applyFill="1" applyAlignment="1">
      <alignment horizontal="justify" vertical="top" wrapText="1"/>
    </xf>
    <xf numFmtId="0" fontId="12" fillId="11" borderId="0" xfId="0" applyFont="1" applyFill="1" applyAlignment="1"/>
    <xf numFmtId="0" fontId="12" fillId="11" borderId="0" xfId="0" applyFont="1" applyFill="1"/>
    <xf numFmtId="0" fontId="6" fillId="11" borderId="0" xfId="0" applyFont="1" applyFill="1"/>
    <xf numFmtId="0" fontId="12" fillId="11" borderId="0" xfId="0" applyFont="1" applyFill="1" applyAlignment="1">
      <alignment vertical="top"/>
    </xf>
    <xf numFmtId="0" fontId="12" fillId="11" borderId="0" xfId="0" applyFont="1" applyFill="1" applyAlignment="1">
      <alignment vertical="top" wrapText="1"/>
    </xf>
    <xf numFmtId="0" fontId="42" fillId="11" borderId="0" xfId="0" applyFont="1" applyFill="1" applyAlignment="1">
      <alignment horizontal="left" vertical="center"/>
    </xf>
    <xf numFmtId="0" fontId="42" fillId="11" borderId="0" xfId="0" applyFont="1" applyFill="1"/>
    <xf numFmtId="0" fontId="12" fillId="3" borderId="0" xfId="0" applyFont="1" applyFill="1" applyAlignment="1">
      <alignment horizontal="left" vertical="center"/>
    </xf>
    <xf numFmtId="3" fontId="12" fillId="3" borderId="0" xfId="0" applyNumberFormat="1" applyFont="1" applyFill="1" applyAlignment="1">
      <alignment horizontal="left" vertical="center"/>
    </xf>
    <xf numFmtId="0" fontId="12" fillId="3" borderId="0" xfId="0" applyFont="1" applyFill="1" applyAlignment="1"/>
    <xf numFmtId="0" fontId="43" fillId="3" borderId="0" xfId="0" applyFont="1" applyFill="1" applyAlignment="1">
      <alignment horizontal="left" vertical="center"/>
    </xf>
    <xf numFmtId="0" fontId="7" fillId="3" borderId="0" xfId="0" applyFont="1" applyFill="1"/>
    <xf numFmtId="0" fontId="6" fillId="3" borderId="0" xfId="0" applyFont="1" applyFill="1" applyAlignment="1">
      <alignment horizontal="left"/>
    </xf>
    <xf numFmtId="41" fontId="12" fillId="3" borderId="0" xfId="0" applyNumberFormat="1" applyFont="1" applyFill="1" applyAlignment="1"/>
    <xf numFmtId="0" fontId="42" fillId="3" borderId="0" xfId="0" applyFont="1" applyFill="1" applyAlignment="1">
      <alignment horizontal="left" vertical="center"/>
    </xf>
    <xf numFmtId="0" fontId="16" fillId="0" borderId="0" xfId="0" applyFont="1"/>
    <xf numFmtId="170" fontId="47" fillId="0" borderId="1" xfId="1" applyNumberFormat="1" applyFont="1" applyBorder="1" applyAlignment="1"/>
    <xf numFmtId="0" fontId="4" fillId="0" borderId="0" xfId="5" quotePrefix="1" applyFont="1" applyAlignment="1"/>
    <xf numFmtId="0" fontId="70" fillId="0" borderId="0" xfId="5" quotePrefix="1" applyFont="1" applyAlignment="1"/>
    <xf numFmtId="0" fontId="71" fillId="0" borderId="0" xfId="5" quotePrefix="1" applyFont="1" applyAlignment="1"/>
    <xf numFmtId="0" fontId="71" fillId="0" borderId="0" xfId="5" applyFont="1" applyAlignment="1"/>
    <xf numFmtId="0" fontId="64" fillId="0" borderId="1" xfId="5" applyBorder="1" applyAlignment="1"/>
    <xf numFmtId="0" fontId="96" fillId="0" borderId="0" xfId="3" applyFont="1">
      <alignment vertical="center"/>
    </xf>
    <xf numFmtId="0" fontId="97" fillId="0" borderId="0" xfId="3" applyFont="1" applyAlignment="1">
      <alignment vertical="top"/>
    </xf>
    <xf numFmtId="0" fontId="97" fillId="0" borderId="0" xfId="3" applyFont="1" applyAlignment="1"/>
    <xf numFmtId="0" fontId="101" fillId="0" borderId="0" xfId="3" applyFont="1">
      <alignment vertical="center"/>
    </xf>
    <xf numFmtId="0" fontId="96" fillId="0" borderId="0" xfId="3" applyFont="1" applyBorder="1">
      <alignment vertical="center"/>
    </xf>
    <xf numFmtId="15" fontId="96" fillId="0" borderId="0" xfId="3" quotePrefix="1" applyNumberFormat="1" applyFont="1" applyBorder="1">
      <alignment vertical="center"/>
    </xf>
    <xf numFmtId="0" fontId="96" fillId="0" borderId="14" xfId="3" applyFont="1" applyBorder="1">
      <alignment vertical="center"/>
    </xf>
    <xf numFmtId="0" fontId="96" fillId="0" borderId="1" xfId="3" applyFont="1" applyBorder="1">
      <alignment vertical="center"/>
    </xf>
    <xf numFmtId="0" fontId="96" fillId="0" borderId="12" xfId="3" applyFont="1" applyBorder="1">
      <alignment vertical="center"/>
    </xf>
    <xf numFmtId="0" fontId="103" fillId="0" borderId="0" xfId="3" applyFont="1" applyFill="1" applyBorder="1">
      <alignment vertical="center"/>
    </xf>
    <xf numFmtId="0" fontId="103" fillId="0" borderId="7" xfId="3" applyFont="1" applyBorder="1">
      <alignment vertical="center"/>
    </xf>
    <xf numFmtId="0" fontId="103" fillId="0" borderId="0" xfId="3" applyFont="1">
      <alignment vertical="center"/>
    </xf>
    <xf numFmtId="0" fontId="101" fillId="0" borderId="13" xfId="3" applyFont="1" applyBorder="1">
      <alignment vertical="center"/>
    </xf>
    <xf numFmtId="0" fontId="96" fillId="0" borderId="11" xfId="3" applyFont="1" applyBorder="1">
      <alignment vertical="center"/>
    </xf>
    <xf numFmtId="0" fontId="96" fillId="0" borderId="7" xfId="3" applyFont="1" applyBorder="1">
      <alignment vertical="center"/>
    </xf>
    <xf numFmtId="0" fontId="104" fillId="0" borderId="0" xfId="3" applyFont="1">
      <alignment vertical="center"/>
    </xf>
    <xf numFmtId="0" fontId="96" fillId="0" borderId="13" xfId="3" applyFont="1" applyBorder="1">
      <alignment vertical="center"/>
    </xf>
    <xf numFmtId="0" fontId="105" fillId="0" borderId="0" xfId="3" applyFont="1">
      <alignment vertical="center"/>
    </xf>
    <xf numFmtId="0" fontId="102" fillId="0" borderId="0" xfId="3" applyFont="1">
      <alignment vertical="center"/>
    </xf>
    <xf numFmtId="49" fontId="108" fillId="0" borderId="0" xfId="3" applyNumberFormat="1" applyFont="1" applyAlignment="1">
      <alignment horizontal="left" vertical="center"/>
    </xf>
    <xf numFmtId="169" fontId="108" fillId="0" borderId="0" xfId="3" applyNumberFormat="1" applyFont="1" applyAlignment="1">
      <alignment horizontal="right" vertical="center"/>
    </xf>
    <xf numFmtId="0" fontId="96" fillId="0" borderId="6" xfId="3" applyFont="1" applyBorder="1">
      <alignment vertical="center"/>
    </xf>
    <xf numFmtId="0" fontId="101" fillId="0" borderId="0" xfId="3" applyFont="1" applyAlignment="1">
      <alignment horizontal="center" vertical="center"/>
    </xf>
    <xf numFmtId="0" fontId="111" fillId="0" borderId="0" xfId="0" applyFont="1"/>
    <xf numFmtId="165" fontId="86" fillId="0" borderId="0" xfId="0" applyNumberFormat="1" applyFont="1" applyAlignment="1">
      <alignment horizontal="left" vertical="center"/>
    </xf>
    <xf numFmtId="165" fontId="86" fillId="0" borderId="0" xfId="0" applyNumberFormat="1" applyFont="1" applyAlignment="1">
      <alignment horizontal="center" vertical="center"/>
    </xf>
    <xf numFmtId="0" fontId="94" fillId="0" borderId="0" xfId="0" applyFont="1"/>
    <xf numFmtId="0" fontId="94" fillId="0" borderId="0" xfId="0" applyFont="1" applyAlignment="1"/>
    <xf numFmtId="0" fontId="94" fillId="7" borderId="0" xfId="0" applyFont="1" applyFill="1"/>
    <xf numFmtId="0" fontId="112" fillId="0" borderId="0" xfId="0" applyFont="1" applyAlignment="1">
      <alignment horizontal="justify" vertical="center"/>
    </xf>
    <xf numFmtId="0" fontId="113" fillId="0" borderId="0" xfId="0" applyFont="1" applyAlignment="1">
      <alignment horizontal="justify" vertical="center"/>
    </xf>
    <xf numFmtId="0" fontId="88" fillId="3" borderId="0" xfId="0" applyFont="1" applyFill="1"/>
    <xf numFmtId="41" fontId="80" fillId="0" borderId="0" xfId="0" applyNumberFormat="1" applyFont="1" applyAlignment="1">
      <alignment vertical="center"/>
    </xf>
    <xf numFmtId="14" fontId="80" fillId="0" borderId="0" xfId="0" applyNumberFormat="1" applyFont="1" applyAlignment="1">
      <alignment vertical="center"/>
    </xf>
    <xf numFmtId="43" fontId="80" fillId="0" borderId="0" xfId="1" applyFont="1" applyAlignment="1">
      <alignment vertical="center"/>
    </xf>
    <xf numFmtId="170" fontId="80" fillId="0" borderId="0" xfId="0" applyNumberFormat="1" applyFont="1" applyAlignment="1">
      <alignment vertical="center"/>
    </xf>
    <xf numFmtId="43" fontId="80" fillId="0" borderId="0" xfId="0" applyNumberFormat="1" applyFont="1" applyAlignment="1">
      <alignment vertical="center"/>
    </xf>
    <xf numFmtId="3" fontId="80" fillId="0" borderId="0" xfId="0" applyNumberFormat="1" applyFont="1" applyAlignment="1">
      <alignment vertical="center"/>
    </xf>
    <xf numFmtId="0" fontId="80" fillId="0" borderId="0" xfId="0" applyFont="1" applyFill="1"/>
    <xf numFmtId="0" fontId="114" fillId="0" borderId="0" xfId="0" applyFont="1" applyFill="1"/>
    <xf numFmtId="14" fontId="114" fillId="0" borderId="0" xfId="0" applyNumberFormat="1" applyFont="1" applyFill="1"/>
    <xf numFmtId="175" fontId="114" fillId="0" borderId="0" xfId="0" applyNumberFormat="1" applyFont="1" applyFill="1"/>
    <xf numFmtId="0" fontId="115" fillId="0" borderId="0" xfId="0" applyFont="1" applyFill="1"/>
    <xf numFmtId="0" fontId="114" fillId="0" borderId="0" xfId="0" applyFont="1" applyFill="1" applyAlignment="1"/>
    <xf numFmtId="0" fontId="114" fillId="0" borderId="0" xfId="0" applyFont="1"/>
    <xf numFmtId="15" fontId="114" fillId="0" borderId="0" xfId="0" applyNumberFormat="1" applyFont="1"/>
    <xf numFmtId="0" fontId="94" fillId="0" borderId="0" xfId="0" applyFont="1" applyFill="1"/>
    <xf numFmtId="0" fontId="80" fillId="7" borderId="0" xfId="0" applyFont="1" applyFill="1"/>
    <xf numFmtId="0" fontId="7" fillId="8" borderId="0" xfId="0" applyFont="1" applyFill="1"/>
    <xf numFmtId="37" fontId="28" fillId="0" borderId="0" xfId="10" applyNumberFormat="1" applyFont="1" applyFill="1" applyAlignment="1" applyProtection="1"/>
    <xf numFmtId="43" fontId="28" fillId="0" borderId="0" xfId="1" applyFont="1" applyFill="1" applyAlignment="1" applyProtection="1">
      <alignment horizontal="right"/>
    </xf>
    <xf numFmtId="43" fontId="28" fillId="0" borderId="0" xfId="1" applyFont="1" applyFill="1" applyAlignment="1" applyProtection="1"/>
    <xf numFmtId="43" fontId="28" fillId="0" borderId="0" xfId="1" applyFont="1" applyFill="1" applyAlignment="1" applyProtection="1">
      <alignment horizontal="center"/>
    </xf>
    <xf numFmtId="37" fontId="28" fillId="0" borderId="0" xfId="10" applyNumberFormat="1" applyFont="1" applyFill="1" applyAlignment="1" applyProtection="1">
      <alignment horizontal="center"/>
    </xf>
    <xf numFmtId="43" fontId="28" fillId="0" borderId="19" xfId="1" applyFont="1" applyFill="1" applyBorder="1" applyAlignment="1" applyProtection="1">
      <alignment horizontal="center"/>
    </xf>
    <xf numFmtId="0" fontId="4" fillId="0" borderId="0" xfId="5" applyFont="1" applyAlignment="1">
      <alignment horizontal="center"/>
    </xf>
    <xf numFmtId="0" fontId="70" fillId="0" borderId="0" xfId="5" applyFont="1" applyAlignment="1">
      <alignment horizontal="center"/>
    </xf>
    <xf numFmtId="0" fontId="6" fillId="7" borderId="0" xfId="0" applyFont="1" applyFill="1" applyAlignment="1">
      <alignment vertical="top"/>
    </xf>
    <xf numFmtId="0" fontId="57" fillId="7" borderId="0" xfId="0" applyFont="1" applyFill="1" applyAlignment="1">
      <alignment vertical="top"/>
    </xf>
    <xf numFmtId="0" fontId="64" fillId="0" borderId="0" xfId="5" quotePrefix="1" applyFill="1" applyBorder="1" applyAlignment="1"/>
    <xf numFmtId="0" fontId="0" fillId="7" borderId="2" xfId="0" applyFill="1" applyBorder="1"/>
    <xf numFmtId="0" fontId="117" fillId="0" borderId="0" xfId="0" applyFont="1" applyAlignment="1">
      <alignment vertical="center"/>
    </xf>
    <xf numFmtId="0" fontId="118" fillId="0" borderId="0" xfId="0" applyFont="1" applyAlignment="1">
      <alignment horizontal="center"/>
    </xf>
    <xf numFmtId="0" fontId="118" fillId="0" borderId="0" xfId="0" applyFont="1"/>
    <xf numFmtId="0" fontId="117" fillId="0" borderId="0" xfId="0" applyFont="1" applyAlignment="1">
      <alignment horizontal="justify" vertical="center"/>
    </xf>
    <xf numFmtId="0" fontId="117" fillId="0" borderId="1" xfId="0" applyFont="1" applyBorder="1" applyAlignment="1">
      <alignment vertical="center"/>
    </xf>
    <xf numFmtId="0" fontId="118" fillId="0" borderId="1" xfId="0" applyFont="1" applyBorder="1" applyAlignment="1">
      <alignment horizontal="center"/>
    </xf>
    <xf numFmtId="0" fontId="118" fillId="0" borderId="1" xfId="0" applyFont="1" applyBorder="1"/>
    <xf numFmtId="0" fontId="118" fillId="0" borderId="0" xfId="0" applyFont="1" applyBorder="1"/>
    <xf numFmtId="0" fontId="118" fillId="3" borderId="0" xfId="0" applyFont="1" applyFill="1"/>
    <xf numFmtId="0" fontId="118" fillId="0" borderId="0" xfId="0" applyFont="1" applyFill="1"/>
    <xf numFmtId="0" fontId="119" fillId="0" borderId="8" xfId="0" applyFont="1" applyBorder="1" applyAlignment="1">
      <alignment horizontal="left" vertical="center"/>
    </xf>
    <xf numFmtId="0" fontId="119" fillId="0" borderId="8" xfId="0" applyFont="1" applyBorder="1" applyAlignment="1">
      <alignment horizontal="center" vertical="center"/>
    </xf>
    <xf numFmtId="0" fontId="119" fillId="0" borderId="0" xfId="0" applyFont="1" applyBorder="1" applyAlignment="1">
      <alignment horizontal="left" vertical="center"/>
    </xf>
    <xf numFmtId="0" fontId="118" fillId="0" borderId="0" xfId="0" applyFont="1" applyAlignment="1"/>
    <xf numFmtId="0" fontId="120" fillId="0" borderId="0" xfId="0" applyFont="1" applyAlignment="1">
      <alignment vertical="center"/>
    </xf>
    <xf numFmtId="0" fontId="121" fillId="0" borderId="0" xfId="0" applyFont="1" applyFill="1" applyAlignment="1">
      <alignment horizontal="center" vertical="center"/>
    </xf>
    <xf numFmtId="15" fontId="121" fillId="3" borderId="0" xfId="0" applyNumberFormat="1" applyFont="1" applyFill="1" applyAlignment="1">
      <alignment horizontal="center" vertical="center"/>
    </xf>
    <xf numFmtId="15" fontId="121" fillId="0" borderId="0" xfId="0" applyNumberFormat="1" applyFont="1" applyFill="1" applyAlignment="1">
      <alignment horizontal="center" vertical="center"/>
    </xf>
    <xf numFmtId="15" fontId="120" fillId="0" borderId="0" xfId="0" applyNumberFormat="1" applyFont="1" applyFill="1" applyAlignment="1">
      <alignment horizontal="center" vertical="center"/>
    </xf>
    <xf numFmtId="0" fontId="120" fillId="0" borderId="0" xfId="0" applyFont="1" applyFill="1" applyAlignment="1">
      <alignment horizontal="center" vertical="center"/>
    </xf>
    <xf numFmtId="41" fontId="120" fillId="0" borderId="0" xfId="0" applyNumberFormat="1" applyFont="1" applyAlignment="1">
      <alignment vertical="center"/>
    </xf>
    <xf numFmtId="41" fontId="120" fillId="0" borderId="0" xfId="0" applyNumberFormat="1" applyFont="1" applyFill="1" applyAlignment="1">
      <alignment vertical="center"/>
    </xf>
    <xf numFmtId="41" fontId="120" fillId="0" borderId="0" xfId="0" applyNumberFormat="1" applyFont="1" applyFill="1" applyAlignment="1">
      <alignment horizontal="center" vertical="center"/>
    </xf>
    <xf numFmtId="0" fontId="122" fillId="0" borderId="0" xfId="0" applyFont="1" applyAlignment="1">
      <alignment vertical="center"/>
    </xf>
    <xf numFmtId="41" fontId="120" fillId="0" borderId="0" xfId="0" applyNumberFormat="1" applyFont="1" applyAlignment="1">
      <alignment horizontal="right" vertical="center"/>
    </xf>
    <xf numFmtId="0" fontId="120" fillId="0" borderId="0" xfId="0" applyFont="1" applyAlignment="1">
      <alignment horizontal="right" vertical="center"/>
    </xf>
    <xf numFmtId="41" fontId="120" fillId="0" borderId="0" xfId="0" applyNumberFormat="1" applyFont="1" applyFill="1" applyAlignment="1">
      <alignment horizontal="right" vertical="center"/>
    </xf>
    <xf numFmtId="0" fontId="119" fillId="0" borderId="0" xfId="0" applyFont="1" applyFill="1" applyAlignment="1">
      <alignment vertical="center"/>
    </xf>
    <xf numFmtId="41" fontId="120" fillId="0" borderId="8" xfId="0" applyNumberFormat="1" applyFont="1" applyBorder="1" applyAlignment="1">
      <alignment horizontal="right" vertical="center"/>
    </xf>
    <xf numFmtId="41" fontId="120" fillId="0" borderId="0" xfId="0" applyNumberFormat="1" applyFont="1" applyBorder="1" applyAlignment="1">
      <alignment horizontal="center" vertical="center"/>
    </xf>
    <xf numFmtId="0" fontId="120" fillId="0" borderId="0" xfId="0" applyFont="1" applyFill="1" applyAlignment="1">
      <alignment vertical="center"/>
    </xf>
    <xf numFmtId="41" fontId="120" fillId="0" borderId="0" xfId="0" applyNumberFormat="1" applyFont="1" applyBorder="1" applyAlignment="1">
      <alignment horizontal="right" vertical="center"/>
    </xf>
    <xf numFmtId="0" fontId="120" fillId="0" borderId="0" xfId="0" applyFont="1" applyBorder="1" applyAlignment="1">
      <alignment horizontal="right" vertical="center"/>
    </xf>
    <xf numFmtId="0" fontId="122" fillId="0" borderId="0" xfId="0" applyFont="1" applyFill="1" applyAlignment="1">
      <alignment vertical="center"/>
    </xf>
    <xf numFmtId="41" fontId="120" fillId="2" borderId="0" xfId="0" applyNumberFormat="1" applyFont="1" applyFill="1" applyAlignment="1">
      <alignment vertical="center"/>
    </xf>
    <xf numFmtId="0" fontId="119" fillId="0" borderId="0" xfId="0" applyFont="1" applyAlignment="1">
      <alignment vertical="center"/>
    </xf>
    <xf numFmtId="41" fontId="120" fillId="0" borderId="16" xfId="0" applyNumberFormat="1" applyFont="1" applyBorder="1" applyAlignment="1">
      <alignment horizontal="right" vertical="center"/>
    </xf>
    <xf numFmtId="41" fontId="120" fillId="0" borderId="0" xfId="0" applyNumberFormat="1" applyFont="1" applyBorder="1" applyAlignment="1">
      <alignment vertical="center"/>
    </xf>
    <xf numFmtId="0" fontId="120" fillId="7" borderId="0" xfId="0" applyFont="1" applyFill="1" applyAlignment="1">
      <alignment vertical="center"/>
    </xf>
    <xf numFmtId="41" fontId="120" fillId="7" borderId="0" xfId="0" applyNumberFormat="1" applyFont="1" applyFill="1" applyAlignment="1">
      <alignment horizontal="right" vertical="center"/>
    </xf>
    <xf numFmtId="0" fontId="120" fillId="7" borderId="0" xfId="0" applyFont="1" applyFill="1" applyAlignment="1">
      <alignment horizontal="right" vertical="center"/>
    </xf>
    <xf numFmtId="41" fontId="120" fillId="7" borderId="0" xfId="0" applyNumberFormat="1" applyFont="1" applyFill="1" applyAlignment="1">
      <alignment vertical="center"/>
    </xf>
    <xf numFmtId="41" fontId="120" fillId="7" borderId="0" xfId="0" applyNumberFormat="1" applyFont="1" applyFill="1" applyAlignment="1">
      <alignment horizontal="center" vertical="center"/>
    </xf>
    <xf numFmtId="41" fontId="120" fillId="0" borderId="1" xfId="0" applyNumberFormat="1" applyFont="1" applyFill="1" applyBorder="1" applyAlignment="1">
      <alignment horizontal="right" vertical="center"/>
    </xf>
    <xf numFmtId="0" fontId="120" fillId="0" borderId="0" xfId="0" applyFont="1" applyFill="1" applyBorder="1" applyAlignment="1">
      <alignment horizontal="right" vertical="center"/>
    </xf>
    <xf numFmtId="41" fontId="120" fillId="0" borderId="0" xfId="0" applyNumberFormat="1" applyFont="1" applyFill="1" applyBorder="1" applyAlignment="1">
      <alignment vertical="center"/>
    </xf>
    <xf numFmtId="41" fontId="120" fillId="0" borderId="0" xfId="0" applyNumberFormat="1" applyFont="1" applyFill="1" applyBorder="1" applyAlignment="1">
      <alignment horizontal="center" vertical="center"/>
    </xf>
    <xf numFmtId="41" fontId="120" fillId="0" borderId="0" xfId="0" applyNumberFormat="1" applyFont="1" applyFill="1" applyBorder="1" applyAlignment="1">
      <alignment horizontal="right" vertical="center"/>
    </xf>
    <xf numFmtId="41" fontId="120" fillId="0" borderId="1" xfId="0" applyNumberFormat="1" applyFont="1" applyBorder="1" applyAlignment="1">
      <alignment horizontal="right" vertical="center"/>
    </xf>
    <xf numFmtId="41" fontId="120" fillId="0" borderId="19" xfId="0" applyNumberFormat="1" applyFont="1" applyFill="1" applyBorder="1" applyAlignment="1">
      <alignment horizontal="right" vertical="center"/>
    </xf>
    <xf numFmtId="41" fontId="120" fillId="0" borderId="19" xfId="0" applyNumberFormat="1" applyFont="1" applyBorder="1" applyAlignment="1">
      <alignment horizontal="right" vertical="center"/>
    </xf>
    <xf numFmtId="0" fontId="119" fillId="7" borderId="0" xfId="0" applyFont="1" applyFill="1" applyAlignment="1">
      <alignment vertical="center"/>
    </xf>
    <xf numFmtId="41" fontId="118" fillId="0" borderId="0" xfId="0" applyNumberFormat="1" applyFont="1"/>
    <xf numFmtId="43" fontId="118" fillId="0" borderId="0" xfId="1" applyFont="1" applyAlignment="1"/>
    <xf numFmtId="41" fontId="64" fillId="3" borderId="0" xfId="5" applyNumberFormat="1" applyFill="1" applyBorder="1" applyAlignment="1"/>
    <xf numFmtId="41" fontId="49" fillId="2" borderId="0" xfId="0" applyNumberFormat="1" applyFont="1" applyFill="1" applyAlignment="1">
      <alignment horizontal="right" vertical="center"/>
    </xf>
    <xf numFmtId="41" fontId="49" fillId="2" borderId="1" xfId="0" applyNumberFormat="1" applyFont="1" applyFill="1" applyBorder="1" applyAlignment="1">
      <alignment horizontal="right" vertical="center"/>
    </xf>
    <xf numFmtId="41" fontId="49" fillId="2" borderId="0" xfId="0" applyNumberFormat="1" applyFont="1" applyFill="1" applyBorder="1" applyAlignment="1">
      <alignment horizontal="right" vertical="center"/>
    </xf>
    <xf numFmtId="0" fontId="49" fillId="0" borderId="0" xfId="0" applyFont="1" applyFill="1" applyAlignment="1">
      <alignment horizontal="right" vertical="center"/>
    </xf>
    <xf numFmtId="0" fontId="6" fillId="0" borderId="0" xfId="11" applyNumberFormat="1" applyFont="1">
      <alignment vertical="center"/>
    </xf>
    <xf numFmtId="0" fontId="14" fillId="0" borderId="0" xfId="11" applyNumberFormat="1" applyFont="1">
      <alignment vertical="center"/>
    </xf>
    <xf numFmtId="0" fontId="6" fillId="0" borderId="0" xfId="11" applyNumberFormat="1" applyFont="1" applyAlignment="1">
      <alignment horizontal="left" vertical="center"/>
    </xf>
    <xf numFmtId="0" fontId="6" fillId="0" borderId="0" xfId="11" applyNumberFormat="1" applyFont="1" applyBorder="1">
      <alignment vertical="center"/>
    </xf>
    <xf numFmtId="0" fontId="6" fillId="0" borderId="1" xfId="11" applyNumberFormat="1" applyFont="1" applyBorder="1">
      <alignment vertical="center"/>
    </xf>
    <xf numFmtId="15" fontId="6" fillId="0" borderId="0" xfId="11" applyNumberFormat="1" applyFont="1">
      <alignment vertical="center"/>
    </xf>
    <xf numFmtId="4" fontId="6" fillId="0" borderId="0" xfId="11" applyNumberFormat="1" applyFont="1">
      <alignment vertical="center"/>
    </xf>
    <xf numFmtId="43" fontId="6" fillId="0" borderId="0" xfId="1" applyFont="1">
      <alignment vertical="center"/>
    </xf>
    <xf numFmtId="41" fontId="6" fillId="0" borderId="0" xfId="11" applyNumberFormat="1" applyFont="1">
      <alignment vertical="center"/>
    </xf>
    <xf numFmtId="0" fontId="64" fillId="0" borderId="0" xfId="12" applyBorder="1"/>
    <xf numFmtId="0" fontId="64" fillId="0" borderId="0" xfId="12" applyBorder="1" applyAlignment="1">
      <alignment horizontal="left"/>
    </xf>
    <xf numFmtId="0" fontId="64" fillId="0" borderId="0" xfId="12" applyAlignment="1">
      <alignment horizontal="left"/>
    </xf>
    <xf numFmtId="0" fontId="64" fillId="0" borderId="0" xfId="12"/>
    <xf numFmtId="0" fontId="65" fillId="0" borderId="0" xfId="12" applyFont="1" applyBorder="1"/>
    <xf numFmtId="0" fontId="64" fillId="0" borderId="0" xfId="12" applyFill="1" applyBorder="1" applyAlignment="1">
      <alignment horizontal="left"/>
    </xf>
    <xf numFmtId="0" fontId="64" fillId="7" borderId="0" xfId="12" applyFill="1" applyBorder="1" applyAlignment="1">
      <alignment horizontal="left"/>
    </xf>
    <xf numFmtId="0" fontId="64" fillId="0" borderId="0" xfId="12" applyBorder="1" applyAlignment="1">
      <alignment wrapText="1"/>
    </xf>
    <xf numFmtId="0" fontId="65" fillId="0" borderId="0" xfId="12" applyFont="1" applyFill="1" applyBorder="1" applyAlignment="1">
      <alignment wrapText="1"/>
    </xf>
    <xf numFmtId="0" fontId="65" fillId="0" borderId="0" xfId="12" applyFont="1" applyAlignment="1">
      <alignment horizontal="left" wrapText="1"/>
    </xf>
    <xf numFmtId="0" fontId="64" fillId="0" borderId="0" xfId="12" applyAlignment="1">
      <alignment wrapText="1"/>
    </xf>
    <xf numFmtId="0" fontId="64" fillId="0" borderId="0" xfId="12" applyFill="1" applyBorder="1"/>
    <xf numFmtId="0" fontId="64" fillId="7" borderId="0" xfId="12" applyFill="1" applyAlignment="1">
      <alignment horizontal="left"/>
    </xf>
    <xf numFmtId="0" fontId="64" fillId="0" borderId="0" xfId="12" applyFill="1"/>
    <xf numFmtId="0" fontId="64" fillId="0" borderId="0" xfId="12" applyFill="1" applyAlignment="1">
      <alignment horizontal="left"/>
    </xf>
    <xf numFmtId="0" fontId="2" fillId="0" borderId="0" xfId="12" applyFont="1" applyFill="1" applyBorder="1"/>
    <xf numFmtId="0" fontId="2" fillId="7" borderId="0" xfId="12" applyFont="1" applyFill="1" applyBorder="1"/>
    <xf numFmtId="0" fontId="65" fillId="0" borderId="0" xfId="12" applyFont="1" applyFill="1" applyBorder="1"/>
    <xf numFmtId="0" fontId="64" fillId="0" borderId="0" xfId="12" applyBorder="1" applyAlignment="1">
      <alignment horizontal="left" wrapText="1"/>
    </xf>
    <xf numFmtId="0" fontId="0" fillId="3" borderId="0" xfId="0" applyFill="1" applyAlignment="1">
      <alignment horizontal="left"/>
    </xf>
    <xf numFmtId="0" fontId="0" fillId="3" borderId="0" xfId="0" quotePrefix="1" applyFill="1" applyAlignment="1">
      <alignment horizontal="left"/>
    </xf>
    <xf numFmtId="0" fontId="75" fillId="0" borderId="0" xfId="0" applyFont="1" applyFill="1" applyAlignment="1">
      <alignment horizontal="left"/>
    </xf>
    <xf numFmtId="0" fontId="0" fillId="0" borderId="0" xfId="0" quotePrefix="1" applyFill="1" applyAlignment="1">
      <alignment horizontal="left"/>
    </xf>
    <xf numFmtId="0" fontId="0" fillId="0" borderId="0" xfId="0" applyFill="1" applyAlignment="1">
      <alignment horizontal="left"/>
    </xf>
    <xf numFmtId="0" fontId="0" fillId="0" borderId="0" xfId="0" applyAlignment="1">
      <alignment horizontal="left" vertical="top" wrapText="1"/>
    </xf>
    <xf numFmtId="39" fontId="0" fillId="3" borderId="0" xfId="0" applyNumberFormat="1" applyFill="1" applyAlignment="1">
      <alignment horizontal="left"/>
    </xf>
    <xf numFmtId="167" fontId="0" fillId="3" borderId="0" xfId="0" quotePrefix="1" applyNumberFormat="1" applyFill="1" applyAlignment="1">
      <alignment horizontal="left"/>
    </xf>
    <xf numFmtId="167" fontId="0" fillId="3" borderId="0" xfId="0" applyNumberFormat="1" applyFill="1" applyAlignment="1">
      <alignment horizontal="left"/>
    </xf>
    <xf numFmtId="0" fontId="26" fillId="0" borderId="0" xfId="0" applyFont="1" applyAlignment="1">
      <alignment horizontal="center" vertical="center"/>
    </xf>
    <xf numFmtId="0" fontId="21" fillId="0" borderId="0" xfId="0" applyFont="1" applyAlignment="1">
      <alignment horizontal="distributed"/>
    </xf>
    <xf numFmtId="0" fontId="15" fillId="0" borderId="0" xfId="0" applyFont="1" applyAlignment="1">
      <alignment horizontal="center" vertical="center"/>
    </xf>
    <xf numFmtId="0" fontId="16" fillId="3" borderId="0" xfId="0" applyFont="1" applyFill="1" applyAlignment="1">
      <alignment horizontal="center" vertic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xf numFmtId="0" fontId="18" fillId="0" borderId="13" xfId="0" applyFont="1" applyBorder="1" applyAlignment="1">
      <alignment horizontal="center" vertical="center"/>
    </xf>
    <xf numFmtId="0" fontId="18" fillId="0" borderId="0" xfId="0" applyFont="1" applyBorder="1" applyAlignment="1">
      <alignment horizontal="center" vertical="center"/>
    </xf>
    <xf numFmtId="0" fontId="18" fillId="0" borderId="14" xfId="0" applyFont="1" applyBorder="1" applyAlignment="1">
      <alignment horizontal="center" vertical="center"/>
    </xf>
    <xf numFmtId="0" fontId="18" fillId="0" borderId="11" xfId="0" applyFont="1" applyBorder="1" applyAlignment="1">
      <alignment horizontal="center" vertical="center"/>
    </xf>
    <xf numFmtId="0" fontId="18" fillId="0" borderId="1" xfId="0" applyFont="1" applyBorder="1" applyAlignment="1">
      <alignment horizontal="center" vertical="center"/>
    </xf>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39" fontId="18" fillId="0" borderId="15" xfId="0" applyNumberFormat="1" applyFont="1" applyBorder="1" applyAlignment="1">
      <alignment horizontal="center" vertical="center"/>
    </xf>
    <xf numFmtId="39" fontId="18" fillId="0" borderId="16" xfId="0" applyNumberFormat="1" applyFont="1" applyBorder="1" applyAlignment="1">
      <alignment horizontal="center" vertical="center"/>
    </xf>
    <xf numFmtId="39" fontId="18" fillId="0" borderId="17" xfId="0" applyNumberFormat="1" applyFont="1" applyBorder="1" applyAlignment="1">
      <alignment horizontal="center" vertical="center"/>
    </xf>
    <xf numFmtId="0" fontId="18" fillId="0" borderId="7" xfId="0" applyFont="1" applyBorder="1" applyAlignment="1">
      <alignment horizontal="center" vertical="center" wrapText="1"/>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12" xfId="0" applyFont="1" applyBorder="1" applyAlignment="1">
      <alignment horizontal="center" vertical="center" wrapText="1"/>
    </xf>
    <xf numFmtId="0" fontId="18" fillId="0" borderId="2" xfId="0" applyFont="1" applyBorder="1" applyAlignment="1">
      <alignment horizontal="center" vertical="center"/>
    </xf>
    <xf numFmtId="166" fontId="18" fillId="0" borderId="2" xfId="1" applyNumberFormat="1" applyFont="1" applyBorder="1" applyAlignment="1">
      <alignment horizontal="center" vertical="center"/>
    </xf>
    <xf numFmtId="166" fontId="18" fillId="0" borderId="7" xfId="0" applyNumberFormat="1" applyFont="1" applyBorder="1" applyAlignment="1">
      <alignment horizontal="center" vertical="center"/>
    </xf>
    <xf numFmtId="166" fontId="18" fillId="0" borderId="8" xfId="0" applyNumberFormat="1" applyFont="1" applyBorder="1" applyAlignment="1">
      <alignment horizontal="center" vertical="center"/>
    </xf>
    <xf numFmtId="166" fontId="18" fillId="0" borderId="9" xfId="0" applyNumberFormat="1" applyFont="1" applyBorder="1" applyAlignment="1">
      <alignment horizontal="center" vertical="center"/>
    </xf>
    <xf numFmtId="166" fontId="18" fillId="0" borderId="13" xfId="0" applyNumberFormat="1" applyFont="1" applyBorder="1" applyAlignment="1">
      <alignment horizontal="center" vertical="center"/>
    </xf>
    <xf numFmtId="166" fontId="18" fillId="0" borderId="0" xfId="0" applyNumberFormat="1" applyFont="1" applyBorder="1" applyAlignment="1">
      <alignment horizontal="center" vertical="center"/>
    </xf>
    <xf numFmtId="166" fontId="18" fillId="0" borderId="14" xfId="0" applyNumberFormat="1" applyFont="1" applyBorder="1" applyAlignment="1">
      <alignment horizontal="center" vertical="center"/>
    </xf>
    <xf numFmtId="166" fontId="18" fillId="0" borderId="11" xfId="0" applyNumberFormat="1" applyFont="1" applyBorder="1" applyAlignment="1">
      <alignment horizontal="center" vertical="center"/>
    </xf>
    <xf numFmtId="166" fontId="18" fillId="0" borderId="1" xfId="0" applyNumberFormat="1" applyFont="1" applyBorder="1" applyAlignment="1">
      <alignment horizontal="center" vertical="center"/>
    </xf>
    <xf numFmtId="166" fontId="18" fillId="0" borderId="12" xfId="0" applyNumberFormat="1" applyFont="1" applyBorder="1" applyAlignment="1">
      <alignment horizontal="center" vertical="center"/>
    </xf>
    <xf numFmtId="43" fontId="18" fillId="0" borderId="2" xfId="1" applyFont="1" applyBorder="1" applyAlignment="1">
      <alignment horizontal="center" vertical="center"/>
    </xf>
    <xf numFmtId="43" fontId="18" fillId="2" borderId="2" xfId="1" applyFont="1" applyFill="1" applyBorder="1" applyAlignment="1">
      <alignment horizontal="center" vertical="center"/>
    </xf>
    <xf numFmtId="3" fontId="18" fillId="0" borderId="2" xfId="0" applyNumberFormat="1" applyFont="1" applyBorder="1" applyAlignment="1">
      <alignment horizontal="center" vertical="center"/>
    </xf>
    <xf numFmtId="0" fontId="20" fillId="2" borderId="6" xfId="0" applyFont="1" applyFill="1" applyBorder="1" applyAlignment="1">
      <alignment horizontal="center" vertical="center"/>
    </xf>
    <xf numFmtId="0" fontId="20" fillId="0" borderId="10" xfId="0" applyFont="1" applyFill="1" applyBorder="1" applyAlignment="1">
      <alignment horizontal="center" vertical="center"/>
    </xf>
    <xf numFmtId="0" fontId="80" fillId="0" borderId="0" xfId="0" applyFont="1" applyAlignment="1">
      <alignment horizontal="left" vertical="top" wrapText="1"/>
    </xf>
    <xf numFmtId="0" fontId="80" fillId="0" borderId="0" xfId="0" applyFont="1" applyAlignment="1">
      <alignment horizontal="left" vertical="top" wrapText="1" readingOrder="1"/>
    </xf>
    <xf numFmtId="0" fontId="6" fillId="0" borderId="0" xfId="0" applyFont="1" applyAlignment="1">
      <alignment horizontal="justify" vertical="top" wrapText="1"/>
    </xf>
    <xf numFmtId="0" fontId="94" fillId="0" borderId="0" xfId="0" applyFont="1" applyAlignment="1">
      <alignment horizontal="left" wrapText="1"/>
    </xf>
    <xf numFmtId="171" fontId="12" fillId="0" borderId="0" xfId="0" applyNumberFormat="1" applyFont="1" applyAlignment="1">
      <alignment horizontal="justify" vertical="top" wrapText="1"/>
    </xf>
    <xf numFmtId="0" fontId="22" fillId="0" borderId="0" xfId="0" applyFont="1" applyAlignment="1">
      <alignment horizontal="center" vertical="center"/>
    </xf>
    <xf numFmtId="0" fontId="24" fillId="0" borderId="0" xfId="0" applyFont="1" applyAlignment="1">
      <alignment horizontal="center" vertical="center"/>
    </xf>
    <xf numFmtId="0" fontId="12" fillId="0" borderId="0" xfId="0" applyFont="1" applyAlignment="1">
      <alignment horizontal="distributed"/>
    </xf>
    <xf numFmtId="0" fontId="12" fillId="0" borderId="0" xfId="0" applyFont="1" applyAlignment="1">
      <alignment horizontal="justify" vertical="top" wrapText="1"/>
    </xf>
    <xf numFmtId="0" fontId="12" fillId="0" borderId="0" xfId="0" applyFont="1" applyAlignment="1">
      <alignment horizontal="justify" vertical="top"/>
    </xf>
    <xf numFmtId="0" fontId="12" fillId="0" borderId="0" xfId="0" applyFont="1" applyAlignment="1">
      <alignment horizontal="left"/>
    </xf>
    <xf numFmtId="0" fontId="12" fillId="7" borderId="0" xfId="0" applyFont="1" applyFill="1" applyAlignment="1">
      <alignment horizontal="distributed"/>
    </xf>
    <xf numFmtId="0" fontId="6" fillId="0" borderId="0" xfId="0" applyFont="1" applyBorder="1" applyAlignment="1">
      <alignment horizontal="left" vertical="top" wrapText="1"/>
    </xf>
    <xf numFmtId="0" fontId="6" fillId="0" borderId="0" xfId="0" applyFont="1" applyBorder="1" applyAlignment="1">
      <alignment horizontal="left" wrapText="1"/>
    </xf>
    <xf numFmtId="0" fontId="12" fillId="0" borderId="0" xfId="0" applyFont="1" applyAlignment="1">
      <alignment horizontal="left" vertical="center"/>
    </xf>
    <xf numFmtId="0" fontId="8" fillId="0" borderId="0" xfId="0" applyFont="1" applyAlignment="1">
      <alignment horizontal="left" vertical="center"/>
    </xf>
    <xf numFmtId="0" fontId="10" fillId="2" borderId="4" xfId="0" applyFont="1" applyFill="1" applyBorder="1" applyAlignment="1">
      <alignment horizontal="left" vertical="center" wrapText="1"/>
    </xf>
    <xf numFmtId="0" fontId="8" fillId="2" borderId="0" xfId="0" applyFont="1" applyFill="1" applyBorder="1" applyAlignment="1">
      <alignment horizontal="left" vertical="top" wrapText="1"/>
    </xf>
    <xf numFmtId="0" fontId="8" fillId="2" borderId="1" xfId="0" applyFont="1" applyFill="1" applyBorder="1" applyAlignment="1">
      <alignment horizontal="left" vertical="top" wrapText="1"/>
    </xf>
    <xf numFmtId="0" fontId="6" fillId="0" borderId="0" xfId="0" applyFont="1" applyAlignment="1">
      <alignment horizontal="center" vertical="center"/>
    </xf>
    <xf numFmtId="0" fontId="8" fillId="0" borderId="0" xfId="0" applyFont="1" applyAlignment="1">
      <alignment horizontal="justify" vertical="top"/>
    </xf>
    <xf numFmtId="0" fontId="8" fillId="0" borderId="0" xfId="0" applyFont="1" applyAlignment="1">
      <alignment horizontal="distributed" vertical="center"/>
    </xf>
    <xf numFmtId="0" fontId="8" fillId="0" borderId="0" xfId="0" applyFont="1" applyBorder="1" applyAlignment="1">
      <alignment horizontal="left" vertical="center"/>
    </xf>
    <xf numFmtId="0" fontId="8" fillId="2" borderId="1" xfId="0" applyFont="1" applyFill="1" applyBorder="1" applyAlignment="1">
      <alignment horizontal="left" vertical="center"/>
    </xf>
    <xf numFmtId="0" fontId="7" fillId="0" borderId="0" xfId="0" applyFont="1" applyAlignment="1">
      <alignment horizontal="center" vertical="center"/>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2" fillId="0" borderId="0" xfId="3" applyFont="1" applyAlignment="1">
      <alignment horizontal="justify" vertical="top"/>
    </xf>
    <xf numFmtId="0" fontId="96" fillId="0" borderId="7" xfId="3" applyFont="1" applyBorder="1" applyAlignment="1">
      <alignment horizontal="center" vertical="center"/>
    </xf>
    <xf numFmtId="0" fontId="96" fillId="0" borderId="8" xfId="3" applyFont="1" applyBorder="1" applyAlignment="1">
      <alignment horizontal="center" vertical="center"/>
    </xf>
    <xf numFmtId="0" fontId="96" fillId="0" borderId="9" xfId="3" applyFont="1" applyBorder="1" applyAlignment="1">
      <alignment horizontal="center" vertical="center"/>
    </xf>
    <xf numFmtId="0" fontId="96" fillId="0" borderId="11" xfId="3" applyFont="1" applyBorder="1" applyAlignment="1">
      <alignment horizontal="center" vertical="center"/>
    </xf>
    <xf numFmtId="0" fontId="96" fillId="0" borderId="1" xfId="3" applyFont="1" applyBorder="1" applyAlignment="1">
      <alignment horizontal="center" vertical="center"/>
    </xf>
    <xf numFmtId="0" fontId="96" fillId="0" borderId="12" xfId="3" applyFont="1" applyBorder="1" applyAlignment="1">
      <alignment horizontal="center" vertical="center"/>
    </xf>
    <xf numFmtId="0" fontId="98" fillId="0" borderId="0" xfId="3" applyFont="1" applyAlignment="1">
      <alignment horizontal="center" vertical="center"/>
    </xf>
    <xf numFmtId="0" fontId="99" fillId="0" borderId="0" xfId="3" applyFont="1" applyAlignment="1">
      <alignment horizontal="center" vertical="center"/>
    </xf>
    <xf numFmtId="0" fontId="100" fillId="0" borderId="7" xfId="3" applyFont="1" applyBorder="1" applyAlignment="1">
      <alignment horizontal="center" vertical="center" wrapText="1"/>
    </xf>
    <xf numFmtId="0" fontId="96" fillId="0" borderId="8" xfId="3" applyFont="1" applyBorder="1" applyAlignment="1">
      <alignment horizontal="center" vertical="center" wrapText="1"/>
    </xf>
    <xf numFmtId="0" fontId="96" fillId="0" borderId="9" xfId="3" applyFont="1" applyBorder="1" applyAlignment="1">
      <alignment horizontal="center" vertical="center" wrapText="1"/>
    </xf>
    <xf numFmtId="0" fontId="96" fillId="0" borderId="13" xfId="3" applyFont="1" applyBorder="1" applyAlignment="1">
      <alignment horizontal="center" vertical="center" wrapText="1"/>
    </xf>
    <xf numFmtId="0" fontId="96" fillId="0" borderId="0" xfId="3" applyFont="1" applyBorder="1" applyAlignment="1">
      <alignment horizontal="center" vertical="center" wrapText="1"/>
    </xf>
    <xf numFmtId="0" fontId="96" fillId="0" borderId="14" xfId="3" applyFont="1" applyBorder="1" applyAlignment="1">
      <alignment horizontal="center" vertical="center" wrapText="1"/>
    </xf>
    <xf numFmtId="0" fontId="96" fillId="0" borderId="11" xfId="3" applyFont="1" applyBorder="1" applyAlignment="1">
      <alignment horizontal="center" vertical="center" wrapText="1"/>
    </xf>
    <xf numFmtId="0" fontId="96" fillId="0" borderId="1" xfId="3" applyFont="1" applyBorder="1" applyAlignment="1">
      <alignment horizontal="center" vertical="center" wrapText="1"/>
    </xf>
    <xf numFmtId="0" fontId="96" fillId="0" borderId="12" xfId="3" applyFont="1" applyBorder="1" applyAlignment="1">
      <alignment horizontal="center" vertical="center" wrapText="1"/>
    </xf>
    <xf numFmtId="0" fontId="109" fillId="0" borderId="0" xfId="3" applyFont="1" applyBorder="1" applyAlignment="1">
      <alignment horizontal="center" vertical="center"/>
    </xf>
    <xf numFmtId="15" fontId="96" fillId="0" borderId="0" xfId="3" quotePrefix="1" applyNumberFormat="1" applyFont="1" applyAlignment="1">
      <alignment horizontal="center" vertical="center"/>
    </xf>
    <xf numFmtId="0" fontId="96" fillId="0" borderId="14" xfId="3" applyFont="1" applyBorder="1" applyAlignment="1">
      <alignment horizontal="center" vertical="center"/>
    </xf>
    <xf numFmtId="39" fontId="96" fillId="0" borderId="0" xfId="3" applyNumberFormat="1" applyFont="1" applyBorder="1" applyAlignment="1">
      <alignment horizontal="center"/>
    </xf>
    <xf numFmtId="39" fontId="96" fillId="0" borderId="14" xfId="3" applyNumberFormat="1" applyFont="1" applyBorder="1" applyAlignment="1">
      <alignment horizontal="center"/>
    </xf>
    <xf numFmtId="0" fontId="104" fillId="0" borderId="0" xfId="3" applyFont="1" applyAlignment="1">
      <alignment horizontal="center" vertical="center"/>
    </xf>
    <xf numFmtId="0" fontId="6" fillId="0" borderId="0" xfId="11" applyNumberFormat="1" applyFont="1" applyAlignment="1">
      <alignment horizontal="distributed" vertical="center" wrapText="1"/>
    </xf>
    <xf numFmtId="0" fontId="57" fillId="0" borderId="0" xfId="11" applyNumberFormat="1" applyFont="1" applyAlignment="1">
      <alignment horizontal="center" vertical="center"/>
    </xf>
    <xf numFmtId="0" fontId="14" fillId="0" borderId="0" xfId="11" applyNumberFormat="1" applyFont="1" applyAlignment="1">
      <alignment horizontal="center" vertical="center"/>
    </xf>
    <xf numFmtId="0" fontId="6" fillId="0" borderId="0" xfId="11" applyNumberFormat="1" applyFont="1" applyAlignment="1">
      <alignment horizontal="left" vertical="center" wrapText="1"/>
    </xf>
    <xf numFmtId="0" fontId="6" fillId="0" borderId="8" xfId="11" applyNumberFormat="1" applyFont="1" applyBorder="1" applyAlignment="1">
      <alignment horizontal="center" vertical="center"/>
    </xf>
    <xf numFmtId="0" fontId="6" fillId="0" borderId="0" xfId="11" applyNumberFormat="1" applyFont="1" applyAlignment="1">
      <alignment horizontal="left" vertical="center"/>
    </xf>
    <xf numFmtId="0" fontId="14" fillId="3" borderId="0" xfId="0" applyFont="1" applyFill="1" applyAlignment="1">
      <alignment horizontal="center" vertical="center"/>
    </xf>
    <xf numFmtId="0" fontId="7" fillId="0" borderId="0" xfId="0" applyFont="1" applyAlignment="1">
      <alignment horizontal="center"/>
    </xf>
    <xf numFmtId="0" fontId="14" fillId="0" borderId="0" xfId="0" applyFont="1" applyAlignment="1">
      <alignment horizontal="center" vertical="center"/>
    </xf>
    <xf numFmtId="172" fontId="6" fillId="0" borderId="0" xfId="0" applyNumberFormat="1" applyFont="1" applyAlignment="1">
      <alignment horizontal="justify" vertical="top"/>
    </xf>
    <xf numFmtId="0" fontId="28" fillId="0" borderId="0" xfId="0" applyFont="1" applyFill="1" applyAlignment="1">
      <alignment horizontal="center" vertical="top" wrapText="1"/>
    </xf>
    <xf numFmtId="0" fontId="31" fillId="0" borderId="0" xfId="0" applyFont="1" applyAlignment="1">
      <alignment horizontal="center" vertical="center"/>
    </xf>
    <xf numFmtId="0" fontId="31" fillId="0" borderId="0" xfId="0" applyFont="1" applyFill="1" applyAlignment="1">
      <alignment horizontal="center" vertical="center"/>
    </xf>
    <xf numFmtId="0" fontId="7" fillId="3" borderId="0" xfId="0" applyFont="1" applyFill="1" applyAlignment="1">
      <alignment horizontal="center" vertical="center"/>
    </xf>
    <xf numFmtId="0" fontId="6" fillId="0" borderId="0" xfId="0" applyFont="1" applyFill="1" applyAlignment="1">
      <alignment horizontal="center" vertical="top" wrapText="1"/>
    </xf>
    <xf numFmtId="0" fontId="31" fillId="0" borderId="0" xfId="8" applyFont="1" applyAlignment="1">
      <alignment horizontal="center" vertical="center"/>
    </xf>
    <xf numFmtId="0" fontId="27" fillId="0" borderId="0" xfId="0" applyFont="1" applyAlignment="1">
      <alignment horizontal="center" vertical="center"/>
    </xf>
    <xf numFmtId="0" fontId="27" fillId="3" borderId="0" xfId="0" applyFont="1" applyFill="1" applyAlignment="1">
      <alignment horizontal="center" vertical="center"/>
    </xf>
    <xf numFmtId="0" fontId="29" fillId="0" borderId="0" xfId="0" applyFont="1" applyAlignment="1">
      <alignment horizontal="center" vertical="center"/>
    </xf>
    <xf numFmtId="0" fontId="10" fillId="0" borderId="9" xfId="0" applyFont="1" applyBorder="1" applyAlignment="1">
      <alignment horizontal="justify" vertical="top" wrapText="1"/>
    </xf>
    <xf numFmtId="0" fontId="10" fillId="0" borderId="14" xfId="0" applyFont="1" applyBorder="1" applyAlignment="1">
      <alignment horizontal="justify" vertical="top" wrapText="1"/>
    </xf>
    <xf numFmtId="0" fontId="10" fillId="0" borderId="13" xfId="0" applyFont="1" applyBorder="1" applyAlignment="1">
      <alignment horizontal="left" vertical="center"/>
    </xf>
    <xf numFmtId="0" fontId="10" fillId="0" borderId="0" xfId="0" applyFont="1" applyBorder="1" applyAlignment="1">
      <alignment horizontal="left" vertical="center"/>
    </xf>
    <xf numFmtId="0" fontId="10" fillId="0" borderId="14" xfId="0" applyFont="1" applyBorder="1" applyAlignment="1">
      <alignment horizontal="left" vertical="center"/>
    </xf>
    <xf numFmtId="0" fontId="21" fillId="0" borderId="0" xfId="0" quotePrefix="1" applyFont="1" applyBorder="1" applyAlignment="1">
      <alignment horizontal="center"/>
    </xf>
    <xf numFmtId="0" fontId="34" fillId="0" borderId="0" xfId="0" applyFont="1" applyBorder="1" applyAlignment="1">
      <alignment horizontal="center"/>
    </xf>
    <xf numFmtId="0" fontId="17" fillId="0" borderId="7" xfId="0" applyFont="1" applyFill="1" applyBorder="1" applyAlignment="1">
      <alignment horizontal="left" vertical="top" wrapText="1"/>
    </xf>
    <xf numFmtId="0" fontId="17" fillId="0" borderId="13" xfId="0" applyFont="1" applyFill="1" applyBorder="1" applyAlignment="1">
      <alignment horizontal="left" vertical="top" wrapText="1"/>
    </xf>
    <xf numFmtId="0" fontId="17" fillId="0" borderId="11" xfId="0" applyFont="1" applyFill="1" applyBorder="1" applyAlignment="1">
      <alignment horizontal="left" vertical="top" wrapText="1"/>
    </xf>
    <xf numFmtId="0" fontId="10" fillId="0" borderId="7" xfId="0" applyFont="1" applyBorder="1" applyAlignment="1">
      <alignment horizontal="justify" vertical="top" wrapText="1"/>
    </xf>
    <xf numFmtId="0" fontId="10" fillId="0" borderId="13" xfId="0" applyFont="1" applyBorder="1" applyAlignment="1">
      <alignment horizontal="justify" vertical="top" wrapText="1"/>
    </xf>
    <xf numFmtId="0" fontId="10" fillId="0" borderId="8" xfId="0" applyFont="1" applyBorder="1" applyAlignment="1">
      <alignment horizontal="justify" vertical="top" wrapText="1"/>
    </xf>
    <xf numFmtId="0" fontId="10" fillId="0" borderId="0" xfId="0" applyFont="1" applyBorder="1" applyAlignment="1">
      <alignment horizontal="justify" vertical="top" wrapText="1"/>
    </xf>
    <xf numFmtId="0" fontId="15" fillId="0" borderId="15" xfId="0" applyFont="1" applyBorder="1" applyAlignment="1">
      <alignment horizontal="justify" vertical="center" wrapText="1"/>
    </xf>
    <xf numFmtId="0" fontId="15" fillId="0" borderId="16" xfId="0" applyFont="1" applyBorder="1" applyAlignment="1">
      <alignment horizontal="justify" vertical="center" wrapText="1"/>
    </xf>
    <xf numFmtId="0" fontId="15" fillId="0" borderId="8" xfId="0" applyFont="1" applyBorder="1" applyAlignment="1">
      <alignment horizontal="justify" vertical="center" wrapText="1"/>
    </xf>
    <xf numFmtId="0" fontId="15" fillId="0" borderId="9" xfId="0" applyFont="1" applyBorder="1" applyAlignment="1">
      <alignment horizontal="justify" vertical="center" wrapText="1"/>
    </xf>
    <xf numFmtId="0" fontId="10" fillId="4" borderId="7"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1" xfId="0" applyFont="1" applyFill="1" applyBorder="1" applyAlignment="1">
      <alignment horizontal="center" vertical="top" wrapText="1"/>
    </xf>
    <xf numFmtId="0" fontId="15" fillId="0" borderId="17" xfId="0" applyFont="1" applyBorder="1" applyAlignment="1">
      <alignment horizontal="justify" vertical="center" wrapText="1"/>
    </xf>
    <xf numFmtId="0" fontId="10" fillId="0" borderId="7" xfId="0" applyFont="1" applyBorder="1" applyAlignment="1">
      <alignment horizontal="left" vertical="top" wrapText="1"/>
    </xf>
    <xf numFmtId="0" fontId="10" fillId="0" borderId="9"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8" xfId="0" applyFont="1" applyBorder="1" applyAlignment="1">
      <alignment horizontal="justify" vertical="center" wrapText="1"/>
    </xf>
    <xf numFmtId="0" fontId="10" fillId="0" borderId="0" xfId="0" applyFont="1" applyBorder="1" applyAlignment="1">
      <alignment horizontal="justify" vertical="center" wrapText="1"/>
    </xf>
    <xf numFmtId="0" fontId="10" fillId="0" borderId="9" xfId="0" applyFont="1" applyBorder="1" applyAlignment="1">
      <alignment horizontal="justify" vertical="center" wrapText="1"/>
    </xf>
    <xf numFmtId="0" fontId="10" fillId="0" borderId="14" xfId="0" applyFont="1" applyBorder="1" applyAlignment="1">
      <alignment horizontal="justify" vertical="center" wrapText="1"/>
    </xf>
    <xf numFmtId="0" fontId="10" fillId="4" borderId="3" xfId="0" applyFont="1" applyFill="1" applyBorder="1" applyAlignment="1">
      <alignment horizontal="center" vertical="top" wrapText="1"/>
    </xf>
    <xf numFmtId="0" fontId="10" fillId="4" borderId="4" xfId="0" applyFont="1" applyFill="1" applyBorder="1" applyAlignment="1">
      <alignment horizontal="center" vertical="top" wrapText="1"/>
    </xf>
    <xf numFmtId="0" fontId="10" fillId="0" borderId="11" xfId="0" applyFont="1" applyBorder="1" applyAlignment="1">
      <alignment horizontal="justify" vertical="top" wrapText="1"/>
    </xf>
    <xf numFmtId="0" fontId="10" fillId="0" borderId="12" xfId="0" applyFont="1" applyBorder="1" applyAlignment="1">
      <alignment horizontal="justify" vertical="top" wrapText="1"/>
    </xf>
    <xf numFmtId="0" fontId="17" fillId="0" borderId="3" xfId="0" applyFont="1" applyBorder="1" applyAlignment="1">
      <alignment horizontal="left" vertical="top" wrapText="1"/>
    </xf>
    <xf numFmtId="0" fontId="17" fillId="0" borderId="4" xfId="0" applyFont="1" applyBorder="1" applyAlignment="1">
      <alignment horizontal="left" vertical="top" wrapText="1"/>
    </xf>
    <xf numFmtId="0" fontId="17" fillId="0" borderId="13" xfId="0" applyFont="1" applyBorder="1" applyAlignment="1">
      <alignment horizontal="left" vertical="top" wrapText="1"/>
    </xf>
    <xf numFmtId="0" fontId="17" fillId="0" borderId="11" xfId="0" applyFont="1" applyBorder="1" applyAlignment="1">
      <alignment horizontal="left" vertical="top" wrapText="1"/>
    </xf>
    <xf numFmtId="0" fontId="10" fillId="0" borderId="13" xfId="0" applyFont="1" applyBorder="1" applyAlignment="1">
      <alignment horizontal="left" vertical="top" wrapText="1"/>
    </xf>
    <xf numFmtId="0" fontId="10" fillId="0" borderId="14" xfId="0" applyFont="1" applyBorder="1" applyAlignment="1">
      <alignment horizontal="left" vertical="top" wrapText="1"/>
    </xf>
    <xf numFmtId="0" fontId="10" fillId="0" borderId="8" xfId="0" applyFont="1" applyBorder="1" applyAlignment="1">
      <alignment horizontal="left" vertical="top" wrapText="1"/>
    </xf>
    <xf numFmtId="0" fontId="10" fillId="0" borderId="0" xfId="0" applyFont="1" applyBorder="1" applyAlignment="1">
      <alignment horizontal="left" vertical="top" wrapText="1"/>
    </xf>
    <xf numFmtId="0" fontId="10" fillId="0" borderId="1" xfId="0" applyFont="1" applyBorder="1" applyAlignment="1">
      <alignment horizontal="justify" vertical="center" wrapText="1"/>
    </xf>
    <xf numFmtId="0" fontId="10" fillId="0" borderId="12" xfId="0" applyFont="1" applyBorder="1" applyAlignment="1">
      <alignment horizontal="justify" vertical="center" wrapText="1"/>
    </xf>
    <xf numFmtId="0" fontId="17" fillId="0" borderId="3" xfId="0" applyFont="1" applyBorder="1" applyAlignment="1">
      <alignment horizontal="justify" vertical="top" wrapText="1"/>
    </xf>
    <xf numFmtId="0" fontId="17" fillId="0" borderId="4" xfId="0" applyFont="1" applyBorder="1" applyAlignment="1">
      <alignment horizontal="justify" vertical="top" wrapText="1"/>
    </xf>
    <xf numFmtId="0" fontId="17" fillId="0" borderId="5" xfId="0" applyFont="1" applyBorder="1" applyAlignment="1">
      <alignment horizontal="justify" vertical="top" wrapText="1"/>
    </xf>
    <xf numFmtId="0" fontId="10" fillId="0" borderId="1" xfId="0" applyFont="1" applyBorder="1" applyAlignment="1">
      <alignment horizontal="justify" vertical="top" wrapText="1"/>
    </xf>
    <xf numFmtId="0" fontId="10" fillId="0" borderId="3" xfId="0" applyFont="1" applyBorder="1" applyAlignment="1">
      <alignment horizontal="left" vertical="top" wrapText="1"/>
    </xf>
    <xf numFmtId="0" fontId="10" fillId="0" borderId="5" xfId="0" applyFont="1" applyBorder="1" applyAlignment="1">
      <alignment horizontal="left" vertical="top" wrapText="1"/>
    </xf>
    <xf numFmtId="0" fontId="10" fillId="0" borderId="7" xfId="0" applyFont="1" applyBorder="1" applyAlignment="1">
      <alignment vertical="top" wrapText="1"/>
    </xf>
    <xf numFmtId="0" fontId="10" fillId="0" borderId="9" xfId="0" applyFont="1" applyBorder="1" applyAlignment="1">
      <alignment vertical="top" wrapText="1"/>
    </xf>
    <xf numFmtId="0" fontId="10" fillId="0" borderId="13" xfId="0" applyFont="1" applyBorder="1" applyAlignment="1">
      <alignment vertical="top" wrapText="1"/>
    </xf>
    <xf numFmtId="0" fontId="10" fillId="0" borderId="14" xfId="0" applyFont="1" applyBorder="1" applyAlignment="1">
      <alignment vertical="top" wrapText="1"/>
    </xf>
    <xf numFmtId="0" fontId="15" fillId="0" borderId="1" xfId="0" applyFont="1" applyBorder="1" applyAlignment="1">
      <alignment horizontal="justify" vertical="center" wrapText="1"/>
    </xf>
    <xf numFmtId="0" fontId="15" fillId="0" borderId="12" xfId="0" applyFont="1" applyBorder="1" applyAlignment="1">
      <alignment horizontal="justify" vertical="center"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0" borderId="3" xfId="0" applyFont="1" applyBorder="1" applyAlignment="1">
      <alignment horizontal="left" vertical="top"/>
    </xf>
    <xf numFmtId="0" fontId="10" fillId="0" borderId="5" xfId="0" applyFont="1" applyBorder="1" applyAlignment="1">
      <alignment horizontal="left" vertical="top"/>
    </xf>
    <xf numFmtId="0" fontId="10" fillId="0" borderId="15" xfId="0" applyFont="1" applyBorder="1" applyAlignment="1">
      <alignment horizontal="justify" vertical="top" wrapText="1"/>
    </xf>
    <xf numFmtId="0" fontId="10" fillId="0" borderId="17" xfId="0" applyFont="1" applyBorder="1" applyAlignment="1">
      <alignment horizontal="justify" vertical="top" wrapText="1"/>
    </xf>
    <xf numFmtId="0" fontId="6" fillId="0" borderId="14" xfId="0" applyFont="1" applyBorder="1" applyAlignment="1">
      <alignment vertical="center" wrapText="1"/>
    </xf>
    <xf numFmtId="0" fontId="17" fillId="0" borderId="5" xfId="0" applyFont="1" applyBorder="1" applyAlignment="1">
      <alignment horizontal="left" vertical="top" wrapText="1"/>
    </xf>
    <xf numFmtId="0" fontId="10" fillId="0" borderId="7" xfId="0" applyFont="1" applyBorder="1" applyAlignment="1">
      <alignment horizontal="justify" vertical="center" wrapText="1"/>
    </xf>
    <xf numFmtId="0" fontId="10" fillId="0" borderId="13" xfId="0" applyFont="1" applyBorder="1" applyAlignment="1">
      <alignment horizontal="justify" vertical="center" wrapText="1"/>
    </xf>
    <xf numFmtId="0" fontId="10" fillId="0" borderId="11" xfId="0" applyFont="1" applyBorder="1" applyAlignment="1">
      <alignment horizontal="justify" vertical="center" wrapText="1"/>
    </xf>
    <xf numFmtId="0" fontId="10" fillId="0" borderId="0" xfId="0" applyFont="1" applyAlignment="1">
      <alignment horizontal="left" vertical="top" wrapText="1"/>
    </xf>
    <xf numFmtId="0" fontId="6" fillId="0" borderId="9" xfId="0" applyFont="1" applyBorder="1" applyAlignment="1">
      <alignment vertical="center" wrapText="1"/>
    </xf>
    <xf numFmtId="0" fontId="10" fillId="0" borderId="3" xfId="0" applyFont="1" applyBorder="1" applyAlignment="1">
      <alignment horizontal="justify" vertical="center" wrapText="1"/>
    </xf>
    <xf numFmtId="0" fontId="10" fillId="0" borderId="5" xfId="0" applyFont="1" applyBorder="1" applyAlignment="1">
      <alignment horizontal="justify" vertical="center" wrapText="1"/>
    </xf>
    <xf numFmtId="0" fontId="10" fillId="0" borderId="1" xfId="0" applyFont="1" applyBorder="1" applyAlignment="1">
      <alignment horizontal="left" vertical="top" wrapText="1"/>
    </xf>
    <xf numFmtId="0" fontId="6" fillId="0" borderId="12" xfId="0" applyFont="1" applyBorder="1" applyAlignment="1">
      <alignment vertical="center" wrapText="1"/>
    </xf>
    <xf numFmtId="0" fontId="10" fillId="0" borderId="0" xfId="0" applyFont="1" applyAlignment="1">
      <alignment horizontal="justify" vertical="top"/>
    </xf>
    <xf numFmtId="167" fontId="10" fillId="0" borderId="1" xfId="0" applyNumberFormat="1" applyFont="1" applyBorder="1" applyAlignment="1">
      <alignment horizontal="left" vertical="top" wrapText="1"/>
    </xf>
    <xf numFmtId="0" fontId="10" fillId="0" borderId="0" xfId="0" applyFont="1" applyAlignment="1">
      <alignment horizontal="left"/>
    </xf>
    <xf numFmtId="0" fontId="15" fillId="0" borderId="1" xfId="0" applyFont="1" applyBorder="1" applyAlignment="1">
      <alignment horizontal="left"/>
    </xf>
    <xf numFmtId="0" fontId="10" fillId="0" borderId="0" xfId="0" applyFont="1" applyAlignment="1">
      <alignment horizontal="distributed" vertical="top" wrapText="1"/>
    </xf>
    <xf numFmtId="167" fontId="10" fillId="0" borderId="1" xfId="0" quotePrefix="1" applyNumberFormat="1" applyFont="1" applyBorder="1" applyAlignment="1">
      <alignment horizontal="left" vertical="top" wrapText="1"/>
    </xf>
    <xf numFmtId="3" fontId="6" fillId="3" borderId="0" xfId="0" applyNumberFormat="1" applyFont="1" applyFill="1" applyAlignment="1">
      <alignment horizontal="left"/>
    </xf>
    <xf numFmtId="0" fontId="22" fillId="0" borderId="0" xfId="0" applyFont="1" applyAlignment="1">
      <alignment horizontal="left" vertical="center"/>
    </xf>
    <xf numFmtId="0" fontId="39" fillId="0" borderId="0" xfId="0" applyFont="1" applyAlignment="1">
      <alignment horizontal="center" vertical="center"/>
    </xf>
    <xf numFmtId="0" fontId="40" fillId="0" borderId="0" xfId="0" applyFont="1" applyAlignment="1">
      <alignment horizontal="center" vertical="center"/>
    </xf>
    <xf numFmtId="0" fontId="40" fillId="0" borderId="0" xfId="0" applyFont="1" applyAlignment="1">
      <alignment horizontal="center" vertical="center" wrapText="1"/>
    </xf>
    <xf numFmtId="0" fontId="12" fillId="7" borderId="8" xfId="0" applyFont="1" applyFill="1" applyBorder="1" applyAlignment="1">
      <alignment horizontal="left" vertical="center"/>
    </xf>
    <xf numFmtId="0" fontId="12" fillId="0" borderId="8" xfId="0" applyFont="1" applyBorder="1" applyAlignment="1">
      <alignment horizontal="left" vertical="center"/>
    </xf>
    <xf numFmtId="0" fontId="58" fillId="0" borderId="0" xfId="0" applyFont="1" applyFill="1" applyAlignment="1">
      <alignment horizontal="justify" vertical="top" wrapText="1"/>
    </xf>
    <xf numFmtId="0" fontId="59" fillId="0" borderId="0" xfId="0" applyFont="1" applyFill="1" applyAlignment="1">
      <alignment horizontal="justify" vertical="top"/>
    </xf>
    <xf numFmtId="0" fontId="58" fillId="0" borderId="0" xfId="0" applyFont="1" applyFill="1" applyAlignment="1">
      <alignment horizontal="justify" vertical="top"/>
    </xf>
    <xf numFmtId="0" fontId="58" fillId="0" borderId="0" xfId="0" applyFont="1" applyAlignment="1">
      <alignment horizontal="justify" vertical="top"/>
    </xf>
    <xf numFmtId="0" fontId="24" fillId="0" borderId="0" xfId="0" applyFont="1" applyFill="1" applyAlignment="1">
      <alignment horizontal="center" vertical="center"/>
    </xf>
    <xf numFmtId="0" fontId="12" fillId="0" borderId="0" xfId="0" applyFont="1" applyAlignment="1">
      <alignment horizontal="center" vertical="top" wrapText="1"/>
    </xf>
    <xf numFmtId="0" fontId="6" fillId="0" borderId="0" xfId="0" applyFont="1" applyAlignment="1">
      <alignment horizontal="center" vertical="top"/>
    </xf>
    <xf numFmtId="0" fontId="12" fillId="0" borderId="0" xfId="0" applyFont="1" applyAlignment="1">
      <alignment horizontal="center" vertical="top"/>
    </xf>
    <xf numFmtId="0" fontId="6" fillId="0" borderId="0" xfId="0" applyFont="1" applyFill="1" applyAlignment="1">
      <alignment horizontal="justify" vertical="top" wrapText="1"/>
    </xf>
    <xf numFmtId="0" fontId="6" fillId="0" borderId="0" xfId="0" applyFont="1" applyAlignment="1">
      <alignment horizontal="justify" vertical="top"/>
    </xf>
    <xf numFmtId="0" fontId="6" fillId="7" borderId="0" xfId="0" applyFont="1" applyFill="1" applyAlignment="1">
      <alignment horizontal="center"/>
    </xf>
    <xf numFmtId="0" fontId="25" fillId="3" borderId="0" xfId="0" applyFont="1" applyFill="1" applyAlignment="1">
      <alignment horizontal="center" vertical="center" wrapText="1"/>
    </xf>
    <xf numFmtId="0" fontId="6" fillId="0" borderId="0" xfId="0" applyFont="1" applyFill="1" applyAlignment="1">
      <alignment horizontal="center"/>
    </xf>
    <xf numFmtId="0" fontId="6" fillId="0" borderId="0" xfId="0" applyFont="1" applyAlignment="1">
      <alignment horizontal="justify"/>
    </xf>
    <xf numFmtId="0" fontId="6" fillId="7" borderId="1" xfId="0" applyFont="1" applyFill="1" applyBorder="1" applyAlignment="1">
      <alignment horizontal="center"/>
    </xf>
    <xf numFmtId="0" fontId="14" fillId="0" borderId="0" xfId="0" applyFont="1" applyFill="1" applyAlignment="1">
      <alignment horizontal="center"/>
    </xf>
    <xf numFmtId="0" fontId="35" fillId="0" borderId="0" xfId="0" applyFont="1" applyFill="1" applyAlignment="1">
      <alignment horizontal="center" vertical="center"/>
    </xf>
    <xf numFmtId="0" fontId="43" fillId="0" borderId="0" xfId="0" applyFont="1" applyAlignment="1">
      <alignment horizontal="center" vertical="center"/>
    </xf>
    <xf numFmtId="0" fontId="50" fillId="0" borderId="0" xfId="0" applyNumberFormat="1" applyFont="1" applyAlignment="1">
      <alignment horizontal="center" vertical="center"/>
    </xf>
    <xf numFmtId="41" fontId="49" fillId="0" borderId="0" xfId="0" applyNumberFormat="1" applyFont="1" applyAlignment="1">
      <alignment horizontal="center" vertical="center"/>
    </xf>
    <xf numFmtId="41" fontId="49" fillId="0" borderId="1" xfId="0" applyNumberFormat="1" applyFont="1" applyBorder="1" applyAlignment="1">
      <alignment horizontal="center" vertical="center"/>
    </xf>
    <xf numFmtId="41" fontId="49" fillId="0" borderId="1" xfId="0" applyNumberFormat="1" applyFont="1" applyFill="1" applyBorder="1" applyAlignment="1">
      <alignment horizontal="center" vertical="center"/>
    </xf>
    <xf numFmtId="41" fontId="49" fillId="0" borderId="0" xfId="0" applyNumberFormat="1" applyFont="1" applyBorder="1" applyAlignment="1">
      <alignment horizontal="center" vertical="center"/>
    </xf>
    <xf numFmtId="41" fontId="49" fillId="0" borderId="19" xfId="0" applyNumberFormat="1" applyFont="1" applyBorder="1" applyAlignment="1">
      <alignment horizontal="center" vertical="center"/>
    </xf>
    <xf numFmtId="41" fontId="49" fillId="0" borderId="0" xfId="0" applyNumberFormat="1" applyFont="1" applyFill="1" applyBorder="1" applyAlignment="1">
      <alignment horizontal="center" vertical="center"/>
    </xf>
    <xf numFmtId="15" fontId="50" fillId="0" borderId="0" xfId="0" applyNumberFormat="1" applyFont="1" applyFill="1" applyAlignment="1">
      <alignment horizontal="center" vertical="center"/>
    </xf>
    <xf numFmtId="41" fontId="49" fillId="0" borderId="0" xfId="0" applyNumberFormat="1" applyFont="1" applyFill="1" applyAlignment="1">
      <alignment horizontal="center" vertical="center"/>
    </xf>
    <xf numFmtId="170" fontId="49" fillId="0" borderId="0" xfId="1" applyNumberFormat="1" applyFont="1" applyBorder="1" applyAlignment="1">
      <alignment horizontal="center" vertical="center"/>
    </xf>
    <xf numFmtId="0" fontId="50" fillId="0" borderId="0" xfId="0" applyFont="1" applyBorder="1" applyAlignment="1">
      <alignment horizontal="center" vertical="center"/>
    </xf>
    <xf numFmtId="170" fontId="49" fillId="0" borderId="0" xfId="0" applyNumberFormat="1" applyFont="1" applyBorder="1" applyAlignment="1">
      <alignment horizontal="center" vertical="center"/>
    </xf>
    <xf numFmtId="170" fontId="49" fillId="0" borderId="20" xfId="0" applyNumberFormat="1" applyFont="1" applyBorder="1" applyAlignment="1">
      <alignment horizontal="center" vertical="center"/>
    </xf>
    <xf numFmtId="15" fontId="50" fillId="0" borderId="0" xfId="0" applyNumberFormat="1" applyFont="1" applyAlignment="1">
      <alignment horizontal="center" vertical="center"/>
    </xf>
    <xf numFmtId="170" fontId="49" fillId="0" borderId="20" xfId="1" applyNumberFormat="1" applyFont="1" applyBorder="1" applyAlignment="1">
      <alignment horizontal="center" vertical="center"/>
    </xf>
    <xf numFmtId="0" fontId="50" fillId="0" borderId="0" xfId="0" applyFont="1" applyAlignment="1">
      <alignment horizontal="center" vertical="center"/>
    </xf>
    <xf numFmtId="43" fontId="80" fillId="2" borderId="0" xfId="0" applyNumberFormat="1" applyFont="1" applyFill="1" applyAlignment="1">
      <alignment horizontal="left" vertical="center"/>
    </xf>
    <xf numFmtId="0" fontId="28" fillId="0" borderId="0" xfId="0" applyFont="1" applyAlignment="1">
      <alignment horizontal="justify" vertical="top"/>
    </xf>
    <xf numFmtId="0" fontId="56" fillId="0" borderId="0" xfId="0" applyFont="1" applyAlignment="1">
      <alignment horizontal="center" vertical="center"/>
    </xf>
    <xf numFmtId="0" fontId="55" fillId="0" borderId="0" xfId="0" applyFont="1" applyAlignment="1">
      <alignment horizontal="center" vertical="center"/>
    </xf>
  </cellXfs>
  <cellStyles count="15">
    <cellStyle name="Comma" xfId="1" builtinId="3"/>
    <cellStyle name="Comma 6" xfId="13"/>
    <cellStyle name="Hyperlink" xfId="4" builtinId="8"/>
    <cellStyle name="Normal" xfId="0" builtinId="0"/>
    <cellStyle name="Normal 11" xfId="14"/>
    <cellStyle name="Normal 2" xfId="12"/>
    <cellStyle name="Normal 3" xfId="3"/>
    <cellStyle name="Percent" xfId="2" builtinId="5"/>
    <cellStyle name="一般 2" xfId="5"/>
    <cellStyle name="一般 3" xfId="7"/>
    <cellStyle name="一般 4" xfId="8"/>
    <cellStyle name="一般 5" xfId="11"/>
    <cellStyle name="一般_Jiangs Group 98aud" xfId="10"/>
    <cellStyle name="千分位 2" xfId="6"/>
    <cellStyle name="千分位 3" xfId="9"/>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Uniwin\27.2.15\ZIFENG%20(HONGKONG)%20INDUSTRIAL%20CO.,%20LIMITED%20&#32043;&#23792;(&#39321;&#28207;)&#23526;&#26989;&#26377;&#38480;&#20844;&#21496;\Issue%20accounts\All%20documen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ummy\All%20documents%20in%20excel%2016.5.15%20vb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Doc list"/>
      <sheetName val="D emol"/>
      <sheetName val="D emol (2)"/>
      <sheetName val="D emol (3)"/>
      <sheetName val="D emol (4)"/>
      <sheetName val="LOE"/>
      <sheetName val="LOR"/>
      <sheetName val="No deli"/>
      <sheetName val="Audit conf."/>
      <sheetName val="Audit conf. (2)"/>
      <sheetName val="Audit conf. (3)"/>
      <sheetName val="AR陽光"/>
      <sheetName val="AP VVI"/>
      <sheetName val="AP FUJIAN"/>
      <sheetName val="141D"/>
      <sheetName val="T com (loss)"/>
      <sheetName val="Income Stmnt"/>
      <sheetName val="B conf."/>
    </sheetNames>
    <sheetDataSet>
      <sheetData sheetId="0">
        <row r="51">
          <cell r="H51" t="str">
            <v>Profit</v>
          </cell>
          <cell r="I51" t="str">
            <v>Loss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Doc list"/>
      <sheetName val="D emol"/>
      <sheetName val="D emol (2)"/>
      <sheetName val="LOR"/>
      <sheetName val="LOE"/>
      <sheetName val="LOS"/>
      <sheetName val="No deli"/>
      <sheetName val="Audit conf."/>
      <sheetName val="Audit conf. (2)"/>
      <sheetName val="Audit conf. 3rd"/>
      <sheetName val="Cash"/>
      <sheetName val="141D"/>
      <sheetName val="Tax rep."/>
      <sheetName val="T com dor"/>
      <sheetName val="T com (loss)"/>
      <sheetName val="T com (profit)"/>
      <sheetName val="Adj"/>
      <sheetName val="B conf."/>
      <sheetName val="B conf. (2)"/>
      <sheetName val="Auditor's report"/>
      <sheetName val="Accounts"/>
    </sheetNames>
    <sheetDataSet>
      <sheetData sheetId="0">
        <row r="2">
          <cell r="D2" t="str">
            <v>ABC LIMITED</v>
          </cell>
        </row>
        <row r="55">
          <cell r="H55" t="str">
            <v>Profit</v>
          </cell>
          <cell r="I55" t="str">
            <v>Loss</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gov.hk/en/residents/taxes/etax/services/brn_enquiry.ht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
  <sheetViews>
    <sheetView zoomScaleNormal="100" workbookViewId="0">
      <selection activeCell="C11" sqref="C11"/>
    </sheetView>
  </sheetViews>
  <sheetFormatPr defaultRowHeight="15"/>
  <cols>
    <col min="1" max="1" width="27.125" style="825" customWidth="1" collapsed="1"/>
    <col min="2" max="3" width="13.125" style="825" customWidth="1" collapsed="1"/>
    <col min="4" max="4" width="13.125" style="826" customWidth="1" collapsed="1"/>
    <col min="5" max="6" width="13.125" style="827" customWidth="1" collapsed="1"/>
    <col min="7" max="9" width="13.125" style="828" customWidth="1" collapsed="1"/>
    <col min="10" max="16384" width="9" style="828" collapsed="1"/>
  </cols>
  <sheetData>
    <row r="1" spans="1:9" s="835" customFormat="1" ht="60">
      <c r="A1" s="832"/>
      <c r="B1" s="833" t="s">
        <v>2059</v>
      </c>
      <c r="C1" s="833" t="s">
        <v>2060</v>
      </c>
      <c r="D1" s="833" t="s">
        <v>2061</v>
      </c>
      <c r="E1" s="833" t="s">
        <v>2062</v>
      </c>
      <c r="F1" s="834" t="s">
        <v>2063</v>
      </c>
      <c r="G1" s="833" t="s">
        <v>2064</v>
      </c>
      <c r="H1" s="833" t="s">
        <v>2065</v>
      </c>
      <c r="I1" s="833" t="s">
        <v>2066</v>
      </c>
    </row>
    <row r="2" spans="1:9">
      <c r="A2" s="836" t="s">
        <v>2067</v>
      </c>
      <c r="B2" s="831">
        <v>14</v>
      </c>
      <c r="C2" s="831">
        <v>11</v>
      </c>
      <c r="D2" s="831">
        <v>10</v>
      </c>
      <c r="E2" s="831">
        <v>11</v>
      </c>
      <c r="F2" s="831">
        <v>11</v>
      </c>
      <c r="G2" s="831">
        <v>11</v>
      </c>
      <c r="H2" s="831">
        <v>11</v>
      </c>
      <c r="I2" s="831">
        <v>11</v>
      </c>
    </row>
    <row r="3" spans="1:9">
      <c r="A3" s="836" t="s">
        <v>2068</v>
      </c>
      <c r="B3" s="831" t="s">
        <v>2069</v>
      </c>
      <c r="C3" s="831" t="s">
        <v>2070</v>
      </c>
      <c r="D3" s="831" t="s">
        <v>2071</v>
      </c>
      <c r="E3" s="831" t="s">
        <v>2072</v>
      </c>
      <c r="F3" s="831" t="s">
        <v>2069</v>
      </c>
      <c r="G3" s="831" t="s">
        <v>2073</v>
      </c>
      <c r="H3" s="831" t="s">
        <v>2074</v>
      </c>
      <c r="I3" s="831" t="s">
        <v>2075</v>
      </c>
    </row>
    <row r="4" spans="1:9">
      <c r="A4" s="836" t="s">
        <v>2076</v>
      </c>
      <c r="B4" s="831" t="s">
        <v>2074</v>
      </c>
      <c r="C4" s="831" t="s">
        <v>2077</v>
      </c>
      <c r="D4" s="831" t="s">
        <v>2075</v>
      </c>
      <c r="E4" s="831" t="s">
        <v>2078</v>
      </c>
      <c r="F4" s="831" t="s">
        <v>2074</v>
      </c>
      <c r="G4" s="831" t="s">
        <v>2079</v>
      </c>
      <c r="H4" s="831" t="s">
        <v>2072</v>
      </c>
      <c r="I4" s="831" t="s">
        <v>2080</v>
      </c>
    </row>
    <row r="5" spans="1:9">
      <c r="A5" s="836" t="s">
        <v>2081</v>
      </c>
      <c r="B5" s="831">
        <v>17</v>
      </c>
      <c r="E5" s="831">
        <v>17</v>
      </c>
    </row>
    <row r="6" spans="1:9">
      <c r="A6" s="836" t="s">
        <v>2082</v>
      </c>
      <c r="E6" s="837">
        <v>-0.2</v>
      </c>
      <c r="H6" s="838"/>
      <c r="I6" s="839"/>
    </row>
    <row r="7" spans="1:9">
      <c r="A7" s="836" t="s">
        <v>2083</v>
      </c>
      <c r="B7" s="836"/>
      <c r="C7" s="836"/>
      <c r="E7" s="837">
        <v>-0.2</v>
      </c>
      <c r="H7" s="838"/>
      <c r="I7" s="839"/>
    </row>
    <row r="8" spans="1:9">
      <c r="A8" s="836" t="s">
        <v>2084</v>
      </c>
      <c r="B8" s="830"/>
      <c r="C8" s="830"/>
      <c r="D8" s="831">
        <v>80</v>
      </c>
      <c r="E8" s="831">
        <v>100</v>
      </c>
      <c r="F8" s="831">
        <v>140</v>
      </c>
      <c r="G8" s="831">
        <v>140</v>
      </c>
      <c r="H8" s="831">
        <v>140</v>
      </c>
      <c r="I8" s="831">
        <v>80</v>
      </c>
    </row>
    <row r="9" spans="1:9">
      <c r="A9" s="836"/>
      <c r="B9" s="836"/>
      <c r="C9" s="836"/>
      <c r="F9" s="830"/>
    </row>
    <row r="10" spans="1:9">
      <c r="A10" s="836"/>
      <c r="B10" s="836"/>
      <c r="C10" s="836"/>
      <c r="F10" s="826"/>
    </row>
    <row r="11" spans="1:9">
      <c r="A11" s="829" t="s">
        <v>2085</v>
      </c>
    </row>
    <row r="12" spans="1:9">
      <c r="A12" s="840" t="s">
        <v>2086</v>
      </c>
      <c r="B12" s="841" t="s">
        <v>2087</v>
      </c>
      <c r="C12" s="842"/>
      <c r="D12" s="843"/>
    </row>
    <row r="13" spans="1:9">
      <c r="A13" s="836" t="s">
        <v>2088</v>
      </c>
      <c r="B13" s="841" t="s">
        <v>2089</v>
      </c>
      <c r="C13" s="836"/>
    </row>
    <row r="14" spans="1:9">
      <c r="A14" s="836"/>
      <c r="B14" s="836"/>
      <c r="C14" s="836"/>
      <c r="F14" s="830"/>
    </row>
    <row r="15" spans="1:9">
      <c r="A15" s="836"/>
      <c r="B15" s="836"/>
      <c r="C15" s="836"/>
      <c r="F15" s="830"/>
    </row>
    <row r="17" spans="1:6">
      <c r="D17" s="843"/>
    </row>
    <row r="18" spans="1:6">
      <c r="A18" s="836"/>
      <c r="B18" s="836"/>
      <c r="C18" s="836"/>
    </row>
    <row r="19" spans="1:6">
      <c r="A19" s="836"/>
      <c r="B19" s="836"/>
      <c r="C19" s="836"/>
      <c r="F19" s="830"/>
    </row>
    <row r="20" spans="1:6">
      <c r="A20" s="836"/>
      <c r="B20" s="836"/>
      <c r="C20" s="836"/>
      <c r="F20" s="830"/>
    </row>
    <row r="22" spans="1:6">
      <c r="D22" s="843"/>
    </row>
    <row r="23" spans="1:6">
      <c r="A23" s="836"/>
      <c r="B23" s="836"/>
      <c r="C23" s="836"/>
    </row>
    <row r="24" spans="1:6">
      <c r="A24" s="836"/>
      <c r="B24" s="836"/>
      <c r="C24" s="836"/>
      <c r="F24" s="830"/>
    </row>
    <row r="25" spans="1:6">
      <c r="A25" s="836"/>
      <c r="B25" s="836"/>
      <c r="C25" s="836"/>
      <c r="F25" s="830"/>
    </row>
    <row r="27" spans="1:6">
      <c r="D27" s="843"/>
    </row>
    <row r="28" spans="1:6">
      <c r="A28" s="836"/>
      <c r="B28" s="836"/>
      <c r="C28" s="836"/>
    </row>
    <row r="29" spans="1:6">
      <c r="A29" s="836"/>
      <c r="B29" s="836"/>
      <c r="C29" s="836"/>
      <c r="F29" s="830"/>
    </row>
    <row r="30" spans="1:6">
      <c r="A30" s="836"/>
      <c r="B30" s="836"/>
      <c r="C30" s="836"/>
      <c r="F30" s="830"/>
    </row>
    <row r="32" spans="1:6">
      <c r="B32" s="842"/>
      <c r="C32" s="842"/>
      <c r="D32" s="843"/>
    </row>
    <row r="33" spans="1:6">
      <c r="A33" s="836"/>
      <c r="B33" s="836"/>
      <c r="C33" s="836"/>
    </row>
    <row r="34" spans="1:6">
      <c r="A34" s="836"/>
      <c r="B34" s="836"/>
      <c r="C34" s="836"/>
      <c r="F34" s="830"/>
    </row>
    <row r="35" spans="1:6">
      <c r="A35" s="836"/>
      <c r="B35" s="836"/>
      <c r="C35" s="836"/>
      <c r="F35" s="830"/>
    </row>
    <row r="37" spans="1:6">
      <c r="B37" s="842"/>
      <c r="C37" s="842"/>
      <c r="D37" s="843"/>
    </row>
    <row r="38" spans="1:6">
      <c r="A38" s="836"/>
      <c r="B38" s="836"/>
      <c r="C38" s="836"/>
    </row>
    <row r="39" spans="1:6">
      <c r="A39" s="836"/>
      <c r="B39" s="836"/>
      <c r="C39" s="836"/>
      <c r="F39" s="830"/>
    </row>
    <row r="40" spans="1:6">
      <c r="A40" s="836"/>
      <c r="B40" s="836"/>
      <c r="C40" s="836"/>
      <c r="F40" s="830"/>
    </row>
    <row r="41" spans="1:6">
      <c r="A41" s="836"/>
      <c r="B41" s="836"/>
      <c r="C41" s="836"/>
      <c r="F41" s="8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9"/>
  <sheetViews>
    <sheetView workbookViewId="0">
      <selection activeCell="A11" sqref="A1:A11"/>
    </sheetView>
  </sheetViews>
  <sheetFormatPr defaultColWidth="9" defaultRowHeight="15"/>
  <cols>
    <col min="1" max="1" width="23.125" style="313" customWidth="1" collapsed="1"/>
    <col min="2" max="6" width="9" style="313" collapsed="1"/>
    <col min="7" max="7" width="13.125" style="314" bestFit="1" customWidth="1" collapsed="1"/>
    <col min="8" max="8" width="9" style="314" collapsed="1"/>
    <col min="9" max="16384" width="9" style="313" collapsed="1"/>
  </cols>
  <sheetData>
    <row r="1" spans="1:11" s="311" customFormat="1">
      <c r="A1" s="310" t="str">
        <f>+CONCATENATE(Control!D136," ",Control!D138)</f>
        <v>Matthew S.H. Law 羅城熙執業會計師</v>
      </c>
      <c r="G1" s="312" t="s">
        <v>0</v>
      </c>
      <c r="H1" s="312"/>
      <c r="J1" s="313"/>
      <c r="K1" s="313"/>
    </row>
    <row r="2" spans="1:11" s="311" customFormat="1">
      <c r="A2" s="310" t="str">
        <f>+CONCATENATE("Address: ",Control!D142)</f>
        <v>Address: Unit 402, 4/F., Fourseas Building, No. 208 Nathan Road, Kowloon</v>
      </c>
      <c r="G2" s="312" t="s">
        <v>1</v>
      </c>
      <c r="H2" s="312"/>
      <c r="J2" s="313"/>
      <c r="K2" s="313"/>
    </row>
    <row r="3" spans="1:11">
      <c r="G3" s="314" t="s">
        <v>2</v>
      </c>
    </row>
    <row r="4" spans="1:11">
      <c r="H4" s="314" t="s">
        <v>3</v>
      </c>
    </row>
    <row r="5" spans="1:11">
      <c r="H5" s="314" t="s">
        <v>3</v>
      </c>
    </row>
    <row r="6" spans="1:11">
      <c r="H6" s="314" t="s">
        <v>3</v>
      </c>
    </row>
    <row r="7" spans="1:11">
      <c r="H7" s="314" t="s">
        <v>3</v>
      </c>
    </row>
    <row r="8" spans="1:11">
      <c r="H8" s="314" t="s">
        <v>3</v>
      </c>
    </row>
    <row r="9" spans="1:11">
      <c r="H9" s="314" t="s">
        <v>3</v>
      </c>
    </row>
    <row r="10" spans="1:11">
      <c r="H10" s="314" t="s">
        <v>3</v>
      </c>
    </row>
    <row r="11" spans="1:11">
      <c r="H11" s="314" t="s">
        <v>3</v>
      </c>
    </row>
    <row r="12" spans="1:11">
      <c r="H12" s="314" t="s">
        <v>3</v>
      </c>
    </row>
    <row r="13" spans="1:11">
      <c r="H13" s="314" t="s">
        <v>3</v>
      </c>
    </row>
    <row r="14" spans="1:11">
      <c r="H14" s="314" t="s">
        <v>3</v>
      </c>
    </row>
    <row r="15" spans="1:11">
      <c r="A15" s="315" t="str">
        <f>+Control!D3</f>
        <v>MIC INCORPORATION LIMITED </v>
      </c>
      <c r="H15" s="314" t="s">
        <v>3</v>
      </c>
    </row>
    <row r="16" spans="1:11">
      <c r="A16" s="315"/>
      <c r="H16" s="314" t="s">
        <v>3</v>
      </c>
    </row>
    <row r="17" spans="1:14">
      <c r="A17" s="315" t="str">
        <f>IF(Control!D4=Control!D3,"",Control!D4)</f>
        <v>匯新興業有限公司</v>
      </c>
      <c r="H17" s="314" t="str">
        <f>IF(Control!D4=Control!D3,"N","Y")</f>
        <v>Y</v>
      </c>
    </row>
    <row r="18" spans="1:14">
      <c r="A18" s="315"/>
      <c r="H18" s="314" t="s">
        <v>3</v>
      </c>
    </row>
    <row r="19" spans="1:14">
      <c r="A19" s="315" t="str">
        <f>+CONCATENATE(I19,J19,K19)</f>
        <v>(FORMERLY KNOWN AS: SANYONGFAN HK LIMITED 三永繁有限公司)</v>
      </c>
      <c r="H19" s="314" t="str">
        <f>+IF(Control!D55=1,"Y","N")</f>
        <v>N</v>
      </c>
      <c r="I19" s="313" t="s">
        <v>4</v>
      </c>
      <c r="J19" s="313" t="str">
        <f>+Control!D56</f>
        <v>SANYONGFAN HK LIMITED 三永繁有限公司</v>
      </c>
      <c r="K19" s="313" t="s">
        <v>5</v>
      </c>
    </row>
    <row r="20" spans="1:14">
      <c r="A20" s="315"/>
      <c r="H20" s="314" t="str">
        <f>+H19</f>
        <v>N</v>
      </c>
    </row>
    <row r="21" spans="1:14">
      <c r="A21" s="315" t="s">
        <v>6</v>
      </c>
      <c r="H21" s="314" t="s">
        <v>3</v>
      </c>
    </row>
    <row r="22" spans="1:14">
      <c r="A22" s="316"/>
      <c r="H22" s="314" t="s">
        <v>3</v>
      </c>
    </row>
    <row r="23" spans="1:14">
      <c r="A23" s="316"/>
      <c r="H23" s="314" t="s">
        <v>3</v>
      </c>
    </row>
    <row r="24" spans="1:14" ht="15.75">
      <c r="A24" s="315" t="str">
        <f>+Contents!A3</f>
        <v>FOR THE PERIOD ENDED 31 DECEMBER, 2016</v>
      </c>
      <c r="H24" s="314" t="s">
        <v>3</v>
      </c>
      <c r="I24" s="53" t="s">
        <v>7</v>
      </c>
      <c r="J24" s="53" t="str">
        <f>+UPPER(Control!D9)</f>
        <v>PERIOD</v>
      </c>
      <c r="K24" s="53" t="s">
        <v>8</v>
      </c>
      <c r="L24" s="53" t="str">
        <f>+UPPER(Control!D6)</f>
        <v>31 DECEMBER, 2016</v>
      </c>
    </row>
    <row r="25" spans="1:14" ht="15.75">
      <c r="H25" s="314" t="s">
        <v>3</v>
      </c>
      <c r="I25" s="53" t="s">
        <v>7</v>
      </c>
      <c r="J25" s="53" t="str">
        <f>+UPPER(Control!D9)</f>
        <v>PERIOD</v>
      </c>
      <c r="K25" s="53" t="s">
        <v>9</v>
      </c>
      <c r="L25" s="53" t="str">
        <f>UPPER(TEXT(Control!D11, "d mmmm, yyyy"))</f>
        <v>2 MARCH, 2014</v>
      </c>
      <c r="M25" s="53" t="s">
        <v>10</v>
      </c>
      <c r="N25" s="53" t="str">
        <f>+UPPER(Control!D6)</f>
        <v>31 DECEMBER, 2016</v>
      </c>
    </row>
    <row r="26" spans="1:14">
      <c r="H26" s="314" t="s">
        <v>3</v>
      </c>
    </row>
    <row r="27" spans="1:14">
      <c r="H27" s="314" t="s">
        <v>3</v>
      </c>
    </row>
    <row r="28" spans="1:14">
      <c r="H28" s="314" t="s">
        <v>3</v>
      </c>
    </row>
    <row r="29" spans="1:14">
      <c r="G29" s="314" t="s">
        <v>11</v>
      </c>
    </row>
  </sheetData>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0"/>
  <sheetViews>
    <sheetView workbookViewId="0">
      <selection activeCell="B26" sqref="B26"/>
    </sheetView>
  </sheetViews>
  <sheetFormatPr defaultColWidth="9" defaultRowHeight="15"/>
  <cols>
    <col min="1" max="1" width="41" style="313" customWidth="1" collapsed="1"/>
    <col min="2" max="2" width="10.875" style="319" customWidth="1" collapsed="1"/>
    <col min="3" max="3" width="9" style="313" collapsed="1"/>
    <col min="4" max="5" width="9" style="314" collapsed="1"/>
    <col min="6" max="16384" width="9" style="313" collapsed="1"/>
  </cols>
  <sheetData>
    <row r="1" spans="1:12" s="311" customFormat="1">
      <c r="B1" s="310"/>
      <c r="D1" s="312" t="s">
        <v>12</v>
      </c>
      <c r="E1" s="312"/>
    </row>
    <row r="2" spans="1:12" s="311" customFormat="1" ht="15.75">
      <c r="A2" s="311" t="s">
        <v>6</v>
      </c>
      <c r="B2" s="310"/>
      <c r="D2" s="312" t="s">
        <v>12</v>
      </c>
      <c r="E2" s="312"/>
      <c r="F2" s="53" t="s">
        <v>7</v>
      </c>
      <c r="G2" s="53" t="str">
        <f>+UPPER(Control!D9)</f>
        <v>PERIOD</v>
      </c>
      <c r="H2" s="53" t="s">
        <v>8</v>
      </c>
      <c r="I2" s="53" t="str">
        <f>+UPPER(Control!D6)</f>
        <v>31 DECEMBER, 2016</v>
      </c>
      <c r="J2" s="313"/>
      <c r="K2" s="313"/>
    </row>
    <row r="3" spans="1:12" s="311" customFormat="1" ht="15.75">
      <c r="A3" s="311" t="str">
        <f>IF(Control!D17+Control!D30=2,Contents!F7,(IF(Control!D17=1,Contents!F5,(IF(Control!D30&gt;0,CONCATENATE(F3,G3,H3,I3,J3,K3),CONCATENATE(F2,G2,H2,I2))))))</f>
        <v>FOR THE PERIOD ENDED 31 DECEMBER, 2016</v>
      </c>
      <c r="B3" s="310"/>
      <c r="D3" s="312" t="s">
        <v>12</v>
      </c>
      <c r="E3" s="312"/>
      <c r="F3" s="53" t="s">
        <v>7</v>
      </c>
      <c r="G3" s="53" t="str">
        <f>+UPPER(Control!D9)</f>
        <v>PERIOD</v>
      </c>
      <c r="H3" s="53" t="s">
        <v>9</v>
      </c>
      <c r="I3" s="53" t="str">
        <f>UPPER(TEXT(Control!D11, "d mmmm, yyyy"))</f>
        <v>2 MARCH, 2014</v>
      </c>
      <c r="J3" s="53" t="s">
        <v>10</v>
      </c>
      <c r="K3" s="53" t="str">
        <f>+UPPER(Control!D6)</f>
        <v>31 DECEMBER, 2016</v>
      </c>
    </row>
    <row r="4" spans="1:12" s="311" customFormat="1" ht="15.75">
      <c r="B4" s="310"/>
      <c r="D4" s="312" t="s">
        <v>12</v>
      </c>
      <c r="E4" s="312"/>
      <c r="F4" s="53" t="s">
        <v>7</v>
      </c>
      <c r="G4" s="53" t="str">
        <f>+UPPER(Control!D9)</f>
        <v>PERIOD</v>
      </c>
      <c r="H4" s="53" t="s">
        <v>9</v>
      </c>
      <c r="I4" s="53" t="str">
        <f>UPPER(TEXT(Control!D11, "d mmmm, yyyy"))</f>
        <v>2 MARCH, 2014</v>
      </c>
      <c r="J4" s="53" t="s">
        <v>1559</v>
      </c>
      <c r="K4" s="53" t="str">
        <f>+UPPER(Control!D6)</f>
        <v>31 DECEMBER, 2016</v>
      </c>
      <c r="L4" s="53" t="s">
        <v>1579</v>
      </c>
    </row>
    <row r="5" spans="1:12" s="311" customFormat="1">
      <c r="B5" s="310"/>
      <c r="D5" s="312" t="s">
        <v>2</v>
      </c>
      <c r="E5" s="312"/>
      <c r="F5" s="311" t="str">
        <f>+CONCATENATE(F4,G4,H4,I4,J4,K4,L4)</f>
        <v>FOR THE PERIOD FROM 2 MARCH, 2014 TO 31 DECEMBER, 2016 (DATE OF CESSATION)</v>
      </c>
    </row>
    <row r="6" spans="1:12" s="311" customFormat="1" ht="15.75">
      <c r="B6" s="310"/>
      <c r="D6" s="312"/>
      <c r="E6" s="312" t="s">
        <v>3</v>
      </c>
      <c r="F6" s="53" t="s">
        <v>7</v>
      </c>
      <c r="G6" s="53" t="str">
        <f>+UPPER(Control!D9)</f>
        <v>PERIOD</v>
      </c>
      <c r="H6" s="53" t="s">
        <v>9</v>
      </c>
      <c r="I6" s="311" t="str">
        <f>UPPER(TEXT(Control!D11, "d mmmm, yyyy"))</f>
        <v>2 MARCH, 2014</v>
      </c>
      <c r="J6" s="311" t="s">
        <v>1578</v>
      </c>
      <c r="K6" s="311" t="str">
        <f>+UPPER(Control!D6)</f>
        <v>31 DECEMBER, 2016</v>
      </c>
      <c r="L6" s="311" t="s">
        <v>1579</v>
      </c>
    </row>
    <row r="7" spans="1:12" s="311" customFormat="1">
      <c r="B7" s="310"/>
      <c r="D7" s="312"/>
      <c r="E7" s="312" t="s">
        <v>3</v>
      </c>
      <c r="F7" s="311" t="str">
        <f>+CONCATENATE(F6,G6,H6,I6,J6,K6,L6)</f>
        <v>FOR THE PERIOD FROM 2 MARCH, 2014 (DATE OF INCORPORATION) TO 31 DECEMBER, 2016 (DATE OF CESSATION)</v>
      </c>
    </row>
    <row r="8" spans="1:12" s="311" customFormat="1">
      <c r="B8" s="310"/>
      <c r="D8" s="312"/>
      <c r="E8" s="312" t="s">
        <v>3</v>
      </c>
    </row>
    <row r="9" spans="1:12" s="311" customFormat="1">
      <c r="B9" s="310"/>
      <c r="D9" s="312"/>
      <c r="E9" s="312" t="s">
        <v>3</v>
      </c>
    </row>
    <row r="10" spans="1:12" s="311" customFormat="1">
      <c r="A10" s="311">
        <v>400</v>
      </c>
      <c r="B10" s="310">
        <v>60</v>
      </c>
      <c r="D10" s="312" t="s">
        <v>13</v>
      </c>
      <c r="E10" s="312">
        <v>26</v>
      </c>
    </row>
    <row r="11" spans="1:12" s="311" customFormat="1">
      <c r="A11" s="317" t="s">
        <v>14</v>
      </c>
      <c r="B11" s="317" t="s">
        <v>15</v>
      </c>
      <c r="D11" s="312"/>
      <c r="E11" s="312" t="s">
        <v>3</v>
      </c>
    </row>
    <row r="12" spans="1:12" s="311" customFormat="1">
      <c r="A12" s="317"/>
      <c r="B12" s="317"/>
      <c r="D12" s="312"/>
      <c r="E12" s="312" t="s">
        <v>3</v>
      </c>
    </row>
    <row r="13" spans="1:12" s="311" customFormat="1">
      <c r="A13" s="318" t="str">
        <f>Section1!A1</f>
        <v>REPORT OF THE DIRECTOR</v>
      </c>
      <c r="B13" s="380"/>
      <c r="D13" s="312" t="s">
        <v>17</v>
      </c>
      <c r="E13" s="312" t="s">
        <v>3</v>
      </c>
    </row>
    <row r="14" spans="1:12" s="311" customFormat="1">
      <c r="A14" s="318" t="str">
        <f>Section2!A3</f>
        <v>INDEPENDENT AUDITOR’S REPORT</v>
      </c>
      <c r="B14" s="380"/>
      <c r="D14" s="312" t="s">
        <v>19</v>
      </c>
      <c r="E14" s="312" t="s">
        <v>3</v>
      </c>
    </row>
    <row r="15" spans="1:12" s="311" customFormat="1">
      <c r="A15" s="318" t="str">
        <f>Section3!A3</f>
        <v>INCOME STATEMENT</v>
      </c>
      <c r="B15" s="380"/>
      <c r="D15" s="312" t="s">
        <v>21</v>
      </c>
      <c r="E15" s="312" t="s">
        <v>3</v>
      </c>
    </row>
    <row r="16" spans="1:12" s="311" customFormat="1">
      <c r="A16" s="318" t="str">
        <f>Section4!A2</f>
        <v>STATEMENT OF FINANCIAL POSITION</v>
      </c>
      <c r="B16" s="380"/>
      <c r="D16" s="312" t="s">
        <v>23</v>
      </c>
      <c r="E16" s="312" t="s">
        <v>24</v>
      </c>
    </row>
    <row r="17" spans="1:5" s="311" customFormat="1">
      <c r="A17" s="318" t="str">
        <f>Section5!A2</f>
        <v>STATEMENT OF CHANGES IN EQUITY</v>
      </c>
      <c r="B17" s="380"/>
      <c r="D17" s="312" t="s">
        <v>26</v>
      </c>
      <c r="E17" s="312" t="s">
        <v>3</v>
      </c>
    </row>
    <row r="18" spans="1:5">
      <c r="A18" s="318" t="s">
        <v>27</v>
      </c>
      <c r="B18" s="380"/>
      <c r="D18" s="312" t="s">
        <v>28</v>
      </c>
      <c r="E18" s="314" t="s">
        <v>3</v>
      </c>
    </row>
    <row r="19" spans="1:5">
      <c r="D19" s="312" t="s">
        <v>29</v>
      </c>
    </row>
    <row r="20" spans="1:5">
      <c r="D20" s="312" t="s">
        <v>11</v>
      </c>
    </row>
  </sheetData>
  <phoneticPr fontId="1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Q188"/>
  <sheetViews>
    <sheetView workbookViewId="0">
      <selection activeCell="D12" sqref="D12"/>
    </sheetView>
  </sheetViews>
  <sheetFormatPr defaultRowHeight="15.75"/>
  <cols>
    <col min="1" max="2" width="13.875" customWidth="1" collapsed="1"/>
    <col min="3" max="3" width="4.125" customWidth="1" collapsed="1"/>
    <col min="4" max="4" width="12.875" bestFit="1" customWidth="1" collapsed="1"/>
    <col min="5" max="5" width="13.375" customWidth="1" collapsed="1"/>
    <col min="6" max="6" width="14.125" customWidth="1" collapsed="1"/>
    <col min="7" max="7" width="9.75" customWidth="1" collapsed="1"/>
    <col min="8" max="8" width="13.75" customWidth="1" collapsed="1"/>
    <col min="9" max="9" width="12.5" customWidth="1" collapsed="1"/>
    <col min="10" max="10" width="11.125" customWidth="1" collapsed="1"/>
    <col min="11" max="12" width="9.5" bestFit="1" customWidth="1" collapsed="1"/>
    <col min="13" max="13" width="10.5" bestFit="1" customWidth="1" collapsed="1"/>
  </cols>
  <sheetData>
    <row r="1" spans="1:15">
      <c r="A1" s="117" t="s">
        <v>30</v>
      </c>
    </row>
    <row r="2" spans="1:15">
      <c r="A2" t="s">
        <v>31</v>
      </c>
      <c r="D2" s="500" t="s">
        <v>2111</v>
      </c>
      <c r="E2" s="500"/>
      <c r="F2" s="500"/>
      <c r="G2" s="500"/>
      <c r="H2" s="500"/>
      <c r="I2" s="500"/>
      <c r="J2" s="500"/>
    </row>
    <row r="3" spans="1:15">
      <c r="D3" s="846" t="str">
        <f>+UPPER(D2)</f>
        <v>MIC INCORPORATION LIMITED </v>
      </c>
      <c r="E3" s="846"/>
      <c r="F3" s="846"/>
      <c r="G3" s="846"/>
      <c r="H3" s="846"/>
      <c r="I3" s="499"/>
      <c r="J3" s="499"/>
    </row>
    <row r="4" spans="1:15">
      <c r="A4" t="s">
        <v>32</v>
      </c>
      <c r="D4" s="524" t="s">
        <v>2094</v>
      </c>
      <c r="E4" s="441"/>
      <c r="F4" s="441"/>
      <c r="G4" s="441"/>
      <c r="H4" s="441"/>
      <c r="I4" s="441"/>
      <c r="J4" s="441"/>
      <c r="M4" s="323">
        <v>41701</v>
      </c>
    </row>
    <row r="5" spans="1:15">
      <c r="D5" s="442"/>
      <c r="E5" s="442"/>
      <c r="F5" s="442"/>
      <c r="G5" s="442"/>
      <c r="H5" s="442"/>
      <c r="I5" s="442"/>
      <c r="J5" s="442"/>
      <c r="M5" s="322"/>
    </row>
    <row r="6" spans="1:15">
      <c r="A6" t="s">
        <v>33</v>
      </c>
      <c r="D6" s="847" t="str">
        <f>TEXT(D12, "d mmmm, yyyy")</f>
        <v>31 December, 2016</v>
      </c>
      <c r="E6" s="848"/>
      <c r="F6" s="848"/>
      <c r="K6" s="158"/>
      <c r="L6" s="158"/>
      <c r="M6" s="325"/>
    </row>
    <row r="7" spans="1:15">
      <c r="D7" s="848" t="str">
        <f>+UPPER(D6)</f>
        <v>31 DECEMBER, 2016</v>
      </c>
      <c r="E7" s="848"/>
      <c r="F7" s="848"/>
      <c r="K7" s="322">
        <v>1</v>
      </c>
      <c r="L7" s="323">
        <v>41275</v>
      </c>
      <c r="M7" s="323">
        <v>41700</v>
      </c>
      <c r="N7" s="322" t="s">
        <v>34</v>
      </c>
      <c r="O7" s="322">
        <f>IF(M7&lt;M4,1,0)</f>
        <v>1</v>
      </c>
    </row>
    <row r="8" spans="1:15">
      <c r="E8" s="57" t="str">
        <f>+LOWER(D9)</f>
        <v>period</v>
      </c>
      <c r="F8" s="57" t="str">
        <f>+UPPER(D9)</f>
        <v>PERIOD</v>
      </c>
      <c r="K8" s="322">
        <v>2</v>
      </c>
      <c r="L8" s="323">
        <v>41365</v>
      </c>
      <c r="M8" s="323">
        <v>41729</v>
      </c>
      <c r="N8" s="322" t="s">
        <v>35</v>
      </c>
      <c r="O8" s="322">
        <f>IF(AND(L8&lt;M4,M8&gt;M4),1,0)</f>
        <v>1</v>
      </c>
    </row>
    <row r="9" spans="1:15">
      <c r="A9" t="s">
        <v>36</v>
      </c>
      <c r="D9" t="str">
        <f>IF(D30=1,"Period",IF(AND(D13=12,D14=0),"Year","Period"))</f>
        <v>Period</v>
      </c>
      <c r="G9" t="str">
        <f>+IF(AND(G13=12,G14=0),"Year","Period")</f>
        <v>Period</v>
      </c>
      <c r="K9" s="322">
        <v>3</v>
      </c>
      <c r="L9" s="323">
        <v>41730</v>
      </c>
      <c r="M9" s="323">
        <v>42094</v>
      </c>
      <c r="N9" s="322"/>
      <c r="O9" s="322">
        <f>IF(L9&gt;M4,1,0)</f>
        <v>1</v>
      </c>
    </row>
    <row r="10" spans="1:15">
      <c r="D10" s="117" t="s">
        <v>37</v>
      </c>
      <c r="G10" s="117" t="s">
        <v>38</v>
      </c>
      <c r="K10" s="322"/>
      <c r="L10" s="322"/>
      <c r="M10" s="322"/>
      <c r="N10" s="322"/>
      <c r="O10" s="322"/>
    </row>
    <row r="11" spans="1:15">
      <c r="A11" t="s">
        <v>39</v>
      </c>
      <c r="D11" s="259">
        <v>41626</v>
      </c>
      <c r="E11" s="260"/>
      <c r="F11" t="s">
        <v>39</v>
      </c>
      <c r="G11" s="259">
        <v>41640</v>
      </c>
      <c r="H11" s="260"/>
      <c r="K11" s="322"/>
      <c r="L11" s="322"/>
      <c r="M11" s="322"/>
      <c r="N11" s="322"/>
      <c r="O11" s="322"/>
    </row>
    <row r="12" spans="1:15">
      <c r="A12" t="s">
        <v>40</v>
      </c>
      <c r="D12" s="259">
        <v>42582</v>
      </c>
      <c r="E12" s="158">
        <f>+D12+1</f>
        <v>42736</v>
      </c>
      <c r="F12" t="s">
        <v>40</v>
      </c>
      <c r="G12" s="259">
        <v>42004</v>
      </c>
      <c r="H12" s="158">
        <f>+G12+1</f>
        <v>42736</v>
      </c>
      <c r="K12" s="324">
        <v>42149</v>
      </c>
      <c r="L12" s="322"/>
      <c r="M12" s="322">
        <f>IF(D12&lt;M4,1,IF(AND(D11&lt;M4,D12&gt;M4),2,IF(D11&gt;M4,3,0)))</f>
        <v>2</v>
      </c>
      <c r="N12" s="322"/>
      <c r="O12" s="322"/>
    </row>
    <row r="13" spans="1:15">
      <c r="A13" t="s">
        <v>41</v>
      </c>
      <c r="D13" s="57">
        <f>+DATEDIF(D11,E12,"m")</f>
        <v>33</v>
      </c>
      <c r="F13" t="s">
        <v>41</v>
      </c>
      <c r="G13" s="57">
        <f>+DATEDIF(G11,H12,"m")</f>
        <v>13</v>
      </c>
      <c r="H13" t="str">
        <f>TEXT(G12, "d mmmm, yyyy")</f>
        <v>31 December, 2016</v>
      </c>
    </row>
    <row r="14" spans="1:15">
      <c r="A14" t="s">
        <v>42</v>
      </c>
      <c r="D14">
        <f>+DATEDIF(D11,E12,"md")</f>
        <v>30</v>
      </c>
      <c r="F14" t="s">
        <v>42</v>
      </c>
      <c r="G14">
        <f>+DATEDIF(G11,H12,"md")</f>
        <v>14</v>
      </c>
      <c r="I14" s="429"/>
    </row>
    <row r="15" spans="1:15">
      <c r="A15" t="s">
        <v>43</v>
      </c>
      <c r="D15" t="str">
        <f>+IF(AND(D13&gt;=18,D14&gt;=0,(D13+D14)&gt;=19),"over 18 months","within 18 months")</f>
        <v>over 18 months</v>
      </c>
      <c r="F15" t="s">
        <v>43</v>
      </c>
      <c r="G15" t="str">
        <f>+IF(AND(G13&gt;=18,G14&gt;=0,(G13+G14)&gt;=19),"over 18 months","within 18 months")</f>
        <v>within 18 months</v>
      </c>
    </row>
    <row r="17" spans="1:17">
      <c r="A17" t="s">
        <v>1557</v>
      </c>
      <c r="D17" s="53">
        <v>0</v>
      </c>
      <c r="E17" t="s">
        <v>1558</v>
      </c>
    </row>
    <row r="19" spans="1:17" s="295" customFormat="1">
      <c r="A19" s="295" t="s">
        <v>1943</v>
      </c>
      <c r="D19" s="756">
        <v>0</v>
      </c>
      <c r="E19" s="295" t="s">
        <v>1558</v>
      </c>
    </row>
    <row r="21" spans="1:17">
      <c r="A21" t="s">
        <v>44</v>
      </c>
      <c r="D21" s="501" t="s">
        <v>2095</v>
      </c>
      <c r="E21" t="s">
        <v>1267</v>
      </c>
      <c r="F21" t="s">
        <v>1265</v>
      </c>
      <c r="G21" t="s">
        <v>46</v>
      </c>
      <c r="H21" t="s">
        <v>1195</v>
      </c>
      <c r="I21" t="s">
        <v>47</v>
      </c>
      <c r="J21" t="s">
        <v>48</v>
      </c>
      <c r="K21" t="s">
        <v>49</v>
      </c>
      <c r="L21" t="s">
        <v>1094</v>
      </c>
      <c r="M21" t="s">
        <v>1164</v>
      </c>
      <c r="N21" t="s">
        <v>1241</v>
      </c>
      <c r="O21" t="s">
        <v>1259</v>
      </c>
      <c r="P21" t="s">
        <v>1261</v>
      </c>
      <c r="Q21" t="s">
        <v>1298</v>
      </c>
    </row>
    <row r="22" spans="1:17">
      <c r="E22" t="s">
        <v>1269</v>
      </c>
      <c r="F22" t="s">
        <v>50</v>
      </c>
      <c r="G22" t="s">
        <v>1170</v>
      </c>
      <c r="H22" t="s">
        <v>1197</v>
      </c>
      <c r="I22" t="s">
        <v>51</v>
      </c>
      <c r="J22" t="s">
        <v>1196</v>
      </c>
      <c r="K22" t="s">
        <v>45</v>
      </c>
      <c r="L22" t="s">
        <v>1099</v>
      </c>
      <c r="M22" t="s">
        <v>1188</v>
      </c>
      <c r="N22" t="s">
        <v>1266</v>
      </c>
      <c r="O22" t="s">
        <v>1260</v>
      </c>
      <c r="P22" t="s">
        <v>1268</v>
      </c>
    </row>
    <row r="24" spans="1:17">
      <c r="A24" t="s">
        <v>1180</v>
      </c>
      <c r="D24" s="53">
        <v>0</v>
      </c>
      <c r="E24" t="s">
        <v>1183</v>
      </c>
    </row>
    <row r="25" spans="1:17">
      <c r="D25" s="53" t="s">
        <v>2006</v>
      </c>
      <c r="E25" t="s">
        <v>1181</v>
      </c>
    </row>
    <row r="26" spans="1:17">
      <c r="D26" s="171">
        <v>42300</v>
      </c>
      <c r="E26" t="s">
        <v>1182</v>
      </c>
    </row>
    <row r="28" spans="1:17">
      <c r="A28" t="s">
        <v>52</v>
      </c>
      <c r="D28" s="53">
        <v>1</v>
      </c>
      <c r="E28" t="s">
        <v>53</v>
      </c>
    </row>
    <row r="29" spans="1:17">
      <c r="H29" s="386"/>
    </row>
    <row r="30" spans="1:17">
      <c r="A30" t="s">
        <v>54</v>
      </c>
      <c r="D30" s="53">
        <v>1</v>
      </c>
      <c r="E30" t="s">
        <v>55</v>
      </c>
    </row>
    <row r="32" spans="1:17">
      <c r="A32" t="s">
        <v>56</v>
      </c>
      <c r="D32" s="53">
        <v>0</v>
      </c>
      <c r="E32" t="s">
        <v>55</v>
      </c>
    </row>
    <row r="34" spans="1:9">
      <c r="A34" t="s">
        <v>57</v>
      </c>
      <c r="D34" s="53">
        <v>0</v>
      </c>
      <c r="E34" t="s">
        <v>55</v>
      </c>
    </row>
    <row r="36" spans="1:9">
      <c r="A36" t="s">
        <v>1380</v>
      </c>
      <c r="D36" s="53">
        <v>1</v>
      </c>
      <c r="E36" t="s">
        <v>55</v>
      </c>
    </row>
    <row r="39" spans="1:9">
      <c r="A39" t="s">
        <v>1273</v>
      </c>
      <c r="D39" s="53">
        <v>0</v>
      </c>
      <c r="E39" t="s">
        <v>55</v>
      </c>
    </row>
    <row r="40" spans="1:9">
      <c r="D40" s="53" t="s">
        <v>2096</v>
      </c>
      <c r="E40" t="s">
        <v>1274</v>
      </c>
    </row>
    <row r="41" spans="1:9">
      <c r="D41" s="295" t="s">
        <v>2008</v>
      </c>
      <c r="E41" s="295" t="s">
        <v>1898</v>
      </c>
      <c r="F41" s="295"/>
      <c r="G41" s="295"/>
    </row>
    <row r="42" spans="1:9">
      <c r="D42" s="53" t="s">
        <v>2007</v>
      </c>
      <c r="E42" t="s">
        <v>1275</v>
      </c>
    </row>
    <row r="43" spans="1:9">
      <c r="D43" s="295" t="s">
        <v>2008</v>
      </c>
      <c r="E43" s="295" t="s">
        <v>1899</v>
      </c>
      <c r="F43" s="295"/>
      <c r="G43" s="295"/>
    </row>
    <row r="45" spans="1:9">
      <c r="A45" s="295" t="s">
        <v>1900</v>
      </c>
      <c r="B45" s="295"/>
      <c r="C45" s="295"/>
      <c r="D45" s="295"/>
      <c r="E45" s="295"/>
      <c r="F45" s="295"/>
      <c r="G45" s="295"/>
      <c r="H45" s="295"/>
      <c r="I45" s="295"/>
    </row>
    <row r="46" spans="1:9">
      <c r="A46" s="295" t="s">
        <v>1901</v>
      </c>
      <c r="B46" s="295"/>
      <c r="C46" s="295"/>
      <c r="D46" s="756"/>
      <c r="E46" s="295" t="s">
        <v>1902</v>
      </c>
      <c r="F46" s="295"/>
      <c r="G46" s="295"/>
      <c r="H46" s="295"/>
      <c r="I46" s="295"/>
    </row>
    <row r="47" spans="1:9">
      <c r="A47" s="295"/>
      <c r="B47" s="295"/>
      <c r="C47" s="295"/>
      <c r="D47" s="756"/>
      <c r="E47" s="295" t="s">
        <v>1903</v>
      </c>
      <c r="F47" s="295"/>
      <c r="G47" s="295"/>
      <c r="H47" s="295"/>
      <c r="I47" s="295"/>
    </row>
    <row r="48" spans="1:9">
      <c r="A48" s="295"/>
      <c r="B48" s="295"/>
      <c r="C48" s="295"/>
      <c r="D48" s="756"/>
      <c r="E48" s="295" t="s">
        <v>1904</v>
      </c>
      <c r="F48" s="295"/>
      <c r="G48" s="295"/>
      <c r="H48" s="295"/>
      <c r="I48" s="295"/>
    </row>
    <row r="49" spans="1:12">
      <c r="A49" s="295"/>
      <c r="B49" s="295"/>
      <c r="C49" s="295"/>
      <c r="D49" s="756"/>
      <c r="E49" s="295" t="s">
        <v>1905</v>
      </c>
      <c r="F49" s="295"/>
      <c r="G49" s="295"/>
      <c r="H49" s="295"/>
      <c r="I49" s="295"/>
    </row>
    <row r="51" spans="1:12">
      <c r="A51" t="s">
        <v>58</v>
      </c>
      <c r="D51" s="53" t="s">
        <v>1323</v>
      </c>
      <c r="E51" t="s">
        <v>59</v>
      </c>
      <c r="H51" t="s">
        <v>60</v>
      </c>
      <c r="I51" t="s">
        <v>1228</v>
      </c>
      <c r="J51" t="s">
        <v>1323</v>
      </c>
      <c r="K51" t="s">
        <v>1384</v>
      </c>
      <c r="L51" t="s">
        <v>1636</v>
      </c>
    </row>
    <row r="52" spans="1:12">
      <c r="D52" s="53" t="s">
        <v>1324</v>
      </c>
      <c r="E52" t="s">
        <v>61</v>
      </c>
      <c r="H52" t="s">
        <v>62</v>
      </c>
      <c r="I52" t="s">
        <v>1229</v>
      </c>
      <c r="J52" t="s">
        <v>1324</v>
      </c>
      <c r="K52" t="s">
        <v>1385</v>
      </c>
      <c r="L52" t="s">
        <v>1637</v>
      </c>
    </row>
    <row r="53" spans="1:12">
      <c r="D53" s="53" t="s">
        <v>1325</v>
      </c>
      <c r="H53" t="s">
        <v>63</v>
      </c>
      <c r="I53" t="s">
        <v>1230</v>
      </c>
      <c r="J53" t="s">
        <v>1325</v>
      </c>
      <c r="K53" t="s">
        <v>1386</v>
      </c>
      <c r="L53" t="s">
        <v>1638</v>
      </c>
    </row>
    <row r="55" spans="1:12">
      <c r="A55" t="s">
        <v>64</v>
      </c>
      <c r="D55" s="53">
        <v>1</v>
      </c>
      <c r="E55" t="s">
        <v>55</v>
      </c>
    </row>
    <row r="56" spans="1:12">
      <c r="A56" t="s">
        <v>65</v>
      </c>
      <c r="D56" s="53" t="s">
        <v>2093</v>
      </c>
      <c r="E56" t="s">
        <v>66</v>
      </c>
    </row>
    <row r="57" spans="1:12">
      <c r="A57" t="s">
        <v>67</v>
      </c>
      <c r="D57" s="171">
        <v>42016</v>
      </c>
    </row>
    <row r="59" spans="1:12">
      <c r="A59" t="s">
        <v>68</v>
      </c>
      <c r="D59" s="53">
        <v>0</v>
      </c>
      <c r="E59" t="s">
        <v>55</v>
      </c>
    </row>
    <row r="60" spans="1:12">
      <c r="A60" t="s">
        <v>69</v>
      </c>
      <c r="D60" s="171">
        <v>42004</v>
      </c>
    </row>
    <row r="61" spans="1:12">
      <c r="A61" t="s">
        <v>70</v>
      </c>
      <c r="D61" s="301" t="s">
        <v>2097</v>
      </c>
      <c r="E61" t="s">
        <v>71</v>
      </c>
    </row>
    <row r="62" spans="1:12">
      <c r="A62" t="s">
        <v>72</v>
      </c>
      <c r="D62" s="53" t="s">
        <v>2098</v>
      </c>
    </row>
    <row r="64" spans="1:12">
      <c r="A64" t="s">
        <v>73</v>
      </c>
      <c r="D64" s="53">
        <v>1</v>
      </c>
      <c r="E64" t="s">
        <v>1556</v>
      </c>
    </row>
    <row r="65" spans="1:8">
      <c r="A65" t="s">
        <v>1124</v>
      </c>
      <c r="D65" s="53" t="s">
        <v>2099</v>
      </c>
      <c r="E65" t="s">
        <v>1639</v>
      </c>
    </row>
    <row r="67" spans="1:8">
      <c r="A67" t="s">
        <v>74</v>
      </c>
      <c r="D67" s="53" t="s">
        <v>1304</v>
      </c>
      <c r="F67" t="s">
        <v>1595</v>
      </c>
      <c r="G67" t="s">
        <v>1304</v>
      </c>
      <c r="H67" t="s">
        <v>1593</v>
      </c>
    </row>
    <row r="68" spans="1:8">
      <c r="D68" s="53" t="s">
        <v>1305</v>
      </c>
      <c r="F68" t="s">
        <v>1596</v>
      </c>
      <c r="G68" t="s">
        <v>1305</v>
      </c>
      <c r="H68" t="s">
        <v>1597</v>
      </c>
    </row>
    <row r="69" spans="1:8">
      <c r="D69" s="53" t="s">
        <v>1306</v>
      </c>
      <c r="F69" t="s">
        <v>1598</v>
      </c>
      <c r="G69" t="s">
        <v>1306</v>
      </c>
      <c r="H69" t="s">
        <v>1594</v>
      </c>
    </row>
    <row r="71" spans="1:8">
      <c r="A71" t="s">
        <v>1592</v>
      </c>
      <c r="D71" s="53" t="s">
        <v>1304</v>
      </c>
      <c r="F71" t="s">
        <v>1595</v>
      </c>
      <c r="G71" t="s">
        <v>1304</v>
      </c>
      <c r="H71" t="s">
        <v>1593</v>
      </c>
    </row>
    <row r="72" spans="1:8">
      <c r="D72" s="53" t="s">
        <v>1305</v>
      </c>
      <c r="F72" t="s">
        <v>1596</v>
      </c>
      <c r="G72" t="s">
        <v>1305</v>
      </c>
      <c r="H72" t="s">
        <v>1599</v>
      </c>
    </row>
    <row r="73" spans="1:8">
      <c r="D73" s="53" t="s">
        <v>1306</v>
      </c>
      <c r="F73" t="s">
        <v>1598</v>
      </c>
      <c r="G73" t="s">
        <v>1306</v>
      </c>
      <c r="H73" t="s">
        <v>1594</v>
      </c>
    </row>
    <row r="75" spans="1:8">
      <c r="A75" t="s">
        <v>75</v>
      </c>
      <c r="D75" s="403" t="s">
        <v>2100</v>
      </c>
      <c r="E75" s="53"/>
      <c r="F75" s="296" t="s">
        <v>76</v>
      </c>
    </row>
    <row r="77" spans="1:8">
      <c r="A77" s="496" t="s">
        <v>1169</v>
      </c>
      <c r="B77" s="183"/>
      <c r="C77" s="183"/>
      <c r="D77" s="183"/>
      <c r="E77" s="183"/>
    </row>
    <row r="78" spans="1:8" hidden="1">
      <c r="A78" s="156" t="s">
        <v>77</v>
      </c>
      <c r="D78" s="57">
        <f>+'Dir info'!C1</f>
        <v>1</v>
      </c>
    </row>
    <row r="79" spans="1:8" hidden="1">
      <c r="A79" s="156"/>
    </row>
    <row r="80" spans="1:8" hidden="1">
      <c r="A80" t="s">
        <v>78</v>
      </c>
      <c r="D80" s="848" t="s">
        <v>1165</v>
      </c>
      <c r="E80" s="848"/>
      <c r="F80" s="848"/>
    </row>
    <row r="81" spans="1:10" hidden="1">
      <c r="A81" t="s">
        <v>79</v>
      </c>
    </row>
    <row r="82" spans="1:10" hidden="1">
      <c r="A82" t="s">
        <v>80</v>
      </c>
      <c r="D82" s="844" t="s">
        <v>1147</v>
      </c>
      <c r="E82" s="844"/>
      <c r="F82" s="844"/>
    </row>
    <row r="83" spans="1:10" hidden="1"/>
    <row r="84" spans="1:10" hidden="1">
      <c r="A84" t="s">
        <v>82</v>
      </c>
      <c r="D84" s="844" t="s">
        <v>1166</v>
      </c>
      <c r="E84" s="844"/>
      <c r="F84" s="844"/>
      <c r="H84" t="s">
        <v>83</v>
      </c>
      <c r="I84" t="s">
        <v>84</v>
      </c>
    </row>
    <row r="85" spans="1:10" hidden="1"/>
    <row r="86" spans="1:10" hidden="1">
      <c r="A86" t="s">
        <v>85</v>
      </c>
      <c r="D86" s="850">
        <v>355709</v>
      </c>
      <c r="E86" s="850"/>
      <c r="F86" s="850"/>
      <c r="G86" t="s">
        <v>86</v>
      </c>
    </row>
    <row r="87" spans="1:10" hidden="1"/>
    <row r="88" spans="1:10" hidden="1">
      <c r="A88" t="s">
        <v>87</v>
      </c>
      <c r="D88" s="844" t="s">
        <v>2101</v>
      </c>
      <c r="E88" s="844"/>
      <c r="F88" s="844"/>
      <c r="G88" s="844"/>
      <c r="H88" s="844"/>
      <c r="I88" s="441"/>
      <c r="J88" s="441"/>
    </row>
    <row r="89" spans="1:10" hidden="1"/>
    <row r="90" spans="1:10" hidden="1">
      <c r="A90" s="117" t="s">
        <v>88</v>
      </c>
    </row>
    <row r="91" spans="1:10" hidden="1">
      <c r="A91" t="s">
        <v>89</v>
      </c>
      <c r="D91" s="850">
        <v>38400</v>
      </c>
      <c r="E91" s="850"/>
      <c r="F91" s="850"/>
    </row>
    <row r="94" spans="1:10">
      <c r="A94" s="117" t="s">
        <v>90</v>
      </c>
    </row>
    <row r="95" spans="1:10">
      <c r="A95" s="156" t="s">
        <v>91</v>
      </c>
      <c r="D95" s="53">
        <f>+L100+M100+M101+M102+L102+L101</f>
        <v>1</v>
      </c>
    </row>
    <row r="96" spans="1:10">
      <c r="A96" t="s">
        <v>92</v>
      </c>
      <c r="D96" s="57" t="str">
        <f>+IF(D95=1,"shareholder","shareholders")</f>
        <v>shareholder</v>
      </c>
    </row>
    <row r="97" spans="1:13">
      <c r="A97" t="s">
        <v>93</v>
      </c>
      <c r="D97" s="53" t="s">
        <v>2102</v>
      </c>
      <c r="G97" t="s">
        <v>94</v>
      </c>
      <c r="H97" t="s">
        <v>95</v>
      </c>
      <c r="I97" t="s">
        <v>96</v>
      </c>
    </row>
    <row r="98" spans="1:13">
      <c r="A98" t="s">
        <v>97</v>
      </c>
      <c r="D98" s="57" t="str">
        <f>+IF(D95=1,"I","We")</f>
        <v>I</v>
      </c>
      <c r="E98" s="57" t="str">
        <f>+IF(D95=1,"I","we")</f>
        <v>I</v>
      </c>
    </row>
    <row r="100" spans="1:13">
      <c r="A100" t="s">
        <v>98</v>
      </c>
      <c r="C100">
        <v>1</v>
      </c>
      <c r="D100" s="844" t="str">
        <f>+'Dir info'!C4</f>
        <v>Zhou Qianwei</v>
      </c>
      <c r="E100" s="844"/>
      <c r="F100">
        <v>2</v>
      </c>
      <c r="G100" s="845" t="str">
        <f>+'Dir info'!C4</f>
        <v>Zhou Qianwei</v>
      </c>
      <c r="H100" s="844"/>
      <c r="I100" s="844"/>
      <c r="J100" s="844"/>
      <c r="K100" s="844"/>
      <c r="L100">
        <f>IF(D100=0,0,1)</f>
        <v>1</v>
      </c>
      <c r="M100">
        <f>IF(G100=0,0,1)</f>
        <v>0</v>
      </c>
    </row>
    <row r="101" spans="1:13">
      <c r="C101">
        <v>3</v>
      </c>
      <c r="D101" s="844">
        <f>+'Dir info'!C5</f>
        <v>0</v>
      </c>
      <c r="E101" s="844"/>
      <c r="F101">
        <v>4</v>
      </c>
      <c r="G101" s="844">
        <f>+'Dir info'!C6</f>
        <v>0</v>
      </c>
      <c r="H101" s="844"/>
      <c r="I101" s="844"/>
      <c r="J101" s="844"/>
      <c r="K101" s="844"/>
      <c r="L101">
        <f>IF(D101=0,0,1)</f>
        <v>0</v>
      </c>
      <c r="M101">
        <f>IF(G101=0,0,1)</f>
        <v>0</v>
      </c>
    </row>
    <row r="102" spans="1:13">
      <c r="C102">
        <v>5</v>
      </c>
      <c r="D102" s="844">
        <f>+'Dir info'!C7</f>
        <v>0</v>
      </c>
      <c r="E102" s="844"/>
      <c r="F102">
        <v>6</v>
      </c>
      <c r="G102" s="844">
        <f>+'Dir info'!C8</f>
        <v>0</v>
      </c>
      <c r="H102" s="844"/>
      <c r="I102" s="844"/>
      <c r="J102" s="844"/>
      <c r="K102" s="844"/>
      <c r="L102">
        <f>IF(D102=0,0,1)</f>
        <v>0</v>
      </c>
      <c r="M102">
        <f>IF(G102=0,0,1)</f>
        <v>0</v>
      </c>
    </row>
    <row r="103" spans="1:13">
      <c r="D103" s="57"/>
      <c r="E103" s="57"/>
      <c r="F103" s="57"/>
    </row>
    <row r="104" spans="1:13">
      <c r="A104" s="117" t="s">
        <v>99</v>
      </c>
    </row>
    <row r="106" spans="1:13">
      <c r="A106" t="s">
        <v>100</v>
      </c>
      <c r="D106" s="408">
        <f>+IF(D30=0,Section4!C61,Section4!E61)</f>
        <v>9849</v>
      </c>
      <c r="E106" t="s">
        <v>101</v>
      </c>
    </row>
    <row r="108" spans="1:13">
      <c r="A108" s="117" t="s">
        <v>102</v>
      </c>
    </row>
    <row r="110" spans="1:13">
      <c r="A110" t="s">
        <v>85</v>
      </c>
      <c r="D110" s="97">
        <v>10506.66</v>
      </c>
    </row>
    <row r="112" spans="1:13">
      <c r="A112" s="117" t="s">
        <v>103</v>
      </c>
      <c r="E112" s="57" t="str">
        <f>+IF(D113="Profit","profit","loss")</f>
        <v>loss</v>
      </c>
    </row>
    <row r="113" spans="1:9">
      <c r="A113" t="s">
        <v>104</v>
      </c>
      <c r="D113" s="57" t="str">
        <f>+IF(Section3!C22&gt;0,"Profit","Loss")</f>
        <v>Loss</v>
      </c>
      <c r="E113" t="s">
        <v>105</v>
      </c>
      <c r="H113" t="s">
        <v>106</v>
      </c>
      <c r="I113" t="s">
        <v>107</v>
      </c>
    </row>
    <row r="114" spans="1:9">
      <c r="A114" t="s">
        <v>85</v>
      </c>
      <c r="D114" s="408">
        <f>+IF(Control!D30=0,Section3!C20,Section3!E20)</f>
        <v>0</v>
      </c>
      <c r="F114" t="s">
        <v>108</v>
      </c>
    </row>
    <row r="116" spans="1:9">
      <c r="A116" t="s">
        <v>109</v>
      </c>
      <c r="D116" s="408">
        <f>IF(D114&gt;0,'T com (profit)'!D38,0)</f>
        <v>0</v>
      </c>
    </row>
    <row r="118" spans="1:9" s="183" customFormat="1">
      <c r="A118" s="183" t="s">
        <v>110</v>
      </c>
      <c r="D118" s="184">
        <f>+D114-D116</f>
        <v>0</v>
      </c>
      <c r="E118" s="183" t="s">
        <v>111</v>
      </c>
    </row>
    <row r="119" spans="1:9">
      <c r="A119" s="117" t="s">
        <v>112</v>
      </c>
    </row>
    <row r="120" spans="1:9">
      <c r="A120" t="s">
        <v>113</v>
      </c>
      <c r="D120" s="53" t="s">
        <v>2103</v>
      </c>
    </row>
    <row r="122" spans="1:9">
      <c r="A122" t="s">
        <v>114</v>
      </c>
      <c r="D122" s="57" t="str">
        <f>+CONCATENATE(F122,IF(AND(D13=12,D14=0),I123,I122))</f>
        <v>p.e. From 2 March, 2014 to 31 December, 2016</v>
      </c>
      <c r="E122" s="57"/>
      <c r="F122" t="str">
        <f>+IF(AND(D13=12,D14=0),"y.e. ","p.e. ")</f>
        <v xml:space="preserve">p.e. </v>
      </c>
      <c r="G122" t="s">
        <v>1163</v>
      </c>
      <c r="H122" t="s">
        <v>1162</v>
      </c>
      <c r="I122" t="str">
        <f>+CONCATENATE(G122,TEXT(D11, "d mmmm, yyyy"),H122,TEXT(D12, "d mmmm, yyyy"))</f>
        <v>From 2 March, 2014 to 31 December, 2016</v>
      </c>
    </row>
    <row r="123" spans="1:9">
      <c r="D123" s="57"/>
      <c r="E123" s="57"/>
      <c r="I123" t="str">
        <f>+D6</f>
        <v>31 December, 2016</v>
      </c>
    </row>
    <row r="124" spans="1:9">
      <c r="A124" t="s">
        <v>115</v>
      </c>
      <c r="D124" s="53">
        <v>-9</v>
      </c>
      <c r="E124" t="s">
        <v>116</v>
      </c>
    </row>
    <row r="125" spans="1:9">
      <c r="E125" s="57" t="s">
        <v>117</v>
      </c>
    </row>
    <row r="127" spans="1:9">
      <c r="A127" t="s">
        <v>118</v>
      </c>
      <c r="D127" s="435"/>
    </row>
    <row r="129" spans="1:17">
      <c r="A129" s="117" t="s">
        <v>119</v>
      </c>
    </row>
    <row r="130" spans="1:17">
      <c r="A130" t="s">
        <v>120</v>
      </c>
      <c r="D130" s="53"/>
    </row>
    <row r="132" spans="1:17">
      <c r="A132" t="s">
        <v>121</v>
      </c>
      <c r="D132" s="851"/>
      <c r="E132" s="852"/>
    </row>
    <row r="135" spans="1:17">
      <c r="A135" s="117" t="s">
        <v>122</v>
      </c>
      <c r="K135">
        <f>+IF(D136="Eric K.H. Tang",1,0)</f>
        <v>0</v>
      </c>
      <c r="N135">
        <f>+IF(D136="Matthew S.H. Law",1,0)</f>
        <v>1</v>
      </c>
    </row>
    <row r="136" spans="1:17">
      <c r="A136" t="s">
        <v>123</v>
      </c>
      <c r="D136" s="441" t="s">
        <v>2104</v>
      </c>
      <c r="E136" s="441"/>
      <c r="F136" s="441"/>
      <c r="G136" s="441"/>
      <c r="H136" s="441"/>
      <c r="I136" s="441"/>
      <c r="J136" s="441"/>
      <c r="K136" t="s">
        <v>1989</v>
      </c>
      <c r="M136" s="549"/>
      <c r="N136" t="s">
        <v>1360</v>
      </c>
      <c r="Q136" t="s">
        <v>1985</v>
      </c>
    </row>
    <row r="137" spans="1:17">
      <c r="D137" s="441" t="s">
        <v>1995</v>
      </c>
      <c r="E137" s="441"/>
      <c r="F137" s="441"/>
      <c r="G137" s="441"/>
      <c r="H137" s="441"/>
      <c r="I137" s="441"/>
      <c r="J137" s="441"/>
      <c r="K137" t="s">
        <v>1357</v>
      </c>
      <c r="N137" t="s">
        <v>1357</v>
      </c>
      <c r="Q137" t="s">
        <v>1984</v>
      </c>
    </row>
    <row r="138" spans="1:17">
      <c r="D138" s="441" t="s">
        <v>2105</v>
      </c>
      <c r="E138" s="441"/>
      <c r="F138" s="441"/>
      <c r="G138" s="441"/>
      <c r="H138" s="441"/>
      <c r="I138" s="441"/>
      <c r="J138" s="441"/>
      <c r="K138" t="s">
        <v>1361</v>
      </c>
      <c r="N138" t="s">
        <v>1362</v>
      </c>
      <c r="Q138" t="s">
        <v>1979</v>
      </c>
    </row>
    <row r="139" spans="1:17">
      <c r="A139" t="s">
        <v>1234</v>
      </c>
      <c r="D139" s="509" t="s">
        <v>2106</v>
      </c>
      <c r="E139" s="509"/>
      <c r="F139" s="509"/>
      <c r="G139" s="509"/>
      <c r="H139" s="509"/>
      <c r="I139" s="509"/>
      <c r="J139" s="509"/>
      <c r="K139" t="s">
        <v>1240</v>
      </c>
      <c r="N139" t="s">
        <v>1364</v>
      </c>
      <c r="Q139" t="s">
        <v>1986</v>
      </c>
    </row>
    <row r="140" spans="1:17">
      <c r="A140" t="s">
        <v>1235</v>
      </c>
      <c r="D140" s="509" t="s">
        <v>2107</v>
      </c>
      <c r="E140" s="509"/>
      <c r="F140" s="509"/>
      <c r="G140" s="509"/>
      <c r="H140" s="509"/>
      <c r="I140" s="509"/>
      <c r="J140" s="509"/>
      <c r="K140" t="s">
        <v>1270</v>
      </c>
      <c r="N140" t="s">
        <v>1363</v>
      </c>
      <c r="Q140" t="s">
        <v>1987</v>
      </c>
    </row>
    <row r="142" spans="1:17">
      <c r="A142" t="s">
        <v>126</v>
      </c>
      <c r="D142" s="53" t="s">
        <v>2108</v>
      </c>
      <c r="E142" s="53"/>
      <c r="F142" s="53"/>
      <c r="G142" s="53"/>
      <c r="H142" s="53"/>
      <c r="I142" s="53"/>
      <c r="J142" s="53"/>
      <c r="K142" t="s">
        <v>2013</v>
      </c>
      <c r="L142" t="s">
        <v>1632</v>
      </c>
      <c r="N142" t="s">
        <v>1365</v>
      </c>
      <c r="Q142" t="s">
        <v>1980</v>
      </c>
    </row>
    <row r="143" spans="1:17">
      <c r="D143" s="53" t="s">
        <v>2109</v>
      </c>
      <c r="E143" s="53"/>
      <c r="F143" s="53"/>
      <c r="G143" s="53"/>
      <c r="H143" s="53"/>
      <c r="I143" s="53"/>
      <c r="J143" s="53"/>
      <c r="K143" t="s">
        <v>1231</v>
      </c>
      <c r="L143" t="s">
        <v>1633</v>
      </c>
      <c r="N143" t="s">
        <v>1366</v>
      </c>
      <c r="Q143" t="s">
        <v>1981</v>
      </c>
    </row>
    <row r="144" spans="1:17">
      <c r="D144" s="57"/>
      <c r="E144" s="57"/>
      <c r="F144" s="57"/>
      <c r="G144" s="57"/>
      <c r="H144" s="57"/>
      <c r="I144" s="57"/>
      <c r="J144" s="57"/>
    </row>
    <row r="145" spans="1:17">
      <c r="A145" t="s">
        <v>127</v>
      </c>
      <c r="D145" s="53" t="s">
        <v>1236</v>
      </c>
      <c r="E145" s="53"/>
      <c r="F145" s="57"/>
      <c r="G145" s="57"/>
      <c r="H145" s="57"/>
      <c r="I145" s="57"/>
      <c r="J145" s="57"/>
      <c r="K145" t="s">
        <v>1236</v>
      </c>
      <c r="N145" t="s">
        <v>1236</v>
      </c>
      <c r="Q145" t="s">
        <v>1236</v>
      </c>
    </row>
    <row r="146" spans="1:17">
      <c r="A146" t="s">
        <v>128</v>
      </c>
      <c r="D146" s="53" t="s">
        <v>1237</v>
      </c>
      <c r="E146" s="53"/>
      <c r="F146" s="57" t="s">
        <v>129</v>
      </c>
      <c r="G146" s="57"/>
      <c r="H146" s="57"/>
      <c r="I146" s="57"/>
      <c r="J146" s="57"/>
      <c r="K146" t="s">
        <v>1367</v>
      </c>
      <c r="N146" t="s">
        <v>1368</v>
      </c>
      <c r="Q146" t="s">
        <v>1982</v>
      </c>
    </row>
    <row r="147" spans="1:17">
      <c r="A147" t="s">
        <v>128</v>
      </c>
      <c r="D147" s="53" t="s">
        <v>1237</v>
      </c>
      <c r="E147" s="53"/>
      <c r="F147" s="57" t="s">
        <v>130</v>
      </c>
      <c r="G147" s="57"/>
      <c r="H147" s="57"/>
      <c r="I147" s="57"/>
      <c r="J147" s="57"/>
      <c r="K147" t="s">
        <v>1237</v>
      </c>
      <c r="N147" t="s">
        <v>1368</v>
      </c>
      <c r="Q147" t="s">
        <v>1982</v>
      </c>
    </row>
    <row r="148" spans="1:17">
      <c r="A148" t="s">
        <v>131</v>
      </c>
      <c r="D148" s="53" t="s">
        <v>2110</v>
      </c>
      <c r="E148" s="53"/>
      <c r="F148" s="57"/>
      <c r="G148" s="57"/>
      <c r="H148" s="57"/>
      <c r="I148" s="57"/>
      <c r="J148" s="57"/>
      <c r="K148" t="s">
        <v>1460</v>
      </c>
      <c r="N148" s="549" t="s">
        <v>1369</v>
      </c>
      <c r="Q148" t="s">
        <v>1983</v>
      </c>
    </row>
    <row r="149" spans="1:17">
      <c r="K149" t="s">
        <v>1461</v>
      </c>
    </row>
    <row r="150" spans="1:17">
      <c r="A150" t="s">
        <v>1246</v>
      </c>
      <c r="D150" s="514" t="s">
        <v>1988</v>
      </c>
      <c r="K150" t="s">
        <v>1459</v>
      </c>
      <c r="N150" t="s">
        <v>1458</v>
      </c>
      <c r="Q150" t="s">
        <v>1988</v>
      </c>
    </row>
    <row r="152" spans="1:17">
      <c r="A152" t="s">
        <v>1643</v>
      </c>
    </row>
    <row r="154" spans="1:17">
      <c r="A154" t="s">
        <v>1644</v>
      </c>
    </row>
    <row r="155" spans="1:17">
      <c r="A155" t="s">
        <v>1645</v>
      </c>
    </row>
    <row r="160" spans="1:17">
      <c r="A160" t="s">
        <v>132</v>
      </c>
    </row>
    <row r="162" spans="1:6">
      <c r="A162" s="849" t="s">
        <v>133</v>
      </c>
      <c r="B162" s="849"/>
      <c r="C162" s="849"/>
      <c r="D162" s="849"/>
      <c r="E162" s="849"/>
      <c r="F162" s="849"/>
    </row>
    <row r="163" spans="1:6">
      <c r="A163" s="849"/>
      <c r="B163" s="849"/>
      <c r="C163" s="849"/>
      <c r="D163" s="849"/>
      <c r="E163" s="849"/>
      <c r="F163" s="849"/>
    </row>
    <row r="164" spans="1:6">
      <c r="A164" s="849"/>
      <c r="B164" s="849"/>
      <c r="C164" s="849"/>
      <c r="D164" s="849"/>
      <c r="E164" s="849"/>
      <c r="F164" s="849"/>
    </row>
    <row r="165" spans="1:6">
      <c r="A165" s="849"/>
      <c r="B165" s="849"/>
      <c r="C165" s="849"/>
      <c r="D165" s="849"/>
      <c r="E165" s="849"/>
      <c r="F165" s="849"/>
    </row>
    <row r="166" spans="1:6">
      <c r="A166" s="849"/>
      <c r="B166" s="849"/>
      <c r="C166" s="849"/>
      <c r="D166" s="849"/>
      <c r="E166" s="849"/>
      <c r="F166" s="849"/>
    </row>
    <row r="167" spans="1:6" ht="105" customHeight="1">
      <c r="A167" s="849" t="s">
        <v>134</v>
      </c>
      <c r="B167" s="849"/>
      <c r="C167" s="849"/>
      <c r="D167" s="849"/>
      <c r="E167" s="849"/>
      <c r="F167" s="849"/>
    </row>
    <row r="170" spans="1:6">
      <c r="A170" t="s">
        <v>135</v>
      </c>
      <c r="B170" t="s">
        <v>136</v>
      </c>
    </row>
    <row r="172" spans="1:6">
      <c r="A172" t="s">
        <v>137</v>
      </c>
    </row>
    <row r="173" spans="1:6">
      <c r="A173" t="s">
        <v>138</v>
      </c>
    </row>
    <row r="175" spans="1:6">
      <c r="A175" t="s">
        <v>139</v>
      </c>
    </row>
    <row r="177" spans="1:1">
      <c r="A177" t="s">
        <v>140</v>
      </c>
    </row>
    <row r="179" spans="1:1">
      <c r="A179" t="s">
        <v>141</v>
      </c>
    </row>
    <row r="180" spans="1:1">
      <c r="A180" t="s">
        <v>142</v>
      </c>
    </row>
    <row r="182" spans="1:1">
      <c r="A182" t="s">
        <v>143</v>
      </c>
    </row>
    <row r="186" spans="1:1">
      <c r="A186" t="s">
        <v>144</v>
      </c>
    </row>
    <row r="187" spans="1:1">
      <c r="A187" t="s">
        <v>145</v>
      </c>
    </row>
    <row r="188" spans="1:1">
      <c r="A188" t="s">
        <v>146</v>
      </c>
    </row>
  </sheetData>
  <mergeCells count="18">
    <mergeCell ref="A162:F166"/>
    <mergeCell ref="A167:F167"/>
    <mergeCell ref="D91:F91"/>
    <mergeCell ref="D86:F86"/>
    <mergeCell ref="D7:F7"/>
    <mergeCell ref="D80:F80"/>
    <mergeCell ref="D132:E132"/>
    <mergeCell ref="D3:H3"/>
    <mergeCell ref="D82:F82"/>
    <mergeCell ref="D84:F84"/>
    <mergeCell ref="D88:H88"/>
    <mergeCell ref="D6:F6"/>
    <mergeCell ref="G102:K102"/>
    <mergeCell ref="G101:K101"/>
    <mergeCell ref="G100:K100"/>
    <mergeCell ref="D102:E102"/>
    <mergeCell ref="D101:E101"/>
    <mergeCell ref="D100:E100"/>
  </mergeCells>
  <phoneticPr fontId="13" type="noConversion"/>
  <dataValidations count="3">
    <dataValidation type="list" allowBlank="1" showInputMessage="1" showErrorMessage="1" sqref="D113">
      <formula1>TITLE2</formula1>
    </dataValidation>
    <dataValidation type="list" allowBlank="1" showInputMessage="1" showErrorMessage="1" sqref="D97">
      <formula1>Shareholderhishertheir</formula1>
    </dataValidation>
    <dataValidation type="list" allowBlank="1" showInputMessage="1" showErrorMessage="1" sqref="D84:F84">
      <formula1>Due_to_from_a_director</formula1>
    </dataValidation>
  </dataValidations>
  <hyperlinks>
    <hyperlink ref="F75"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FF0000"/>
  </sheetPr>
  <dimension ref="A1:O99"/>
  <sheetViews>
    <sheetView view="pageBreakPreview" zoomScale="115" zoomScaleNormal="100" zoomScaleSheetLayoutView="115" workbookViewId="0">
      <selection activeCell="K4" sqref="K4:P5"/>
    </sheetView>
  </sheetViews>
  <sheetFormatPr defaultRowHeight="15.75"/>
  <cols>
    <col min="1" max="1" width="19.625" bestFit="1" customWidth="1" collapsed="1"/>
    <col min="4" max="4" width="21.125" style="57" bestFit="1" customWidth="1" collapsed="1"/>
    <col min="5" max="5" width="13.5" style="57" bestFit="1" customWidth="1" collapsed="1"/>
    <col min="6" max="6" width="2.75" style="57" customWidth="1" collapsed="1"/>
    <col min="7" max="7" width="11.875" style="57" customWidth="1" collapsed="1"/>
    <col min="8" max="8" width="2.125" style="57" customWidth="1" collapsed="1"/>
    <col min="9" max="9" width="15.25" style="57" bestFit="1" customWidth="1" collapsed="1"/>
    <col min="10" max="10" width="13.125" bestFit="1" customWidth="1" collapsed="1"/>
    <col min="11" max="11" width="12.875" style="429" customWidth="1" collapsed="1"/>
    <col min="12" max="12" width="2.5" customWidth="1" collapsed="1"/>
    <col min="13" max="13" width="0" hidden="1" customWidth="1" collapsed="1"/>
    <col min="14" max="14" width="10.875" bestFit="1" customWidth="1" collapsed="1"/>
    <col min="15" max="15" width="11.75" style="429" customWidth="1" collapsed="1"/>
  </cols>
  <sheetData>
    <row r="1" spans="1:15">
      <c r="A1" t="s">
        <v>1137</v>
      </c>
      <c r="C1" s="53">
        <f>+I10</f>
        <v>1</v>
      </c>
    </row>
    <row r="2" spans="1:15">
      <c r="D2" s="57" t="s">
        <v>1148</v>
      </c>
      <c r="G2" s="57" t="s">
        <v>1149</v>
      </c>
      <c r="I2" s="57" t="s">
        <v>1154</v>
      </c>
      <c r="K2" s="429" t="s">
        <v>851</v>
      </c>
      <c r="M2" t="s">
        <v>1144</v>
      </c>
      <c r="O2" s="429" t="s">
        <v>851</v>
      </c>
    </row>
    <row r="3" spans="1:15">
      <c r="D3" s="57" t="s">
        <v>1150</v>
      </c>
      <c r="E3" s="57" t="s">
        <v>1151</v>
      </c>
    </row>
    <row r="4" spans="1:15">
      <c r="A4" t="s">
        <v>1138</v>
      </c>
      <c r="C4" s="53" t="s">
        <v>2009</v>
      </c>
      <c r="D4" s="487">
        <f>+IF(Control!$D$30=1,Control!$D$11,E4)</f>
        <v>0</v>
      </c>
      <c r="E4" s="171"/>
      <c r="F4" s="486"/>
      <c r="G4" s="171"/>
      <c r="I4" s="57">
        <f t="shared" ref="I4:I9" si="0">IF(C4=0,0,IF(G4=0,1,0))</f>
        <v>1</v>
      </c>
      <c r="J4" t="s">
        <v>1145</v>
      </c>
      <c r="K4" s="97">
        <v>-316165</v>
      </c>
      <c r="M4" s="53"/>
      <c r="N4" t="s">
        <v>2010</v>
      </c>
      <c r="O4" s="97">
        <v>6000</v>
      </c>
    </row>
    <row r="5" spans="1:15">
      <c r="A5" t="s">
        <v>1139</v>
      </c>
      <c r="C5" s="53">
        <v>0</v>
      </c>
      <c r="D5" s="487">
        <f>+IF(Control!$D$30=1,Control!$D$11,E5)</f>
        <v>0</v>
      </c>
      <c r="E5" s="171"/>
      <c r="G5" s="171"/>
      <c r="I5" s="57">
        <f t="shared" si="0"/>
        <v>0</v>
      </c>
      <c r="J5" t="s">
        <v>1145</v>
      </c>
      <c r="K5" s="97"/>
      <c r="M5" s="53"/>
      <c r="N5" t="s">
        <v>2010</v>
      </c>
      <c r="O5" s="97"/>
    </row>
    <row r="6" spans="1:15">
      <c r="A6" t="s">
        <v>1140</v>
      </c>
      <c r="C6" s="53">
        <v>0</v>
      </c>
      <c r="D6" s="487">
        <f>+IF(Control!$D$30=1,Control!$D$11,E6)</f>
        <v>0</v>
      </c>
      <c r="E6" s="171"/>
      <c r="G6" s="171"/>
      <c r="I6" s="57">
        <f t="shared" si="0"/>
        <v>0</v>
      </c>
      <c r="J6" t="s">
        <v>1145</v>
      </c>
      <c r="K6" s="97"/>
      <c r="M6" s="53"/>
      <c r="N6" t="s">
        <v>1146</v>
      </c>
      <c r="O6" s="97"/>
    </row>
    <row r="7" spans="1:15">
      <c r="A7" t="s">
        <v>1141</v>
      </c>
      <c r="C7" s="53">
        <v>0</v>
      </c>
      <c r="D7" s="487">
        <f>+IF(Control!$D$30=1,Control!$D$11,E7)</f>
        <v>0</v>
      </c>
      <c r="E7" s="171"/>
      <c r="G7" s="171"/>
      <c r="I7" s="57">
        <f t="shared" si="0"/>
        <v>0</v>
      </c>
      <c r="J7" t="s">
        <v>1145</v>
      </c>
      <c r="K7" s="97"/>
      <c r="M7" s="53"/>
      <c r="N7" t="s">
        <v>1146</v>
      </c>
      <c r="O7" s="97"/>
    </row>
    <row r="8" spans="1:15">
      <c r="A8" t="s">
        <v>1142</v>
      </c>
      <c r="C8" s="53">
        <v>0</v>
      </c>
      <c r="D8" s="487">
        <f>+IF(Control!$D$30=1,Control!$D$11,E8)</f>
        <v>0</v>
      </c>
      <c r="E8" s="171"/>
      <c r="G8" s="171"/>
      <c r="I8" s="57">
        <f t="shared" si="0"/>
        <v>0</v>
      </c>
      <c r="J8" t="s">
        <v>1145</v>
      </c>
      <c r="K8" s="97"/>
      <c r="M8" s="53"/>
      <c r="N8" t="s">
        <v>1146</v>
      </c>
      <c r="O8" s="97"/>
    </row>
    <row r="9" spans="1:15">
      <c r="A9" t="s">
        <v>1143</v>
      </c>
      <c r="C9" s="53">
        <v>0</v>
      </c>
      <c r="D9" s="487">
        <f>+IF(Control!$D$30=1,Control!$D$11,E9)</f>
        <v>0</v>
      </c>
      <c r="E9" s="171"/>
      <c r="G9" s="171"/>
      <c r="I9" s="57">
        <f t="shared" si="0"/>
        <v>0</v>
      </c>
      <c r="J9" t="s">
        <v>1145</v>
      </c>
      <c r="K9" s="97"/>
      <c r="M9" s="53"/>
      <c r="N9" t="s">
        <v>1146</v>
      </c>
      <c r="O9" s="97"/>
    </row>
    <row r="10" spans="1:15" ht="16.5" thickBot="1">
      <c r="I10" s="488">
        <f>SUM(I4:I9)</f>
        <v>1</v>
      </c>
      <c r="K10" s="511">
        <f>SUM(K4:K9)</f>
        <v>-316165</v>
      </c>
      <c r="M10" s="488">
        <f>SUM(M4:M9)</f>
        <v>0</v>
      </c>
      <c r="O10" s="511">
        <f>SUM(O4:O9)</f>
        <v>6000</v>
      </c>
    </row>
    <row r="11" spans="1:15" ht="16.5" thickTop="1">
      <c r="A11" t="s">
        <v>1155</v>
      </c>
      <c r="C11" t="str">
        <f>+IF(D4+G4=0,"",CONCATENATE(C12,D12,E12,F12,G12))</f>
        <v/>
      </c>
    </row>
    <row r="12" spans="1:15">
      <c r="C12" t="str">
        <f>+IF(D4=0,"","(Appointed on ")</f>
        <v/>
      </c>
      <c r="D12" s="487" t="str">
        <f>IF(Control!D30=1,IF('Dir info'!E4=0,TEXT(D4,"d mmmm, yyyy"),TEXT(E4,"d mmmm, yyyy")),IF(D4=0,"",TEXT(D4,"d mmmm, yyyy")))</f>
        <v/>
      </c>
      <c r="E12" s="57" t="str">
        <f>IF(G4=0,"",IF(D4=0,"(Resigned on "," and resigned on "))</f>
        <v/>
      </c>
      <c r="F12" s="57" t="str">
        <f>IF(G4=0,"",TEXT(G4, "d mmmm, yyyy"))</f>
        <v/>
      </c>
      <c r="G12" s="57" t="s">
        <v>1157</v>
      </c>
      <c r="K12" s="429" t="str">
        <f>+IF(K4&gt;=0,K4,"")</f>
        <v/>
      </c>
      <c r="N12">
        <f>+IF(K4&lt;0,K4,0)</f>
        <v>-316165</v>
      </c>
    </row>
    <row r="13" spans="1:15">
      <c r="K13" s="429">
        <f>+IF(K5&gt;=0,K5,"")</f>
        <v>0</v>
      </c>
      <c r="N13">
        <f t="shared" ref="N13:N17" si="1">+IF(K5&lt;0,K5,0)</f>
        <v>0</v>
      </c>
    </row>
    <row r="14" spans="1:15">
      <c r="A14" t="s">
        <v>1156</v>
      </c>
      <c r="C14" t="str">
        <f>+IF(D5+G5=0,"",CONCATENATE(C15,D15,E15,F15,G15))</f>
        <v/>
      </c>
      <c r="K14" s="429">
        <f t="shared" ref="K14:K17" si="2">+IF(K6&gt;=0,K6,0)</f>
        <v>0</v>
      </c>
      <c r="N14">
        <f t="shared" si="1"/>
        <v>0</v>
      </c>
    </row>
    <row r="15" spans="1:15">
      <c r="C15" t="str">
        <f>+IF(D5=0,"","(Appointed on ")</f>
        <v/>
      </c>
      <c r="D15" s="57" t="str">
        <f>IF(Control!D30=1,IF('Dir info'!E5=0,TEXT(D5,"d mmmm, yyyy"),TEXT(E5,"d mmmm, yyyy")),IF(D5=0,"",TEXT(D5,"d mmmm, yyyy")))</f>
        <v/>
      </c>
      <c r="E15" s="57" t="str">
        <f>IF(G5=0,"",IF(D5=0,"(Resigned on "," and resigned on "))</f>
        <v/>
      </c>
      <c r="F15" s="57" t="str">
        <f>IF(G5=0,"",TEXT(G5, "d mmmm, yyyy"))</f>
        <v/>
      </c>
      <c r="G15" s="57" t="s">
        <v>712</v>
      </c>
      <c r="K15" s="429">
        <f t="shared" si="2"/>
        <v>0</v>
      </c>
      <c r="N15">
        <f t="shared" si="1"/>
        <v>0</v>
      </c>
    </row>
    <row r="16" spans="1:15">
      <c r="K16" s="429">
        <f t="shared" si="2"/>
        <v>0</v>
      </c>
      <c r="N16">
        <f t="shared" si="1"/>
        <v>0</v>
      </c>
    </row>
    <row r="17" spans="1:14">
      <c r="A17" t="s">
        <v>1158</v>
      </c>
      <c r="C17" t="str">
        <f>+IF(D6+G6=0,"",CONCATENATE(C18,D18,E18,F18,G18))</f>
        <v/>
      </c>
      <c r="K17" s="429">
        <f t="shared" si="2"/>
        <v>0</v>
      </c>
      <c r="N17">
        <f t="shared" si="1"/>
        <v>0</v>
      </c>
    </row>
    <row r="18" spans="1:14" ht="16.5" thickBot="1">
      <c r="C18" t="str">
        <f>+IF(D6=0,"","(Appointed on ")</f>
        <v/>
      </c>
      <c r="D18" s="57" t="str">
        <f>IF(Control!D30=1,IF('Dir info'!E6=0,TEXT(D6,"d mmmm, yyyy"),TEXT(E6,"d mmmm, yyyy")),IF(D6=0,"",TEXT(D6,"d mmmm, yyyy")))</f>
        <v/>
      </c>
      <c r="E18" s="57" t="str">
        <f>IF(G6=0,"",IF(D6=0,"(Resigned on "," and resigned on "))</f>
        <v/>
      </c>
      <c r="F18" s="57" t="str">
        <f>IF(G6=0,"",TEXT(G6, "d mmmm, yyyy"))</f>
        <v/>
      </c>
      <c r="G18" s="57" t="s">
        <v>712</v>
      </c>
      <c r="J18">
        <f>+K18+N18</f>
        <v>-316165</v>
      </c>
      <c r="K18" s="512">
        <f>SUM(K12:K17)</f>
        <v>0</v>
      </c>
      <c r="N18" s="495">
        <f>SUM(N12:N17)</f>
        <v>-316165</v>
      </c>
    </row>
    <row r="19" spans="1:14" ht="16.5" thickTop="1">
      <c r="K19" s="513"/>
    </row>
    <row r="20" spans="1:14">
      <c r="A20" t="s">
        <v>1159</v>
      </c>
      <c r="C20" t="str">
        <f>+IF(D7+G7=0,"",CONCATENATE(C21,D21,E21,F21,G21))</f>
        <v/>
      </c>
      <c r="K20" s="429">
        <f>+COUNTIF(K12:K17,"&gt;0")</f>
        <v>0</v>
      </c>
      <c r="N20">
        <f>+COUNTIF(N12:N17,"&lt;0")</f>
        <v>1</v>
      </c>
    </row>
    <row r="21" spans="1:14">
      <c r="C21" t="str">
        <f>+IF(D7=0,"","(Appointed on ")</f>
        <v/>
      </c>
      <c r="D21" s="57" t="str">
        <f>IF(Control!D30=1,IF('Dir info'!E7=0,TEXT(D7,"d mmmm, yyyy"),TEXT(E7,"d mmmm, yyyy")),IF(D7=0,"",TEXT(D7,"d mmmm, yyyy")))</f>
        <v/>
      </c>
      <c r="E21" s="57" t="str">
        <f>IF(G7=0,"",IF(D7=0,"(Resigned on "," and resigned on "))</f>
        <v/>
      </c>
      <c r="F21" s="57" t="str">
        <f>IF(G7=0,"",TEXT(G7, "d mmmm, yyyy"))</f>
        <v/>
      </c>
      <c r="G21" s="57" t="s">
        <v>712</v>
      </c>
    </row>
    <row r="23" spans="1:14">
      <c r="A23" t="s">
        <v>1160</v>
      </c>
      <c r="C23" t="str">
        <f>+IF(D8+G8=0,"",CONCATENATE(C24,D24,E24,F24,G24))</f>
        <v/>
      </c>
    </row>
    <row r="24" spans="1:14">
      <c r="C24" t="str">
        <f>+IF(D8=0,"","(Appointed on ")</f>
        <v/>
      </c>
      <c r="D24" s="57" t="str">
        <f>IF(Control!D30=1,IF('Dir info'!E8=0,TEXT(D8,"d mmmm, yyyy"),TEXT(E8,"d mmmm, yyyy")),IF(D8=0,"",TEXT(D8,"d mmmm, yyyy")))</f>
        <v/>
      </c>
      <c r="E24" s="57" t="str">
        <f>IF(G8=0,"",IF(D8=0,"(Resigned on "," and resigned on "))</f>
        <v/>
      </c>
      <c r="F24" s="57" t="str">
        <f>IF(G8=0,"",TEXT(G8, "d mmmm, yyyy"))</f>
        <v/>
      </c>
      <c r="G24" s="57" t="s">
        <v>712</v>
      </c>
    </row>
    <row r="26" spans="1:14">
      <c r="A26" t="s">
        <v>1161</v>
      </c>
      <c r="C26" t="str">
        <f>+IF(D9+G9=0,"",CONCATENATE(C27,D27,E27,F27,G27))</f>
        <v/>
      </c>
    </row>
    <row r="27" spans="1:14">
      <c r="C27" t="str">
        <f>+IF(D9=0,"","(Appointed on ")</f>
        <v/>
      </c>
      <c r="D27" s="57" t="str">
        <f>IF(Control!D30=1,IF('Dir info'!E9=0,TEXT(D9,"d mmmm, yyyy"),TEXT(E9,"d mmmm, yyyy")),IF(D9=0,"",TEXT(D9,"d mmmm, yyyy")))</f>
        <v/>
      </c>
      <c r="E27" s="57" t="str">
        <f>IF(G9=0,"",IF(D9=0,"(Resigned on "," and resigned on "))</f>
        <v/>
      </c>
      <c r="F27" s="57" t="str">
        <f>IF(G9=0,"",TEXT(G9, "d mmmm, yyyy"))</f>
        <v/>
      </c>
      <c r="G27" s="57" t="s">
        <v>712</v>
      </c>
    </row>
    <row r="99" spans="4:4">
      <c r="D99" s="57">
        <v>-23056</v>
      </c>
    </row>
  </sheetData>
  <phoneticPr fontId="1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2:B27"/>
  <sheetViews>
    <sheetView workbookViewId="0">
      <selection activeCell="H10" sqref="H10"/>
    </sheetView>
  </sheetViews>
  <sheetFormatPr defaultRowHeight="15.75"/>
  <sheetData>
    <row r="2" spans="1:2">
      <c r="A2">
        <v>1</v>
      </c>
      <c r="B2" t="s">
        <v>147</v>
      </c>
    </row>
    <row r="3" spans="1:2">
      <c r="A3">
        <v>2</v>
      </c>
      <c r="B3" t="s">
        <v>148</v>
      </c>
    </row>
    <row r="4" spans="1:2">
      <c r="A4">
        <v>3</v>
      </c>
      <c r="B4" t="s">
        <v>149</v>
      </c>
    </row>
    <row r="5" spans="1:2">
      <c r="A5">
        <v>4</v>
      </c>
      <c r="B5" t="s">
        <v>99</v>
      </c>
    </row>
    <row r="6" spans="1:2">
      <c r="A6">
        <v>5</v>
      </c>
      <c r="B6" t="s">
        <v>150</v>
      </c>
    </row>
    <row r="7" spans="1:2">
      <c r="A7">
        <v>6</v>
      </c>
      <c r="B7" t="s">
        <v>151</v>
      </c>
    </row>
    <row r="8" spans="1:2">
      <c r="A8">
        <v>7</v>
      </c>
      <c r="B8" t="s">
        <v>152</v>
      </c>
    </row>
    <row r="9" spans="1:2">
      <c r="A9">
        <v>8</v>
      </c>
      <c r="B9" t="s">
        <v>112</v>
      </c>
    </row>
    <row r="10" spans="1:2">
      <c r="A10">
        <v>9</v>
      </c>
      <c r="B10" t="s">
        <v>153</v>
      </c>
    </row>
    <row r="11" spans="1:2">
      <c r="A11">
        <v>10</v>
      </c>
      <c r="B11" t="s">
        <v>119</v>
      </c>
    </row>
    <row r="14" spans="1:2">
      <c r="A14" t="s">
        <v>154</v>
      </c>
    </row>
    <row r="15" spans="1:2">
      <c r="A15" t="s">
        <v>155</v>
      </c>
    </row>
    <row r="16" spans="1:2">
      <c r="A16" t="s">
        <v>156</v>
      </c>
    </row>
    <row r="17" spans="1:1">
      <c r="A17" t="s">
        <v>157</v>
      </c>
    </row>
    <row r="19" spans="1:1">
      <c r="A19" t="s">
        <v>158</v>
      </c>
    </row>
    <row r="20" spans="1:1">
      <c r="A20" t="s">
        <v>159</v>
      </c>
    </row>
    <row r="21" spans="1:1">
      <c r="A21" t="s">
        <v>160</v>
      </c>
    </row>
    <row r="22" spans="1:1">
      <c r="A22" t="s">
        <v>161</v>
      </c>
    </row>
    <row r="23" spans="1:1">
      <c r="A23" t="s">
        <v>162</v>
      </c>
    </row>
    <row r="24" spans="1:1">
      <c r="A24" t="s">
        <v>163</v>
      </c>
    </row>
    <row r="25" spans="1:1">
      <c r="A25" t="s">
        <v>164</v>
      </c>
    </row>
    <row r="26" spans="1:1">
      <c r="A26" t="s">
        <v>165</v>
      </c>
    </row>
    <row r="27" spans="1:1">
      <c r="A27" t="s">
        <v>166</v>
      </c>
    </row>
  </sheetData>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pageSetUpPr fitToPage="1"/>
  </sheetPr>
  <dimension ref="A1:BK78"/>
  <sheetViews>
    <sheetView workbookViewId="0">
      <selection activeCell="AQ1" sqref="AQ1:BK1048576"/>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600" bestFit="1" customWidth="1" collapsed="1"/>
    <col min="44" max="44" width="2.625" style="600" collapsed="1"/>
    <col min="45" max="45" width="3.75" style="600" bestFit="1" customWidth="1" collapsed="1"/>
    <col min="46" max="63" width="2.625" style="600" collapsed="1"/>
    <col min="6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6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c r="AQ1" s="605"/>
      <c r="AR1" s="605"/>
      <c r="AS1" s="605"/>
      <c r="AT1" s="605"/>
      <c r="AU1" s="605"/>
      <c r="AV1" s="605"/>
      <c r="AW1" s="605"/>
      <c r="AX1" s="605"/>
      <c r="AY1" s="605"/>
      <c r="AZ1" s="605"/>
      <c r="BA1" s="605"/>
      <c r="BB1" s="605"/>
      <c r="BC1" s="605"/>
      <c r="BD1" s="605"/>
      <c r="BE1" s="605"/>
      <c r="BF1" s="605"/>
      <c r="BG1" s="605"/>
      <c r="BH1" s="605"/>
      <c r="BI1" s="605"/>
      <c r="BJ1" s="605"/>
      <c r="BK1" s="605"/>
    </row>
    <row r="2" spans="1:6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c r="AQ2" s="605"/>
      <c r="AR2" s="605"/>
      <c r="AS2" s="605"/>
      <c r="AT2" s="605"/>
      <c r="AU2" s="605"/>
      <c r="AV2" s="605"/>
      <c r="AW2" s="605"/>
      <c r="AX2" s="605"/>
      <c r="AY2" s="605"/>
      <c r="AZ2" s="605"/>
      <c r="BA2" s="605"/>
      <c r="BB2" s="605"/>
      <c r="BC2" s="605"/>
      <c r="BD2" s="605"/>
      <c r="BE2" s="605"/>
      <c r="BF2" s="605"/>
      <c r="BG2" s="605"/>
      <c r="BH2" s="605"/>
      <c r="BI2" s="605"/>
      <c r="BJ2" s="605"/>
      <c r="BK2" s="605"/>
    </row>
    <row r="3" spans="1:6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c r="AQ3" s="605"/>
      <c r="AR3" s="605"/>
      <c r="AS3" s="605"/>
      <c r="AT3" s="605"/>
      <c r="AU3" s="605"/>
      <c r="AV3" s="605"/>
      <c r="AW3" s="605"/>
      <c r="AX3" s="605"/>
      <c r="AY3" s="605"/>
      <c r="AZ3" s="605"/>
      <c r="BA3" s="605"/>
      <c r="BB3" s="605"/>
      <c r="BC3" s="605"/>
      <c r="BD3" s="605"/>
      <c r="BE3" s="605"/>
      <c r="BF3" s="605"/>
      <c r="BG3" s="605"/>
      <c r="BH3" s="605"/>
      <c r="BI3" s="605"/>
      <c r="BJ3" s="605"/>
      <c r="BK3" s="605"/>
    </row>
    <row r="4" spans="1:6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c r="AQ4" s="605"/>
      <c r="AR4" s="605"/>
      <c r="AS4" s="605"/>
      <c r="AT4" s="605"/>
      <c r="AU4" s="605"/>
      <c r="AV4" s="605"/>
      <c r="AW4" s="605"/>
      <c r="AX4" s="605"/>
      <c r="AY4" s="605"/>
      <c r="AZ4" s="605"/>
      <c r="BA4" s="605"/>
      <c r="BB4" s="605"/>
      <c r="BC4" s="605"/>
      <c r="BD4" s="605"/>
      <c r="BE4" s="605"/>
      <c r="BF4" s="605"/>
      <c r="BG4" s="605"/>
      <c r="BH4" s="605"/>
      <c r="BI4" s="605"/>
      <c r="BJ4" s="605"/>
      <c r="BK4" s="605"/>
    </row>
    <row r="5" spans="1:63" customFormat="1" ht="15.75">
      <c r="A5" s="443"/>
      <c r="AQ5" s="605"/>
      <c r="AR5" s="605"/>
      <c r="AS5" s="605"/>
      <c r="AT5" s="605"/>
      <c r="AU5" s="605"/>
      <c r="AV5" s="605"/>
      <c r="AW5" s="605"/>
      <c r="AX5" s="605"/>
      <c r="AY5" s="605"/>
      <c r="AZ5" s="605"/>
      <c r="BA5" s="605"/>
      <c r="BB5" s="605"/>
      <c r="BC5" s="605"/>
      <c r="BD5" s="605"/>
      <c r="BE5" s="605"/>
      <c r="BF5" s="605"/>
      <c r="BG5" s="605"/>
      <c r="BH5" s="605"/>
      <c r="BI5" s="605"/>
      <c r="BJ5" s="605"/>
      <c r="BK5" s="605"/>
    </row>
    <row r="6" spans="1:6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s="605" t="s">
        <v>7</v>
      </c>
      <c r="AR6" s="605"/>
      <c r="AS6" s="605"/>
      <c r="AT6" s="605"/>
      <c r="AU6" s="605"/>
      <c r="AV6" s="605"/>
      <c r="AW6" s="605"/>
      <c r="AX6" s="605"/>
      <c r="AY6" s="605"/>
      <c r="AZ6" s="605"/>
      <c r="BA6" s="605"/>
      <c r="BB6" s="605"/>
      <c r="BC6" s="605"/>
      <c r="BD6" s="605"/>
      <c r="BE6" s="605"/>
      <c r="BF6" s="605"/>
      <c r="BG6" s="605"/>
      <c r="BH6" s="605"/>
      <c r="BI6" s="605"/>
      <c r="BJ6" s="605"/>
      <c r="BK6" s="605"/>
    </row>
    <row r="7" spans="1:63" customFormat="1" ht="15.75">
      <c r="A7" s="853" t="str">
        <f>+CONCATENATE(AQ6,Control!F8,AQ8,'D emol'!AQ7,Control!D7)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s="605" t="s">
        <v>171</v>
      </c>
      <c r="AR7" s="605"/>
      <c r="AS7" s="605"/>
      <c r="AT7" s="605"/>
      <c r="AU7" s="605"/>
      <c r="AV7" s="605"/>
      <c r="AW7" s="605"/>
      <c r="AX7" s="605"/>
      <c r="AY7" s="605"/>
      <c r="AZ7" s="605"/>
      <c r="BA7" s="605"/>
      <c r="BB7" s="605"/>
      <c r="BC7" s="605"/>
      <c r="BD7" s="605"/>
      <c r="BE7" s="605"/>
      <c r="BF7" s="605"/>
      <c r="BG7" s="605"/>
      <c r="BH7" s="605"/>
      <c r="BI7" s="605"/>
      <c r="BJ7" s="605"/>
      <c r="BK7" s="605"/>
    </row>
    <row r="8" spans="1:63" customFormat="1" ht="15.75">
      <c r="AQ8" s="605" t="s">
        <v>172</v>
      </c>
      <c r="AR8" s="605"/>
      <c r="AS8" s="605"/>
      <c r="AT8" s="605"/>
      <c r="AU8" s="605"/>
      <c r="AV8" s="605"/>
      <c r="AW8" s="605"/>
      <c r="AX8" s="605"/>
      <c r="AY8" s="605"/>
      <c r="AZ8" s="605"/>
      <c r="BA8" s="605"/>
      <c r="BB8" s="605"/>
      <c r="BC8" s="605"/>
      <c r="BD8" s="605"/>
      <c r="BE8" s="605"/>
      <c r="BF8" s="605"/>
      <c r="BG8" s="605"/>
      <c r="BH8" s="605"/>
      <c r="BI8" s="605"/>
      <c r="BJ8" s="605"/>
      <c r="BK8" s="605"/>
    </row>
    <row r="9" spans="1:63" s="36" customFormat="1">
      <c r="C9" s="36" t="s">
        <v>173</v>
      </c>
      <c r="AQ9" s="719"/>
      <c r="AR9" s="719"/>
      <c r="AS9" s="719"/>
      <c r="AT9" s="719"/>
      <c r="AU9" s="719"/>
      <c r="AV9" s="719"/>
      <c r="AW9" s="719"/>
      <c r="AX9" s="719"/>
      <c r="AY9" s="719"/>
      <c r="AZ9" s="719"/>
      <c r="BA9" s="719"/>
      <c r="BB9" s="719"/>
      <c r="BC9" s="719"/>
      <c r="BD9" s="719"/>
      <c r="BE9" s="719"/>
      <c r="BF9" s="719"/>
      <c r="BG9" s="719"/>
      <c r="BH9" s="719"/>
      <c r="BI9" s="719"/>
      <c r="BJ9" s="719"/>
      <c r="BK9" s="719"/>
    </row>
    <row r="10" spans="1:63" s="36" customFormat="1">
      <c r="AQ10" s="719"/>
      <c r="AR10" s="719"/>
      <c r="AS10" s="719"/>
      <c r="AT10" s="719"/>
      <c r="AU10" s="719"/>
      <c r="AV10" s="719"/>
      <c r="AW10" s="719"/>
      <c r="AX10" s="719"/>
      <c r="AY10" s="719"/>
      <c r="AZ10" s="719"/>
      <c r="BA10" s="719"/>
      <c r="BB10" s="719"/>
      <c r="BC10" s="719"/>
      <c r="BD10" s="719"/>
      <c r="BE10" s="719"/>
      <c r="BF10" s="719"/>
      <c r="BG10" s="719"/>
      <c r="BH10" s="719"/>
      <c r="BI10" s="719"/>
      <c r="BJ10" s="719"/>
      <c r="BK10" s="719"/>
    </row>
    <row r="11" spans="1:6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c r="AQ11" s="719"/>
      <c r="AR11" s="719"/>
      <c r="AS11" s="719"/>
      <c r="AT11" s="719"/>
      <c r="AU11" s="719"/>
      <c r="AV11" s="719"/>
      <c r="AW11" s="719"/>
      <c r="AX11" s="719"/>
      <c r="AY11" s="719"/>
      <c r="AZ11" s="719"/>
      <c r="BA11" s="719"/>
      <c r="BB11" s="719"/>
      <c r="BC11" s="719"/>
      <c r="BD11" s="719"/>
      <c r="BE11" s="719"/>
      <c r="BF11" s="719"/>
      <c r="BG11" s="719"/>
      <c r="BH11" s="719"/>
      <c r="BI11" s="719"/>
      <c r="BJ11" s="719"/>
      <c r="BK11" s="719"/>
    </row>
    <row r="12" spans="1:6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c r="AQ12" s="719"/>
      <c r="AR12" s="719"/>
      <c r="AS12" s="719"/>
      <c r="AT12" s="719"/>
      <c r="AU12" s="719"/>
      <c r="AV12" s="719"/>
      <c r="AW12" s="719"/>
      <c r="AX12" s="719"/>
      <c r="AY12" s="719"/>
      <c r="AZ12" s="719"/>
      <c r="BA12" s="719"/>
      <c r="BB12" s="719"/>
      <c r="BC12" s="719"/>
      <c r="BD12" s="719"/>
      <c r="BE12" s="719"/>
      <c r="BF12" s="719"/>
      <c r="BG12" s="719"/>
      <c r="BH12" s="719"/>
      <c r="BI12" s="719"/>
      <c r="BJ12" s="719"/>
      <c r="BK12" s="719"/>
    </row>
    <row r="13" spans="1:6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c r="AQ13" s="719"/>
      <c r="AR13" s="719"/>
      <c r="AS13" s="719"/>
      <c r="AT13" s="719"/>
      <c r="AU13" s="719"/>
      <c r="AV13" s="719"/>
      <c r="AW13" s="719"/>
      <c r="AX13" s="719"/>
      <c r="AY13" s="719"/>
      <c r="AZ13" s="719"/>
      <c r="BA13" s="719"/>
      <c r="BB13" s="719"/>
      <c r="BC13" s="719"/>
      <c r="BD13" s="719"/>
      <c r="BE13" s="719"/>
      <c r="BF13" s="719"/>
      <c r="BG13" s="719"/>
      <c r="BH13" s="719"/>
      <c r="BI13" s="719"/>
      <c r="BJ13" s="719"/>
      <c r="BK13" s="719"/>
    </row>
    <row r="14" spans="1:63" s="36" customFormat="1">
      <c r="C14" s="36" t="str">
        <f>+CONCATENATE(B68,B69,B70)</f>
        <v>to be disclosed under Section 161 of the Companies Ordinance;</v>
      </c>
      <c r="AQ14" s="719">
        <v>383</v>
      </c>
      <c r="AR14" s="719"/>
      <c r="AS14" s="719"/>
      <c r="AT14" s="719"/>
      <c r="AU14" s="719"/>
      <c r="AV14" s="719"/>
      <c r="AW14" s="719"/>
      <c r="AX14" s="719"/>
      <c r="AY14" s="719"/>
      <c r="AZ14" s="719"/>
      <c r="BA14" s="719"/>
      <c r="BB14" s="719"/>
      <c r="BC14" s="719"/>
      <c r="BD14" s="719"/>
      <c r="BE14" s="719"/>
      <c r="BF14" s="719"/>
      <c r="BG14" s="719"/>
      <c r="BH14" s="719"/>
      <c r="BI14" s="719"/>
      <c r="BJ14" s="719"/>
      <c r="BK14" s="719"/>
    </row>
    <row r="15" spans="1:6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c r="AQ15" s="719"/>
      <c r="AR15" s="719"/>
      <c r="AS15" s="719"/>
      <c r="AT15" s="719"/>
      <c r="AU15" s="719"/>
      <c r="AV15" s="719"/>
      <c r="AW15" s="719"/>
      <c r="AX15" s="719"/>
      <c r="AY15" s="719"/>
      <c r="AZ15" s="719"/>
      <c r="BA15" s="719"/>
      <c r="BB15" s="719"/>
      <c r="BC15" s="719"/>
      <c r="BD15" s="719"/>
      <c r="BE15" s="719"/>
      <c r="BF15" s="719"/>
      <c r="BG15" s="719"/>
      <c r="BH15" s="719"/>
      <c r="BI15" s="719"/>
      <c r="BJ15" s="719"/>
      <c r="BK15" s="719"/>
    </row>
    <row r="16" spans="1:63" s="36" customFormat="1">
      <c r="C16" s="36" t="str">
        <f>+CONCATENATE(B76,B77,B78)</f>
        <v>which were outstanding at the expiration thereof as required to be disclosed under Section 161B of the Companies Ordinance.</v>
      </c>
      <c r="AQ16" s="719">
        <v>383</v>
      </c>
      <c r="AR16" s="719"/>
      <c r="AS16" s="719"/>
      <c r="AT16" s="719"/>
      <c r="AU16" s="719"/>
      <c r="AV16" s="719"/>
      <c r="AW16" s="719"/>
      <c r="AX16" s="719"/>
      <c r="AY16" s="719"/>
      <c r="AZ16" s="719"/>
      <c r="BA16" s="719"/>
      <c r="BB16" s="719"/>
      <c r="BC16" s="719"/>
      <c r="BD16" s="719"/>
      <c r="BE16" s="719"/>
      <c r="BF16" s="719"/>
      <c r="BG16" s="719"/>
      <c r="BH16" s="719"/>
      <c r="BI16" s="719"/>
      <c r="BJ16" s="719"/>
      <c r="BK16" s="719"/>
    </row>
    <row r="17" spans="1:63" customFormat="1" ht="15.75">
      <c r="AQ17" s="605"/>
      <c r="AR17" s="605"/>
      <c r="AS17" s="605"/>
      <c r="AT17" s="605"/>
      <c r="AU17" s="605"/>
      <c r="AV17" s="605"/>
      <c r="AW17" s="605"/>
      <c r="AX17" s="605"/>
      <c r="AY17" s="605"/>
      <c r="AZ17" s="605"/>
      <c r="BA17" s="605"/>
      <c r="BB17" s="605"/>
      <c r="BC17" s="605"/>
      <c r="BD17" s="605"/>
      <c r="BE17" s="605"/>
      <c r="BF17" s="605"/>
      <c r="BG17" s="605"/>
      <c r="BH17" s="605"/>
      <c r="BI17" s="605"/>
      <c r="BJ17" s="605"/>
      <c r="BK17" s="605"/>
    </row>
    <row r="18" spans="1:63" ht="12.75">
      <c r="A18" s="27" t="s">
        <v>180</v>
      </c>
      <c r="B18" s="28"/>
      <c r="C18" s="28"/>
      <c r="D18" s="892" t="str">
        <f>+'Dir info'!C4</f>
        <v>Zhou Qianwei</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63"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63"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63">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63">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63">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63">
      <c r="C24" s="31" t="s">
        <v>192</v>
      </c>
      <c r="O24" s="890">
        <f>+'Dir info'!O4</f>
        <v>6000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63">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63">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63">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63">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63">
      <c r="C29" s="31" t="s">
        <v>197</v>
      </c>
      <c r="O29" s="889"/>
      <c r="P29" s="889"/>
      <c r="Q29" s="889"/>
      <c r="R29" s="889"/>
      <c r="S29" s="878"/>
      <c r="T29" s="878"/>
      <c r="U29" s="878"/>
      <c r="V29" s="878"/>
      <c r="W29" s="878"/>
      <c r="X29" s="878"/>
      <c r="Y29" s="878"/>
      <c r="Z29" s="878"/>
      <c r="AA29" s="878"/>
      <c r="AB29" s="878"/>
      <c r="AC29" s="878"/>
      <c r="AD29" s="878"/>
      <c r="AE29" s="878"/>
      <c r="AF29" s="878"/>
      <c r="AG29" s="878"/>
      <c r="AH29" s="878"/>
      <c r="AI29" s="878"/>
      <c r="AJ29" s="878"/>
      <c r="AK29" s="878"/>
      <c r="AL29" s="878"/>
    </row>
    <row r="30" spans="1:63">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63">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63">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7">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7">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7">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7">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7">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7">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7">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7">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7">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7">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7">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7">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7">
      <c r="C45" s="31" t="str">
        <f>+CONCATENATE(AQ45,AR45,AS45,AT45,AU45)</f>
        <v>TOTAL (section 161)</v>
      </c>
      <c r="O45" s="869">
        <f>IF(SUM(O23:O44)&gt;0,SUM(O23:O44),"NIL")</f>
        <v>6000</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720" t="s">
        <v>1463</v>
      </c>
      <c r="AR45" s="600" t="s">
        <v>1465</v>
      </c>
      <c r="AS45" s="600" t="s">
        <v>1468</v>
      </c>
      <c r="AT45" s="600" t="str">
        <f>+B69</f>
        <v>161</v>
      </c>
      <c r="AU45" s="600" t="s">
        <v>1466</v>
      </c>
    </row>
    <row r="47" spans="2:47">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7">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47">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47">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47">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47">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47">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47">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47">
      <c r="B55" s="31" t="str">
        <f>+CONCATENATE(AQ55,AR55,AS55,AT55,AU55)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c r="AQ55" s="600" t="s">
        <v>1462</v>
      </c>
      <c r="AR55" s="600" t="s">
        <v>1464</v>
      </c>
      <c r="AS55" s="600" t="s">
        <v>1467</v>
      </c>
      <c r="AT55" s="600" t="str">
        <f>+B77</f>
        <v>161B</v>
      </c>
      <c r="AU55" s="600" t="s">
        <v>712</v>
      </c>
    </row>
    <row r="60" spans="1:47">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47">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s="600" customFormat="1">
      <c r="B68" s="600" t="s">
        <v>223</v>
      </c>
    </row>
    <row r="69" spans="2:4" s="600" customFormat="1">
      <c r="B69" s="600" t="str">
        <f>+IF(D72&lt;0,"161","383")</f>
        <v>161</v>
      </c>
    </row>
    <row r="70" spans="2:4" s="600" customFormat="1">
      <c r="B70" s="600" t="s">
        <v>224</v>
      </c>
    </row>
    <row r="71" spans="2:4" s="600" customFormat="1"/>
    <row r="72" spans="2:4" s="600" customFormat="1">
      <c r="B72" s="601">
        <v>41701</v>
      </c>
      <c r="D72" s="602">
        <f>+Control!D11-B72</f>
        <v>-1</v>
      </c>
    </row>
    <row r="73" spans="2:4" s="600" customFormat="1"/>
    <row r="74" spans="2:4" s="600" customFormat="1"/>
    <row r="75" spans="2:4" s="600" customFormat="1"/>
    <row r="76" spans="2:4" s="600" customFormat="1">
      <c r="B76" s="600" t="s">
        <v>225</v>
      </c>
    </row>
    <row r="77" spans="2:4" s="600" customFormat="1">
      <c r="B77" s="600" t="str">
        <f>+IF(D72&lt;0,"161B","383")</f>
        <v>161B</v>
      </c>
    </row>
    <row r="78" spans="2:4" s="600" customFormat="1">
      <c r="B78" s="600" t="s">
        <v>226</v>
      </c>
    </row>
  </sheetData>
  <mergeCells count="126">
    <mergeCell ref="D18:M18"/>
    <mergeCell ref="O18:V19"/>
    <mergeCell ref="X18:AC19"/>
    <mergeCell ref="AE18:AL19"/>
    <mergeCell ref="D19:M19"/>
    <mergeCell ref="O20:R20"/>
    <mergeCell ref="S20:V20"/>
    <mergeCell ref="W20:Z20"/>
    <mergeCell ref="AA20:AD20"/>
    <mergeCell ref="AE20:AH20"/>
    <mergeCell ref="AI20:AL20"/>
    <mergeCell ref="O22:R23"/>
    <mergeCell ref="S22:V23"/>
    <mergeCell ref="W22:Z23"/>
    <mergeCell ref="AA22:AD23"/>
    <mergeCell ref="AE22:AH23"/>
    <mergeCell ref="AI22:AL23"/>
    <mergeCell ref="AA21:AD21"/>
    <mergeCell ref="W21:Z21"/>
    <mergeCell ref="S21:V21"/>
    <mergeCell ref="O21:R21"/>
    <mergeCell ref="O25:R25"/>
    <mergeCell ref="S25:V25"/>
    <mergeCell ref="W25:Z25"/>
    <mergeCell ref="AA25:AD25"/>
    <mergeCell ref="AE25:AH25"/>
    <mergeCell ref="AI25:AL25"/>
    <mergeCell ref="O24:R24"/>
    <mergeCell ref="S24:V24"/>
    <mergeCell ref="W24:Z24"/>
    <mergeCell ref="AA24:AD24"/>
    <mergeCell ref="AE24:AH24"/>
    <mergeCell ref="AI24:AL24"/>
    <mergeCell ref="O27:R28"/>
    <mergeCell ref="S27:V28"/>
    <mergeCell ref="W27:Z28"/>
    <mergeCell ref="AA27:AD28"/>
    <mergeCell ref="AE27:AH28"/>
    <mergeCell ref="AI27:AL28"/>
    <mergeCell ref="O26:R26"/>
    <mergeCell ref="S26:V26"/>
    <mergeCell ref="W26:Z26"/>
    <mergeCell ref="AA26:AD26"/>
    <mergeCell ref="AE26:AH26"/>
    <mergeCell ref="AI26:AL26"/>
    <mergeCell ref="O30:R32"/>
    <mergeCell ref="S30:V32"/>
    <mergeCell ref="W30:Z32"/>
    <mergeCell ref="AA30:AD32"/>
    <mergeCell ref="AE30:AH32"/>
    <mergeCell ref="AI30:AL32"/>
    <mergeCell ref="O29:R29"/>
    <mergeCell ref="S29:V29"/>
    <mergeCell ref="W29:Z29"/>
    <mergeCell ref="AA29:AD29"/>
    <mergeCell ref="AE29:AH29"/>
    <mergeCell ref="AI29:AL29"/>
    <mergeCell ref="O34:R34"/>
    <mergeCell ref="S34:V34"/>
    <mergeCell ref="W34:Z34"/>
    <mergeCell ref="AA34:AD34"/>
    <mergeCell ref="AE34:AH34"/>
    <mergeCell ref="AI34:AL34"/>
    <mergeCell ref="O33:R33"/>
    <mergeCell ref="S33:V33"/>
    <mergeCell ref="W33:Z33"/>
    <mergeCell ref="AA33:AD33"/>
    <mergeCell ref="AE33:AH33"/>
    <mergeCell ref="AI33:AL33"/>
    <mergeCell ref="O40:R40"/>
    <mergeCell ref="S40:V40"/>
    <mergeCell ref="W40:Z40"/>
    <mergeCell ref="AA40:AD40"/>
    <mergeCell ref="AE40:AH40"/>
    <mergeCell ref="AI40:AL40"/>
    <mergeCell ref="O35:R39"/>
    <mergeCell ref="S35:V39"/>
    <mergeCell ref="W35:Z39"/>
    <mergeCell ref="AA35:AD39"/>
    <mergeCell ref="AE35:AH39"/>
    <mergeCell ref="AI35:AL39"/>
    <mergeCell ref="S42:V43"/>
    <mergeCell ref="W42:Z43"/>
    <mergeCell ref="AA42:AD43"/>
    <mergeCell ref="AE42:AH43"/>
    <mergeCell ref="AI42:AL43"/>
    <mergeCell ref="O41:R41"/>
    <mergeCell ref="S41:V41"/>
    <mergeCell ref="W41:Z41"/>
    <mergeCell ref="AA41:AD41"/>
    <mergeCell ref="AE41:AH41"/>
    <mergeCell ref="AI41:AL41"/>
    <mergeCell ref="O55:Z55"/>
    <mergeCell ref="AA55:AL55"/>
    <mergeCell ref="AI21:AL21"/>
    <mergeCell ref="AE21:AH21"/>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A7:AL7"/>
    <mergeCell ref="C12:AL12"/>
    <mergeCell ref="C13:AL13"/>
    <mergeCell ref="C15:AL15"/>
    <mergeCell ref="A4:AL4"/>
    <mergeCell ref="A3:AL3"/>
    <mergeCell ref="A2:AL2"/>
    <mergeCell ref="A1:AL1"/>
    <mergeCell ref="A6:AL6"/>
    <mergeCell ref="C11:AL11"/>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0">
    <pageSetUpPr fitToPage="1"/>
  </sheetPr>
  <dimension ref="A1:BZ78"/>
  <sheetViews>
    <sheetView workbookViewId="0">
      <selection activeCell="A7" sqref="A7:AL7"/>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600" bestFit="1" customWidth="1" collapsed="1"/>
    <col min="44" max="78" width="2.625" style="600" collapsed="1"/>
    <col min="79"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78"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c r="AQ1" s="605"/>
      <c r="AR1" s="605"/>
      <c r="AS1" s="605"/>
      <c r="AT1" s="605"/>
      <c r="AU1" s="605"/>
      <c r="AV1" s="605"/>
      <c r="AW1" s="605"/>
      <c r="AX1" s="605"/>
      <c r="AY1" s="605"/>
      <c r="AZ1" s="605"/>
      <c r="BA1" s="605"/>
      <c r="BB1" s="605"/>
      <c r="BC1" s="605"/>
      <c r="BD1" s="605"/>
      <c r="BE1" s="605"/>
      <c r="BF1" s="605"/>
      <c r="BG1" s="605"/>
      <c r="BH1" s="605"/>
      <c r="BI1" s="605"/>
      <c r="BJ1" s="605"/>
      <c r="BK1" s="605"/>
      <c r="BL1" s="605"/>
      <c r="BM1" s="605"/>
      <c r="BN1" s="605"/>
      <c r="BO1" s="605"/>
      <c r="BP1" s="605"/>
      <c r="BQ1" s="605"/>
      <c r="BR1" s="605"/>
      <c r="BS1" s="605"/>
      <c r="BT1" s="605"/>
      <c r="BU1" s="605"/>
      <c r="BV1" s="605"/>
      <c r="BW1" s="605"/>
      <c r="BX1" s="605"/>
      <c r="BY1" s="605"/>
      <c r="BZ1" s="605"/>
    </row>
    <row r="2" spans="1:78"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c r="AQ2" s="605"/>
      <c r="AR2" s="605"/>
      <c r="AS2" s="605"/>
      <c r="AT2" s="605"/>
      <c r="AU2" s="605"/>
      <c r="AV2" s="605"/>
      <c r="AW2" s="605"/>
      <c r="AX2" s="605"/>
      <c r="AY2" s="605"/>
      <c r="AZ2" s="605"/>
      <c r="BA2" s="605"/>
      <c r="BB2" s="605"/>
      <c r="BC2" s="605"/>
      <c r="BD2" s="605"/>
      <c r="BE2" s="605"/>
      <c r="BF2" s="605"/>
      <c r="BG2" s="605"/>
      <c r="BH2" s="605"/>
      <c r="BI2" s="605"/>
      <c r="BJ2" s="605"/>
      <c r="BK2" s="605"/>
      <c r="BL2" s="605"/>
      <c r="BM2" s="605"/>
      <c r="BN2" s="605"/>
      <c r="BO2" s="605"/>
      <c r="BP2" s="605"/>
      <c r="BQ2" s="605"/>
      <c r="BR2" s="605"/>
      <c r="BS2" s="605"/>
      <c r="BT2" s="605"/>
      <c r="BU2" s="605"/>
      <c r="BV2" s="605"/>
      <c r="BW2" s="605"/>
      <c r="BX2" s="605"/>
      <c r="BY2" s="605"/>
      <c r="BZ2" s="605"/>
    </row>
    <row r="3" spans="1:78"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c r="AQ3" s="605"/>
      <c r="AR3" s="605"/>
      <c r="AS3" s="605"/>
      <c r="AT3" s="605"/>
      <c r="AU3" s="605"/>
      <c r="AV3" s="605"/>
      <c r="AW3" s="605"/>
      <c r="AX3" s="605"/>
      <c r="AY3" s="605"/>
      <c r="AZ3" s="605"/>
      <c r="BA3" s="605"/>
      <c r="BB3" s="605"/>
      <c r="BC3" s="605"/>
      <c r="BD3" s="605"/>
      <c r="BE3" s="605"/>
      <c r="BF3" s="605"/>
      <c r="BG3" s="605"/>
      <c r="BH3" s="605"/>
      <c r="BI3" s="605"/>
      <c r="BJ3" s="605"/>
      <c r="BK3" s="605"/>
      <c r="BL3" s="605"/>
      <c r="BM3" s="605"/>
      <c r="BN3" s="605"/>
      <c r="BO3" s="605"/>
      <c r="BP3" s="605"/>
      <c r="BQ3" s="605"/>
      <c r="BR3" s="605"/>
      <c r="BS3" s="605"/>
      <c r="BT3" s="605"/>
      <c r="BU3" s="605"/>
      <c r="BV3" s="605"/>
      <c r="BW3" s="605"/>
      <c r="BX3" s="605"/>
      <c r="BY3" s="605"/>
      <c r="BZ3" s="605"/>
    </row>
    <row r="4" spans="1:78"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c r="AQ4" s="605"/>
      <c r="AR4" s="605"/>
      <c r="AS4" s="605"/>
      <c r="AT4" s="605"/>
      <c r="AU4" s="605"/>
      <c r="AV4" s="605"/>
      <c r="AW4" s="605"/>
      <c r="AX4" s="605"/>
      <c r="AY4" s="605"/>
      <c r="AZ4" s="605"/>
      <c r="BA4" s="605"/>
      <c r="BB4" s="605"/>
      <c r="BC4" s="605"/>
      <c r="BD4" s="605"/>
      <c r="BE4" s="605"/>
      <c r="BF4" s="605"/>
      <c r="BG4" s="605"/>
      <c r="BH4" s="605"/>
      <c r="BI4" s="605"/>
      <c r="BJ4" s="605"/>
      <c r="BK4" s="605"/>
      <c r="BL4" s="605"/>
      <c r="BM4" s="605"/>
      <c r="BN4" s="605"/>
      <c r="BO4" s="605"/>
      <c r="BP4" s="605"/>
      <c r="BQ4" s="605"/>
      <c r="BR4" s="605"/>
      <c r="BS4" s="605"/>
      <c r="BT4" s="605"/>
      <c r="BU4" s="605"/>
      <c r="BV4" s="605"/>
      <c r="BW4" s="605"/>
      <c r="BX4" s="605"/>
      <c r="BY4" s="605"/>
      <c r="BZ4" s="605"/>
    </row>
    <row r="5" spans="1:78" customFormat="1" ht="15.75">
      <c r="A5" s="443"/>
      <c r="AQ5" s="605"/>
      <c r="AR5" s="605"/>
      <c r="AS5" s="605"/>
      <c r="AT5" s="605"/>
      <c r="AU5" s="605"/>
      <c r="AV5" s="605"/>
      <c r="AW5" s="605"/>
      <c r="AX5" s="605"/>
      <c r="AY5" s="605"/>
      <c r="AZ5" s="605"/>
      <c r="BA5" s="605"/>
      <c r="BB5" s="605"/>
      <c r="BC5" s="605"/>
      <c r="BD5" s="605"/>
      <c r="BE5" s="605"/>
      <c r="BF5" s="605"/>
      <c r="BG5" s="605"/>
      <c r="BH5" s="605"/>
      <c r="BI5" s="605"/>
      <c r="BJ5" s="605"/>
      <c r="BK5" s="605"/>
      <c r="BL5" s="605"/>
      <c r="BM5" s="605"/>
      <c r="BN5" s="605"/>
      <c r="BO5" s="605"/>
      <c r="BP5" s="605"/>
      <c r="BQ5" s="605"/>
      <c r="BR5" s="605"/>
      <c r="BS5" s="605"/>
      <c r="BT5" s="605"/>
      <c r="BU5" s="605"/>
      <c r="BV5" s="605"/>
      <c r="BW5" s="605"/>
      <c r="BX5" s="605"/>
      <c r="BY5" s="605"/>
      <c r="BZ5" s="605"/>
    </row>
    <row r="6" spans="1:78"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s="605" t="s">
        <v>7</v>
      </c>
      <c r="AR6" s="605"/>
      <c r="AS6" s="605"/>
      <c r="AT6" s="605"/>
      <c r="AU6" s="605"/>
      <c r="AV6" s="605"/>
      <c r="AW6" s="605"/>
      <c r="AX6" s="605"/>
      <c r="AY6" s="605"/>
      <c r="AZ6" s="605"/>
      <c r="BA6" s="605"/>
      <c r="BB6" s="605"/>
      <c r="BC6" s="605"/>
      <c r="BD6" s="605"/>
      <c r="BE6" s="605"/>
      <c r="BF6" s="605"/>
      <c r="BG6" s="605"/>
      <c r="BH6" s="605"/>
      <c r="BI6" s="605"/>
      <c r="BJ6" s="605"/>
      <c r="BK6" s="605"/>
      <c r="BL6" s="605"/>
      <c r="BM6" s="605"/>
      <c r="BN6" s="605"/>
      <c r="BO6" s="605"/>
      <c r="BP6" s="605"/>
      <c r="BQ6" s="605"/>
      <c r="BR6" s="605"/>
      <c r="BS6" s="605"/>
      <c r="BT6" s="605"/>
      <c r="BU6" s="605"/>
      <c r="BV6" s="605"/>
      <c r="BW6" s="605"/>
      <c r="BX6" s="605"/>
      <c r="BY6" s="605"/>
      <c r="BZ6" s="605"/>
    </row>
    <row r="7" spans="1:78" customFormat="1" ht="15.75">
      <c r="A7" s="853" t="str">
        <f>+CONCATENATE(AQ6,Control!F8,AQ8,'D emol (2)'!AQ7,Control!D7)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s="605" t="s">
        <v>171</v>
      </c>
      <c r="AR7" s="605"/>
      <c r="AS7" s="605"/>
      <c r="AT7" s="605"/>
      <c r="AU7" s="605"/>
      <c r="AV7" s="605"/>
      <c r="AW7" s="605"/>
      <c r="AX7" s="60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row>
    <row r="8" spans="1:78" customFormat="1" ht="15.75">
      <c r="AQ8" s="605" t="s">
        <v>172</v>
      </c>
      <c r="AR8" s="605"/>
      <c r="AS8" s="605"/>
      <c r="AT8" s="605"/>
      <c r="AU8" s="605"/>
      <c r="AV8" s="605"/>
      <c r="AW8" s="605"/>
      <c r="AX8" s="60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row>
    <row r="9" spans="1:78" s="36" customFormat="1">
      <c r="C9" s="36" t="s">
        <v>173</v>
      </c>
      <c r="AQ9" s="719"/>
      <c r="AR9" s="719"/>
      <c r="AS9" s="719"/>
      <c r="AT9" s="719"/>
      <c r="AU9" s="719"/>
      <c r="AV9" s="719"/>
      <c r="AW9" s="719"/>
      <c r="AX9" s="719"/>
      <c r="AY9" s="719"/>
      <c r="AZ9" s="719"/>
      <c r="BA9" s="719"/>
      <c r="BB9" s="719"/>
      <c r="BC9" s="719"/>
      <c r="BD9" s="719"/>
      <c r="BE9" s="719"/>
      <c r="BF9" s="719"/>
      <c r="BG9" s="719"/>
      <c r="BH9" s="719"/>
      <c r="BI9" s="719"/>
      <c r="BJ9" s="719"/>
      <c r="BK9" s="719"/>
      <c r="BL9" s="719"/>
      <c r="BM9" s="719"/>
      <c r="BN9" s="719"/>
      <c r="BO9" s="719"/>
      <c r="BP9" s="719"/>
      <c r="BQ9" s="719"/>
      <c r="BR9" s="719"/>
      <c r="BS9" s="719"/>
      <c r="BT9" s="719"/>
      <c r="BU9" s="719"/>
      <c r="BV9" s="719"/>
      <c r="BW9" s="719"/>
      <c r="BX9" s="719"/>
      <c r="BY9" s="719"/>
      <c r="BZ9" s="719"/>
    </row>
    <row r="10" spans="1:78" s="36" customFormat="1">
      <c r="AQ10" s="719"/>
      <c r="AR10" s="719"/>
      <c r="AS10" s="719"/>
      <c r="AT10" s="719"/>
      <c r="AU10" s="719"/>
      <c r="AV10" s="719"/>
      <c r="AW10" s="719"/>
      <c r="AX10" s="719"/>
      <c r="AY10" s="719"/>
      <c r="AZ10" s="719"/>
      <c r="BA10" s="719"/>
      <c r="BB10" s="719"/>
      <c r="BC10" s="719"/>
      <c r="BD10" s="719"/>
      <c r="BE10" s="719"/>
      <c r="BF10" s="719"/>
      <c r="BG10" s="719"/>
      <c r="BH10" s="719"/>
      <c r="BI10" s="719"/>
      <c r="BJ10" s="719"/>
      <c r="BK10" s="719"/>
      <c r="BL10" s="719"/>
      <c r="BM10" s="719"/>
      <c r="BN10" s="719"/>
      <c r="BO10" s="719"/>
      <c r="BP10" s="719"/>
      <c r="BQ10" s="719"/>
      <c r="BR10" s="719"/>
      <c r="BS10" s="719"/>
      <c r="BT10" s="719"/>
      <c r="BU10" s="719"/>
      <c r="BV10" s="719"/>
      <c r="BW10" s="719"/>
      <c r="BX10" s="719"/>
      <c r="BY10" s="719"/>
      <c r="BZ10" s="719"/>
    </row>
    <row r="11" spans="1:78"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c r="AQ11" s="719"/>
      <c r="AR11" s="719"/>
      <c r="AS11" s="719"/>
      <c r="AT11" s="719"/>
      <c r="AU11" s="719"/>
      <c r="AV11" s="719"/>
      <c r="AW11" s="719"/>
      <c r="AX11" s="719"/>
      <c r="AY11" s="719"/>
      <c r="AZ11" s="719"/>
      <c r="BA11" s="719"/>
      <c r="BB11" s="719"/>
      <c r="BC11" s="719"/>
      <c r="BD11" s="719"/>
      <c r="BE11" s="719"/>
      <c r="BF11" s="719"/>
      <c r="BG11" s="719"/>
      <c r="BH11" s="719"/>
      <c r="BI11" s="719"/>
      <c r="BJ11" s="719"/>
      <c r="BK11" s="719"/>
      <c r="BL11" s="719"/>
      <c r="BM11" s="719"/>
      <c r="BN11" s="719"/>
      <c r="BO11" s="719"/>
      <c r="BP11" s="719"/>
      <c r="BQ11" s="719"/>
      <c r="BR11" s="719"/>
      <c r="BS11" s="719"/>
      <c r="BT11" s="719"/>
      <c r="BU11" s="719"/>
      <c r="BV11" s="719"/>
      <c r="BW11" s="719"/>
      <c r="BX11" s="719"/>
      <c r="BY11" s="719"/>
      <c r="BZ11" s="719"/>
    </row>
    <row r="12" spans="1:78"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c r="AQ12" s="719"/>
      <c r="AR12" s="719"/>
      <c r="AS12" s="719"/>
      <c r="AT12" s="719"/>
      <c r="AU12" s="719"/>
      <c r="AV12" s="719"/>
      <c r="AW12" s="719"/>
      <c r="AX12" s="719"/>
      <c r="AY12" s="719"/>
      <c r="AZ12" s="719"/>
      <c r="BA12" s="719"/>
      <c r="BB12" s="719"/>
      <c r="BC12" s="719"/>
      <c r="BD12" s="719"/>
      <c r="BE12" s="719"/>
      <c r="BF12" s="719"/>
      <c r="BG12" s="719"/>
      <c r="BH12" s="719"/>
      <c r="BI12" s="719"/>
      <c r="BJ12" s="719"/>
      <c r="BK12" s="719"/>
      <c r="BL12" s="719"/>
      <c r="BM12" s="719"/>
      <c r="BN12" s="719"/>
      <c r="BO12" s="719"/>
      <c r="BP12" s="719"/>
      <c r="BQ12" s="719"/>
      <c r="BR12" s="719"/>
      <c r="BS12" s="719"/>
      <c r="BT12" s="719"/>
      <c r="BU12" s="719"/>
      <c r="BV12" s="719"/>
      <c r="BW12" s="719"/>
      <c r="BX12" s="719"/>
      <c r="BY12" s="719"/>
      <c r="BZ12" s="719"/>
    </row>
    <row r="13" spans="1:78"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c r="AQ13" s="719"/>
      <c r="AR13" s="719"/>
      <c r="AS13" s="719"/>
      <c r="AT13" s="719"/>
      <c r="AU13" s="719"/>
      <c r="AV13" s="719"/>
      <c r="AW13" s="719"/>
      <c r="AX13" s="719"/>
      <c r="AY13" s="719"/>
      <c r="AZ13" s="719"/>
      <c r="BA13" s="719"/>
      <c r="BB13" s="719"/>
      <c r="BC13" s="719"/>
      <c r="BD13" s="719"/>
      <c r="BE13" s="719"/>
      <c r="BF13" s="719"/>
      <c r="BG13" s="719"/>
      <c r="BH13" s="719"/>
      <c r="BI13" s="719"/>
      <c r="BJ13" s="719"/>
      <c r="BK13" s="719"/>
      <c r="BL13" s="719"/>
      <c r="BM13" s="719"/>
      <c r="BN13" s="719"/>
      <c r="BO13" s="719"/>
      <c r="BP13" s="719"/>
      <c r="BQ13" s="719"/>
      <c r="BR13" s="719"/>
      <c r="BS13" s="719"/>
      <c r="BT13" s="719"/>
      <c r="BU13" s="719"/>
      <c r="BV13" s="719"/>
      <c r="BW13" s="719"/>
      <c r="BX13" s="719"/>
      <c r="BY13" s="719"/>
      <c r="BZ13" s="719"/>
    </row>
    <row r="14" spans="1:78" s="36" customFormat="1">
      <c r="C14" s="36" t="str">
        <f>+CONCATENATE(B68,B69,B70)</f>
        <v>to be disclosed under Section 161 of the Companies Ordinance;</v>
      </c>
      <c r="AQ14" s="719">
        <v>383</v>
      </c>
      <c r="AR14" s="719"/>
      <c r="AS14" s="719"/>
      <c r="AT14" s="719"/>
      <c r="AU14" s="719"/>
      <c r="AV14" s="719"/>
      <c r="AW14" s="719"/>
      <c r="AX14" s="719"/>
      <c r="AY14" s="719"/>
      <c r="AZ14" s="719"/>
      <c r="BA14" s="719"/>
      <c r="BB14" s="719"/>
      <c r="BC14" s="719"/>
      <c r="BD14" s="719"/>
      <c r="BE14" s="719"/>
      <c r="BF14" s="719"/>
      <c r="BG14" s="719"/>
      <c r="BH14" s="719"/>
      <c r="BI14" s="719"/>
      <c r="BJ14" s="719"/>
      <c r="BK14" s="719"/>
      <c r="BL14" s="719"/>
      <c r="BM14" s="719"/>
      <c r="BN14" s="719"/>
      <c r="BO14" s="719"/>
      <c r="BP14" s="719"/>
      <c r="BQ14" s="719"/>
      <c r="BR14" s="719"/>
      <c r="BS14" s="719"/>
      <c r="BT14" s="719"/>
      <c r="BU14" s="719"/>
      <c r="BV14" s="719"/>
      <c r="BW14" s="719"/>
      <c r="BX14" s="719"/>
      <c r="BY14" s="719"/>
      <c r="BZ14" s="719"/>
    </row>
    <row r="15" spans="1:78"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c r="AQ15" s="719"/>
      <c r="AR15" s="719"/>
      <c r="AS15" s="719"/>
      <c r="AT15" s="719"/>
      <c r="AU15" s="719"/>
      <c r="AV15" s="719"/>
      <c r="AW15" s="719"/>
      <c r="AX15" s="719"/>
      <c r="AY15" s="719"/>
      <c r="AZ15" s="719"/>
      <c r="BA15" s="719"/>
      <c r="BB15" s="719"/>
      <c r="BC15" s="719"/>
      <c r="BD15" s="719"/>
      <c r="BE15" s="719"/>
      <c r="BF15" s="719"/>
      <c r="BG15" s="719"/>
      <c r="BH15" s="719"/>
      <c r="BI15" s="719"/>
      <c r="BJ15" s="719"/>
      <c r="BK15" s="719"/>
      <c r="BL15" s="719"/>
      <c r="BM15" s="719"/>
      <c r="BN15" s="719"/>
      <c r="BO15" s="719"/>
      <c r="BP15" s="719"/>
      <c r="BQ15" s="719"/>
      <c r="BR15" s="719"/>
      <c r="BS15" s="719"/>
      <c r="BT15" s="719"/>
      <c r="BU15" s="719"/>
      <c r="BV15" s="719"/>
      <c r="BW15" s="719"/>
      <c r="BX15" s="719"/>
      <c r="BY15" s="719"/>
      <c r="BZ15" s="719"/>
    </row>
    <row r="16" spans="1:78" s="36" customFormat="1">
      <c r="C16" s="36" t="str">
        <f>+CONCATENATE(B76,B77,B78)</f>
        <v>which were outstanding at the expiration thereof as required to be disclosed under Section 161B of the Companies Ordinance.</v>
      </c>
      <c r="AQ16" s="719">
        <v>383</v>
      </c>
      <c r="AR16" s="719"/>
      <c r="AS16" s="719"/>
      <c r="AT16" s="719"/>
      <c r="AU16" s="719"/>
      <c r="AV16" s="719"/>
      <c r="AW16" s="719"/>
      <c r="AX16" s="719"/>
      <c r="AY16" s="719"/>
      <c r="AZ16" s="719"/>
      <c r="BA16" s="719"/>
      <c r="BB16" s="719"/>
      <c r="BC16" s="719"/>
      <c r="BD16" s="719"/>
      <c r="BE16" s="719"/>
      <c r="BF16" s="719"/>
      <c r="BG16" s="719"/>
      <c r="BH16" s="719"/>
      <c r="BI16" s="719"/>
      <c r="BJ16" s="719"/>
      <c r="BK16" s="719"/>
      <c r="BL16" s="719"/>
      <c r="BM16" s="719"/>
      <c r="BN16" s="719"/>
      <c r="BO16" s="719"/>
      <c r="BP16" s="719"/>
      <c r="BQ16" s="719"/>
      <c r="BR16" s="719"/>
      <c r="BS16" s="719"/>
      <c r="BT16" s="719"/>
      <c r="BU16" s="719"/>
      <c r="BV16" s="719"/>
      <c r="BW16" s="719"/>
      <c r="BX16" s="719"/>
      <c r="BY16" s="719"/>
      <c r="BZ16" s="719"/>
    </row>
    <row r="17" spans="1:78" customFormat="1" ht="15.75">
      <c r="AQ17" s="605"/>
      <c r="AR17" s="605"/>
      <c r="AS17" s="605"/>
      <c r="AT17" s="605"/>
      <c r="AU17" s="605"/>
      <c r="AV17" s="605"/>
      <c r="AW17" s="605"/>
      <c r="AX17" s="60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row>
    <row r="18" spans="1:78" ht="12.75">
      <c r="A18" s="27" t="s">
        <v>180</v>
      </c>
      <c r="B18" s="28"/>
      <c r="C18" s="28"/>
      <c r="D18" s="892">
        <f>+'Dir info'!C5</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7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7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7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7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7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78">
      <c r="C24" s="31" t="s">
        <v>192</v>
      </c>
      <c r="O24" s="890">
        <f>+'Dir info'!O5</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7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7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7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7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7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7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7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7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721"/>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s="600" customFormat="1">
      <c r="B68" s="600" t="s">
        <v>223</v>
      </c>
    </row>
    <row r="69" spans="2:4" s="600" customFormat="1">
      <c r="B69" s="600" t="str">
        <f>+IF(D72&lt;0,"161","383")</f>
        <v>161</v>
      </c>
    </row>
    <row r="70" spans="2:4" s="600" customFormat="1">
      <c r="B70" s="600" t="s">
        <v>224</v>
      </c>
    </row>
    <row r="71" spans="2:4" s="600" customFormat="1"/>
    <row r="72" spans="2:4" s="600" customFormat="1">
      <c r="B72" s="601">
        <v>41701</v>
      </c>
      <c r="D72" s="602">
        <f>+Control!D11-B72</f>
        <v>-1</v>
      </c>
    </row>
    <row r="73" spans="2:4" s="600" customFormat="1"/>
    <row r="74" spans="2:4" s="600" customFormat="1"/>
    <row r="75" spans="2:4" s="600" customFormat="1"/>
    <row r="76" spans="2:4" s="600" customFormat="1">
      <c r="B76" s="600" t="s">
        <v>225</v>
      </c>
    </row>
    <row r="77" spans="2:4" s="600" customFormat="1">
      <c r="B77" s="600" t="str">
        <f>+IF(D72&lt;0,"161B","383")</f>
        <v>161B</v>
      </c>
    </row>
    <row r="78" spans="2:4" s="600" customFormat="1">
      <c r="B78" s="600"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4">
    <pageSetUpPr fitToPage="1"/>
  </sheetPr>
  <dimension ref="A1:AQ78"/>
  <sheetViews>
    <sheetView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(3)'!AQ7,Control!D7)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info'!C5</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info'!O5</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6">
    <pageSetUpPr fitToPage="1"/>
  </sheetPr>
  <dimension ref="A1:AQ78"/>
  <sheetViews>
    <sheetView topLeftCell="A25"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(4)'!AQ7,Control!D7)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info'!C6</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info'!O6</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7">
    <pageSetUpPr fitToPage="1"/>
  </sheetPr>
  <dimension ref="A1:AQ78"/>
  <sheetViews>
    <sheetView topLeftCell="A25"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(5)'!AQ7,Control!D7)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info'!C7</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info'!O7</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8">
    <pageSetUpPr fitToPage="1"/>
  </sheetPr>
  <dimension ref="A1:AQ78"/>
  <sheetViews>
    <sheetView topLeftCell="A28"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55" t="s">
        <v>167</v>
      </c>
      <c r="B1" s="855"/>
      <c r="C1" s="855"/>
      <c r="D1" s="855"/>
      <c r="E1" s="855"/>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c r="AF1" s="855"/>
      <c r="AG1" s="855"/>
      <c r="AH1" s="855"/>
      <c r="AI1" s="855"/>
      <c r="AJ1" s="855"/>
      <c r="AK1" s="855"/>
      <c r="AL1" s="855"/>
    </row>
    <row r="2" spans="1:43" customFormat="1" ht="15.75">
      <c r="A2" s="855" t="s">
        <v>168</v>
      </c>
      <c r="B2" s="855"/>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c r="AC2" s="855"/>
      <c r="AD2" s="855"/>
      <c r="AE2" s="855"/>
      <c r="AF2" s="855"/>
      <c r="AG2" s="855"/>
      <c r="AH2" s="855"/>
      <c r="AI2" s="855"/>
      <c r="AJ2" s="855"/>
      <c r="AK2" s="855"/>
      <c r="AL2" s="855"/>
    </row>
    <row r="3" spans="1:43" customFormat="1" ht="15.75">
      <c r="A3" s="855" t="s">
        <v>169</v>
      </c>
      <c r="B3" s="855"/>
      <c r="C3" s="855"/>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row>
    <row r="4" spans="1:43" customFormat="1" ht="15.75">
      <c r="A4" s="855" t="s">
        <v>170</v>
      </c>
      <c r="B4" s="855"/>
      <c r="C4" s="855"/>
      <c r="D4" s="855"/>
      <c r="E4" s="855"/>
      <c r="F4" s="855"/>
      <c r="G4" s="855"/>
      <c r="H4" s="855"/>
      <c r="I4" s="855"/>
      <c r="J4" s="855"/>
      <c r="K4" s="855"/>
      <c r="L4" s="855"/>
      <c r="M4" s="855"/>
      <c r="N4" s="855"/>
      <c r="O4" s="855"/>
      <c r="P4" s="855"/>
      <c r="Q4" s="855"/>
      <c r="R4" s="855"/>
      <c r="S4" s="855"/>
      <c r="T4" s="855"/>
      <c r="U4" s="855"/>
      <c r="V4" s="855"/>
      <c r="W4" s="855"/>
      <c r="X4" s="855"/>
      <c r="Y4" s="855"/>
      <c r="Z4" s="855"/>
      <c r="AA4" s="855"/>
      <c r="AB4" s="855"/>
      <c r="AC4" s="855"/>
      <c r="AD4" s="855"/>
      <c r="AE4" s="855"/>
      <c r="AF4" s="855"/>
      <c r="AG4" s="855"/>
      <c r="AH4" s="855"/>
      <c r="AI4" s="855"/>
      <c r="AJ4" s="855"/>
      <c r="AK4" s="855"/>
      <c r="AL4" s="855"/>
    </row>
    <row r="5" spans="1:43" customFormat="1" ht="15.75">
      <c r="A5" s="491"/>
    </row>
    <row r="6" spans="1:43" customFormat="1" ht="15.75">
      <c r="A6" s="856" t="str">
        <f>+Control!D3</f>
        <v>MIC INCORPORATION LIMITED </v>
      </c>
      <c r="B6" s="856"/>
      <c r="C6" s="856"/>
      <c r="D6" s="856"/>
      <c r="E6" s="856"/>
      <c r="F6" s="856"/>
      <c r="G6" s="856"/>
      <c r="H6" s="856"/>
      <c r="I6" s="856"/>
      <c r="J6" s="856"/>
      <c r="K6" s="856"/>
      <c r="L6" s="856"/>
      <c r="M6" s="856"/>
      <c r="N6" s="856"/>
      <c r="O6" s="856"/>
      <c r="P6" s="856"/>
      <c r="Q6" s="856"/>
      <c r="R6" s="856"/>
      <c r="S6" s="856"/>
      <c r="T6" s="856"/>
      <c r="U6" s="856"/>
      <c r="V6" s="856"/>
      <c r="W6" s="856"/>
      <c r="X6" s="856"/>
      <c r="Y6" s="856"/>
      <c r="Z6" s="856"/>
      <c r="AA6" s="856"/>
      <c r="AB6" s="856"/>
      <c r="AC6" s="856"/>
      <c r="AD6" s="856"/>
      <c r="AE6" s="856"/>
      <c r="AF6" s="856"/>
      <c r="AG6" s="856"/>
      <c r="AH6" s="856"/>
      <c r="AI6" s="856"/>
      <c r="AJ6" s="856"/>
      <c r="AK6" s="856"/>
      <c r="AL6" s="856"/>
      <c r="AQ6" t="s">
        <v>7</v>
      </c>
    </row>
    <row r="7" spans="1:43" customFormat="1" ht="15.75">
      <c r="A7" s="853" t="str">
        <f>+CONCATENATE(AQ6,Control!F8,AQ8,'D emol (6)'!AQ7,Control!D7)</f>
        <v>FOR THE PERIOD ENDED 31 DECEMBER, 2016</v>
      </c>
      <c r="B7" s="853"/>
      <c r="C7" s="853"/>
      <c r="D7" s="853"/>
      <c r="E7" s="853"/>
      <c r="F7" s="853"/>
      <c r="G7" s="853"/>
      <c r="H7" s="853"/>
      <c r="I7" s="853"/>
      <c r="J7" s="853"/>
      <c r="K7" s="853"/>
      <c r="L7" s="853"/>
      <c r="M7" s="853"/>
      <c r="N7" s="853"/>
      <c r="O7" s="853"/>
      <c r="P7" s="853"/>
      <c r="Q7" s="853"/>
      <c r="R7" s="853"/>
      <c r="S7" s="853"/>
      <c r="T7" s="853"/>
      <c r="U7" s="853"/>
      <c r="V7" s="853"/>
      <c r="W7" s="853"/>
      <c r="X7" s="853"/>
      <c r="Y7" s="853"/>
      <c r="Z7" s="853"/>
      <c r="AA7" s="853"/>
      <c r="AB7" s="853"/>
      <c r="AC7" s="853"/>
      <c r="AD7" s="853"/>
      <c r="AE7" s="853"/>
      <c r="AF7" s="853"/>
      <c r="AG7" s="853"/>
      <c r="AH7" s="853"/>
      <c r="AI7" s="853"/>
      <c r="AJ7" s="853"/>
      <c r="AK7" s="853"/>
      <c r="AL7" s="853"/>
      <c r="AQ7" t="s">
        <v>171</v>
      </c>
    </row>
    <row r="8" spans="1:43" customFormat="1" ht="15.75">
      <c r="AQ8" t="s">
        <v>172</v>
      </c>
    </row>
    <row r="9" spans="1:43" s="36" customFormat="1">
      <c r="C9" s="36" t="s">
        <v>173</v>
      </c>
    </row>
    <row r="10" spans="1:43" s="36" customFormat="1"/>
    <row r="11" spans="1:43" s="36" customFormat="1">
      <c r="A11" s="36" t="s">
        <v>174</v>
      </c>
      <c r="C11" s="854" t="s">
        <v>175</v>
      </c>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row>
    <row r="12" spans="1:43" s="36" customFormat="1">
      <c r="C12" s="854" t="s">
        <v>176</v>
      </c>
      <c r="D12" s="854"/>
      <c r="E12" s="854"/>
      <c r="F12" s="854"/>
      <c r="G12" s="854"/>
      <c r="H12" s="854"/>
      <c r="I12" s="854"/>
      <c r="J12" s="854"/>
      <c r="K12" s="854"/>
      <c r="L12" s="854"/>
      <c r="M12" s="854"/>
      <c r="N12" s="854"/>
      <c r="O12" s="854"/>
      <c r="P12" s="854"/>
      <c r="Q12" s="854"/>
      <c r="R12" s="854"/>
      <c r="S12" s="854"/>
      <c r="T12" s="854"/>
      <c r="U12" s="854"/>
      <c r="V12" s="854"/>
      <c r="W12" s="854"/>
      <c r="X12" s="854"/>
      <c r="Y12" s="854"/>
      <c r="Z12" s="854"/>
      <c r="AA12" s="854"/>
      <c r="AB12" s="854"/>
      <c r="AC12" s="854"/>
      <c r="AD12" s="854"/>
      <c r="AE12" s="854"/>
      <c r="AF12" s="854"/>
      <c r="AG12" s="854"/>
      <c r="AH12" s="854"/>
      <c r="AI12" s="854"/>
      <c r="AJ12" s="854"/>
      <c r="AK12" s="854"/>
      <c r="AL12" s="854"/>
    </row>
    <row r="13" spans="1:43" s="36" customFormat="1">
      <c r="C13" s="854" t="s">
        <v>177</v>
      </c>
      <c r="D13" s="854"/>
      <c r="E13" s="854"/>
      <c r="F13" s="854"/>
      <c r="G13" s="854"/>
      <c r="H13" s="854"/>
      <c r="I13" s="854"/>
      <c r="J13" s="854"/>
      <c r="K13" s="854"/>
      <c r="L13" s="854"/>
      <c r="M13" s="854"/>
      <c r="N13" s="854"/>
      <c r="O13" s="854"/>
      <c r="P13" s="854"/>
      <c r="Q13" s="854"/>
      <c r="R13" s="854"/>
      <c r="S13" s="854"/>
      <c r="T13" s="854"/>
      <c r="U13" s="854"/>
      <c r="V13" s="854"/>
      <c r="W13" s="854"/>
      <c r="X13" s="854"/>
      <c r="Y13" s="854"/>
      <c r="Z13" s="854"/>
      <c r="AA13" s="854"/>
      <c r="AB13" s="854"/>
      <c r="AC13" s="854"/>
      <c r="AD13" s="854"/>
      <c r="AE13" s="854"/>
      <c r="AF13" s="854"/>
      <c r="AG13" s="854"/>
      <c r="AH13" s="854"/>
      <c r="AI13" s="854"/>
      <c r="AJ13" s="854"/>
      <c r="AK13" s="854"/>
      <c r="AL13" s="854"/>
    </row>
    <row r="14" spans="1:43" s="36" customFormat="1">
      <c r="C14" s="36" t="str">
        <f>+CONCATENATE(B68,B69,B70)</f>
        <v>to be disclosed under Section 161 of the Companies Ordinance;</v>
      </c>
      <c r="AQ14" s="36">
        <v>383</v>
      </c>
    </row>
    <row r="15" spans="1:43" s="36" customFormat="1">
      <c r="A15" s="36" t="s">
        <v>178</v>
      </c>
      <c r="C15" s="854" t="s">
        <v>179</v>
      </c>
      <c r="D15" s="854"/>
      <c r="E15" s="854"/>
      <c r="F15" s="854"/>
      <c r="G15" s="854"/>
      <c r="H15" s="854"/>
      <c r="I15" s="854"/>
      <c r="J15" s="854"/>
      <c r="K15" s="854"/>
      <c r="L15" s="854"/>
      <c r="M15" s="854"/>
      <c r="N15" s="854"/>
      <c r="O15" s="854"/>
      <c r="P15" s="854"/>
      <c r="Q15" s="854"/>
      <c r="R15" s="854"/>
      <c r="S15" s="854"/>
      <c r="T15" s="854"/>
      <c r="U15" s="854"/>
      <c r="V15" s="854"/>
      <c r="W15" s="854"/>
      <c r="X15" s="854"/>
      <c r="Y15" s="854"/>
      <c r="Z15" s="854"/>
      <c r="AA15" s="854"/>
      <c r="AB15" s="854"/>
      <c r="AC15" s="854"/>
      <c r="AD15" s="854"/>
      <c r="AE15" s="854"/>
      <c r="AF15" s="854"/>
      <c r="AG15" s="854"/>
      <c r="AH15" s="854"/>
      <c r="AI15" s="854"/>
      <c r="AJ15" s="854"/>
      <c r="AK15" s="854"/>
      <c r="AL15" s="854"/>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92">
        <f>+'Dir info'!C8</f>
        <v>0</v>
      </c>
      <c r="E18" s="892"/>
      <c r="F18" s="892"/>
      <c r="G18" s="892"/>
      <c r="H18" s="892"/>
      <c r="I18" s="892"/>
      <c r="J18" s="892"/>
      <c r="K18" s="892"/>
      <c r="L18" s="892"/>
      <c r="M18" s="892"/>
      <c r="N18" s="28"/>
      <c r="O18" s="866" t="s">
        <v>181</v>
      </c>
      <c r="P18" s="867"/>
      <c r="Q18" s="867"/>
      <c r="R18" s="867"/>
      <c r="S18" s="867"/>
      <c r="T18" s="867"/>
      <c r="U18" s="867"/>
      <c r="V18" s="868"/>
      <c r="W18" s="29"/>
      <c r="X18" s="873" t="s">
        <v>182</v>
      </c>
      <c r="Y18" s="873"/>
      <c r="Z18" s="873"/>
      <c r="AA18" s="873"/>
      <c r="AB18" s="873"/>
      <c r="AC18" s="873"/>
      <c r="AD18" s="30"/>
      <c r="AE18" s="872" t="s">
        <v>183</v>
      </c>
      <c r="AF18" s="873"/>
      <c r="AG18" s="873"/>
      <c r="AH18" s="873"/>
      <c r="AI18" s="873"/>
      <c r="AJ18" s="873"/>
      <c r="AK18" s="873"/>
      <c r="AL18" s="874"/>
    </row>
    <row r="19" spans="1:38" ht="27" customHeight="1">
      <c r="A19" s="27" t="s">
        <v>184</v>
      </c>
      <c r="C19" s="28"/>
      <c r="D19" s="893" t="s">
        <v>185</v>
      </c>
      <c r="E19" s="893"/>
      <c r="F19" s="893"/>
      <c r="G19" s="893"/>
      <c r="H19" s="893"/>
      <c r="I19" s="893"/>
      <c r="J19" s="893"/>
      <c r="K19" s="893"/>
      <c r="L19" s="893"/>
      <c r="M19" s="893"/>
      <c r="N19" s="28"/>
      <c r="O19" s="863"/>
      <c r="P19" s="864"/>
      <c r="Q19" s="864"/>
      <c r="R19" s="864"/>
      <c r="S19" s="864"/>
      <c r="T19" s="864"/>
      <c r="U19" s="864"/>
      <c r="V19" s="865"/>
      <c r="W19" s="32"/>
      <c r="X19" s="876"/>
      <c r="Y19" s="876"/>
      <c r="Z19" s="876"/>
      <c r="AA19" s="876"/>
      <c r="AB19" s="876"/>
      <c r="AC19" s="876"/>
      <c r="AD19" s="33"/>
      <c r="AE19" s="875"/>
      <c r="AF19" s="876"/>
      <c r="AG19" s="876"/>
      <c r="AH19" s="876"/>
      <c r="AI19" s="876"/>
      <c r="AJ19" s="876"/>
      <c r="AK19" s="876"/>
      <c r="AL19" s="877"/>
    </row>
    <row r="20" spans="1:38" ht="14.25" customHeight="1">
      <c r="O20" s="878" t="s">
        <v>186</v>
      </c>
      <c r="P20" s="878"/>
      <c r="Q20" s="878"/>
      <c r="R20" s="878"/>
      <c r="S20" s="878" t="s">
        <v>187</v>
      </c>
      <c r="T20" s="878"/>
      <c r="U20" s="878"/>
      <c r="V20" s="878"/>
      <c r="W20" s="878" t="s">
        <v>186</v>
      </c>
      <c r="X20" s="878"/>
      <c r="Y20" s="878"/>
      <c r="Z20" s="878"/>
      <c r="AA20" s="878" t="s">
        <v>187</v>
      </c>
      <c r="AB20" s="878"/>
      <c r="AC20" s="878"/>
      <c r="AD20" s="878"/>
      <c r="AE20" s="878" t="s">
        <v>186</v>
      </c>
      <c r="AF20" s="878"/>
      <c r="AG20" s="878"/>
      <c r="AH20" s="878"/>
      <c r="AI20" s="878" t="s">
        <v>187</v>
      </c>
      <c r="AJ20" s="878"/>
      <c r="AK20" s="878"/>
      <c r="AL20" s="878"/>
    </row>
    <row r="21" spans="1:38">
      <c r="O21" s="857" t="str">
        <f>+Control!D68</f>
        <v>US$</v>
      </c>
      <c r="P21" s="858"/>
      <c r="Q21" s="858"/>
      <c r="R21" s="859"/>
      <c r="S21" s="857" t="str">
        <f>+Control!D68</f>
        <v>US$</v>
      </c>
      <c r="T21" s="858"/>
      <c r="U21" s="858"/>
      <c r="V21" s="859"/>
      <c r="W21" s="857" t="str">
        <f>+Control!D68</f>
        <v>US$</v>
      </c>
      <c r="X21" s="858"/>
      <c r="Y21" s="858"/>
      <c r="Z21" s="859"/>
      <c r="AA21" s="857" t="str">
        <f>+Control!D68</f>
        <v>US$</v>
      </c>
      <c r="AB21" s="858"/>
      <c r="AC21" s="858"/>
      <c r="AD21" s="859"/>
      <c r="AE21" s="857" t="str">
        <f>+Control!D68</f>
        <v>US$</v>
      </c>
      <c r="AF21" s="858"/>
      <c r="AG21" s="858"/>
      <c r="AH21" s="859"/>
      <c r="AI21" s="857" t="str">
        <f>+Control!D68</f>
        <v>US$</v>
      </c>
      <c r="AJ21" s="858"/>
      <c r="AK21" s="858"/>
      <c r="AL21" s="859"/>
    </row>
    <row r="22" spans="1:38">
      <c r="A22" s="31" t="s">
        <v>188</v>
      </c>
      <c r="B22" s="34" t="s">
        <v>189</v>
      </c>
      <c r="C22" s="31" t="s">
        <v>190</v>
      </c>
      <c r="O22" s="891"/>
      <c r="P22" s="878"/>
      <c r="Q22" s="878"/>
      <c r="R22" s="878"/>
      <c r="S22" s="878"/>
      <c r="T22" s="878"/>
      <c r="U22" s="878"/>
      <c r="V22" s="878"/>
      <c r="W22" s="878"/>
      <c r="X22" s="878"/>
      <c r="Y22" s="878"/>
      <c r="Z22" s="878"/>
      <c r="AA22" s="878"/>
      <c r="AB22" s="878"/>
      <c r="AC22" s="878"/>
      <c r="AD22" s="878"/>
      <c r="AE22" s="878"/>
      <c r="AF22" s="878"/>
      <c r="AG22" s="878"/>
      <c r="AH22" s="878"/>
      <c r="AI22" s="878"/>
      <c r="AJ22" s="878"/>
      <c r="AK22" s="878"/>
      <c r="AL22" s="878"/>
    </row>
    <row r="23" spans="1:38">
      <c r="C23" s="31" t="s">
        <v>191</v>
      </c>
      <c r="O23" s="878"/>
      <c r="P23" s="878"/>
      <c r="Q23" s="878"/>
      <c r="R23" s="878"/>
      <c r="S23" s="878"/>
      <c r="T23" s="878"/>
      <c r="U23" s="878"/>
      <c r="V23" s="878"/>
      <c r="W23" s="878"/>
      <c r="X23" s="878"/>
      <c r="Y23" s="878"/>
      <c r="Z23" s="878"/>
      <c r="AA23" s="878"/>
      <c r="AB23" s="878"/>
      <c r="AC23" s="878"/>
      <c r="AD23" s="878"/>
      <c r="AE23" s="878"/>
      <c r="AF23" s="878"/>
      <c r="AG23" s="878"/>
      <c r="AH23" s="878"/>
      <c r="AI23" s="878"/>
      <c r="AJ23" s="878"/>
      <c r="AK23" s="878"/>
      <c r="AL23" s="878"/>
    </row>
    <row r="24" spans="1:38">
      <c r="C24" s="31" t="s">
        <v>192</v>
      </c>
      <c r="O24" s="890">
        <f>+'Dir info'!O8</f>
        <v>0</v>
      </c>
      <c r="P24" s="890"/>
      <c r="Q24" s="890"/>
      <c r="R24" s="890"/>
      <c r="S24" s="878"/>
      <c r="T24" s="878"/>
      <c r="U24" s="878"/>
      <c r="V24" s="878"/>
      <c r="W24" s="878"/>
      <c r="X24" s="878"/>
      <c r="Y24" s="878"/>
      <c r="Z24" s="878"/>
      <c r="AA24" s="878"/>
      <c r="AB24" s="878"/>
      <c r="AC24" s="878"/>
      <c r="AD24" s="878"/>
      <c r="AE24" s="878"/>
      <c r="AF24" s="878"/>
      <c r="AG24" s="878"/>
      <c r="AH24" s="878"/>
      <c r="AI24" s="878"/>
      <c r="AJ24" s="878"/>
      <c r="AK24" s="878"/>
      <c r="AL24" s="878"/>
    </row>
    <row r="25" spans="1:38">
      <c r="C25" s="31" t="s">
        <v>193</v>
      </c>
      <c r="O25" s="878"/>
      <c r="P25" s="878"/>
      <c r="Q25" s="878"/>
      <c r="R25" s="878"/>
      <c r="S25" s="878"/>
      <c r="T25" s="878"/>
      <c r="U25" s="878"/>
      <c r="V25" s="878"/>
      <c r="W25" s="878"/>
      <c r="X25" s="878"/>
      <c r="Y25" s="878"/>
      <c r="Z25" s="878"/>
      <c r="AA25" s="878"/>
      <c r="AB25" s="878"/>
      <c r="AC25" s="878"/>
      <c r="AD25" s="878"/>
      <c r="AE25" s="878"/>
      <c r="AF25" s="878"/>
      <c r="AG25" s="878"/>
      <c r="AH25" s="878"/>
      <c r="AI25" s="878"/>
      <c r="AJ25" s="878"/>
      <c r="AK25" s="878"/>
      <c r="AL25" s="878"/>
    </row>
    <row r="26" spans="1:38">
      <c r="C26" s="31" t="s">
        <v>194</v>
      </c>
      <c r="O26" s="878"/>
      <c r="P26" s="878"/>
      <c r="Q26" s="878"/>
      <c r="R26" s="878"/>
      <c r="S26" s="878"/>
      <c r="T26" s="878"/>
      <c r="U26" s="878"/>
      <c r="V26" s="878"/>
      <c r="W26" s="878"/>
      <c r="X26" s="878"/>
      <c r="Y26" s="878"/>
      <c r="Z26" s="878"/>
      <c r="AA26" s="878"/>
      <c r="AB26" s="878"/>
      <c r="AC26" s="878"/>
      <c r="AD26" s="878"/>
      <c r="AE26" s="878"/>
      <c r="AF26" s="878"/>
      <c r="AG26" s="878"/>
      <c r="AH26" s="878"/>
      <c r="AI26" s="878"/>
      <c r="AJ26" s="878"/>
      <c r="AK26" s="878"/>
      <c r="AL26" s="878"/>
    </row>
    <row r="27" spans="1:38">
      <c r="C27" s="31" t="s">
        <v>195</v>
      </c>
      <c r="O27" s="878"/>
      <c r="P27" s="878"/>
      <c r="Q27" s="878"/>
      <c r="R27" s="878"/>
      <c r="S27" s="878"/>
      <c r="T27" s="878"/>
      <c r="U27" s="878"/>
      <c r="V27" s="878"/>
      <c r="W27" s="878"/>
      <c r="X27" s="878"/>
      <c r="Y27" s="878"/>
      <c r="Z27" s="878"/>
      <c r="AA27" s="878"/>
      <c r="AB27" s="878"/>
      <c r="AC27" s="878"/>
      <c r="AD27" s="878"/>
      <c r="AE27" s="878"/>
      <c r="AF27" s="878"/>
      <c r="AG27" s="878"/>
      <c r="AH27" s="878"/>
      <c r="AI27" s="878"/>
      <c r="AJ27" s="878"/>
      <c r="AK27" s="878"/>
      <c r="AL27" s="878"/>
    </row>
    <row r="28" spans="1:38">
      <c r="D28" s="31" t="s">
        <v>196</v>
      </c>
      <c r="O28" s="878"/>
      <c r="P28" s="878"/>
      <c r="Q28" s="878"/>
      <c r="R28" s="878"/>
      <c r="S28" s="878"/>
      <c r="T28" s="878"/>
      <c r="U28" s="878"/>
      <c r="V28" s="878"/>
      <c r="W28" s="878"/>
      <c r="X28" s="878"/>
      <c r="Y28" s="878"/>
      <c r="Z28" s="878"/>
      <c r="AA28" s="878"/>
      <c r="AB28" s="878"/>
      <c r="AC28" s="878"/>
      <c r="AD28" s="878"/>
      <c r="AE28" s="878"/>
      <c r="AF28" s="878"/>
      <c r="AG28" s="878"/>
      <c r="AH28" s="878"/>
      <c r="AI28" s="878"/>
      <c r="AJ28" s="878"/>
      <c r="AK28" s="878"/>
      <c r="AL28" s="878"/>
    </row>
    <row r="29" spans="1:38">
      <c r="C29" s="31" t="s">
        <v>197</v>
      </c>
      <c r="O29" s="878"/>
      <c r="P29" s="878"/>
      <c r="Q29" s="878"/>
      <c r="R29" s="878"/>
      <c r="S29" s="878"/>
      <c r="T29" s="878"/>
      <c r="U29" s="878"/>
      <c r="V29" s="878"/>
      <c r="W29" s="878"/>
      <c r="X29" s="878"/>
      <c r="Y29" s="878"/>
      <c r="Z29" s="878"/>
      <c r="AA29" s="878"/>
      <c r="AB29" s="878"/>
      <c r="AC29" s="878"/>
      <c r="AD29" s="878"/>
      <c r="AE29" s="878"/>
      <c r="AF29" s="878"/>
      <c r="AG29" s="878"/>
      <c r="AH29" s="878"/>
      <c r="AI29" s="878"/>
      <c r="AJ29" s="878"/>
      <c r="AK29" s="878"/>
      <c r="AL29" s="878"/>
    </row>
    <row r="30" spans="1:38">
      <c r="C30" s="31" t="s">
        <v>198</v>
      </c>
      <c r="O30" s="880"/>
      <c r="P30" s="881"/>
      <c r="Q30" s="881"/>
      <c r="R30" s="882"/>
      <c r="S30" s="878"/>
      <c r="T30" s="878"/>
      <c r="U30" s="878"/>
      <c r="V30" s="878"/>
      <c r="W30" s="878"/>
      <c r="X30" s="878"/>
      <c r="Y30" s="878"/>
      <c r="Z30" s="878"/>
      <c r="AA30" s="878"/>
      <c r="AB30" s="878"/>
      <c r="AC30" s="878"/>
      <c r="AD30" s="878"/>
      <c r="AE30" s="878"/>
      <c r="AF30" s="878"/>
      <c r="AG30" s="878"/>
      <c r="AH30" s="878"/>
      <c r="AI30" s="878"/>
      <c r="AJ30" s="878"/>
      <c r="AK30" s="878"/>
      <c r="AL30" s="878"/>
    </row>
    <row r="31" spans="1:38">
      <c r="D31" s="31" t="s">
        <v>199</v>
      </c>
      <c r="O31" s="883"/>
      <c r="P31" s="884"/>
      <c r="Q31" s="884"/>
      <c r="R31" s="885"/>
      <c r="S31" s="878"/>
      <c r="T31" s="878"/>
      <c r="U31" s="878"/>
      <c r="V31" s="878"/>
      <c r="W31" s="878"/>
      <c r="X31" s="878"/>
      <c r="Y31" s="878"/>
      <c r="Z31" s="878"/>
      <c r="AA31" s="878"/>
      <c r="AB31" s="878"/>
      <c r="AC31" s="878"/>
      <c r="AD31" s="878"/>
      <c r="AE31" s="878"/>
      <c r="AF31" s="878"/>
      <c r="AG31" s="878"/>
      <c r="AH31" s="878"/>
      <c r="AI31" s="878"/>
      <c r="AJ31" s="878"/>
      <c r="AK31" s="878"/>
      <c r="AL31" s="878"/>
    </row>
    <row r="32" spans="1:38">
      <c r="D32" s="31" t="s">
        <v>200</v>
      </c>
      <c r="E32" s="31" t="s">
        <v>201</v>
      </c>
      <c r="O32" s="886"/>
      <c r="P32" s="887"/>
      <c r="Q32" s="887"/>
      <c r="R32" s="888"/>
      <c r="S32" s="878"/>
      <c r="T32" s="878"/>
      <c r="U32" s="878"/>
      <c r="V32" s="878"/>
      <c r="W32" s="878"/>
      <c r="X32" s="878"/>
      <c r="Y32" s="878"/>
      <c r="Z32" s="878"/>
      <c r="AA32" s="878"/>
      <c r="AB32" s="878"/>
      <c r="AC32" s="878"/>
      <c r="AD32" s="878"/>
      <c r="AE32" s="878"/>
      <c r="AF32" s="878"/>
      <c r="AG32" s="878"/>
      <c r="AH32" s="878"/>
      <c r="AI32" s="878"/>
      <c r="AJ32" s="878"/>
      <c r="AK32" s="878"/>
      <c r="AL32" s="878"/>
    </row>
    <row r="33" spans="2:43">
      <c r="O33" s="879"/>
      <c r="P33" s="879"/>
      <c r="Q33" s="879"/>
      <c r="R33" s="879"/>
      <c r="S33" s="878"/>
      <c r="T33" s="878"/>
      <c r="U33" s="878"/>
      <c r="V33" s="878"/>
      <c r="W33" s="878"/>
      <c r="X33" s="878"/>
      <c r="Y33" s="878"/>
      <c r="Z33" s="878"/>
      <c r="AA33" s="878"/>
      <c r="AB33" s="878"/>
      <c r="AC33" s="878"/>
      <c r="AD33" s="878"/>
      <c r="AE33" s="878"/>
      <c r="AF33" s="878"/>
      <c r="AG33" s="878"/>
      <c r="AH33" s="878"/>
      <c r="AI33" s="878"/>
      <c r="AJ33" s="878"/>
      <c r="AK33" s="878"/>
      <c r="AL33" s="878"/>
    </row>
    <row r="34" spans="2:43">
      <c r="O34" s="878"/>
      <c r="P34" s="878"/>
      <c r="Q34" s="878"/>
      <c r="R34" s="878"/>
      <c r="S34" s="878"/>
      <c r="T34" s="878"/>
      <c r="U34" s="878"/>
      <c r="V34" s="878"/>
      <c r="W34" s="878"/>
      <c r="X34" s="878"/>
      <c r="Y34" s="878"/>
      <c r="Z34" s="878"/>
      <c r="AA34" s="878"/>
      <c r="AB34" s="878"/>
      <c r="AC34" s="878"/>
      <c r="AD34" s="878"/>
      <c r="AE34" s="878"/>
      <c r="AF34" s="878"/>
      <c r="AG34" s="878"/>
      <c r="AH34" s="878"/>
      <c r="AI34" s="878"/>
      <c r="AJ34" s="878"/>
      <c r="AK34" s="878"/>
      <c r="AL34" s="878"/>
    </row>
    <row r="35" spans="2:43">
      <c r="B35" s="34" t="s">
        <v>202</v>
      </c>
      <c r="C35" s="31" t="s">
        <v>203</v>
      </c>
      <c r="O35" s="878"/>
      <c r="P35" s="878"/>
      <c r="Q35" s="878"/>
      <c r="R35" s="878"/>
      <c r="S35" s="878"/>
      <c r="T35" s="878"/>
      <c r="U35" s="878"/>
      <c r="V35" s="878"/>
      <c r="W35" s="878"/>
      <c r="X35" s="878"/>
      <c r="Y35" s="878"/>
      <c r="Z35" s="878"/>
      <c r="AA35" s="878"/>
      <c r="AB35" s="878"/>
      <c r="AC35" s="878"/>
      <c r="AD35" s="878"/>
      <c r="AE35" s="878"/>
      <c r="AF35" s="878"/>
      <c r="AG35" s="878"/>
      <c r="AH35" s="878"/>
      <c r="AI35" s="878"/>
      <c r="AJ35" s="878"/>
      <c r="AK35" s="878"/>
      <c r="AL35" s="878"/>
    </row>
    <row r="36" spans="2:43">
      <c r="C36" s="31" t="s">
        <v>204</v>
      </c>
      <c r="O36" s="878"/>
      <c r="P36" s="878"/>
      <c r="Q36" s="878"/>
      <c r="R36" s="878"/>
      <c r="S36" s="878"/>
      <c r="T36" s="878"/>
      <c r="U36" s="878"/>
      <c r="V36" s="878"/>
      <c r="W36" s="878"/>
      <c r="X36" s="878"/>
      <c r="Y36" s="878"/>
      <c r="Z36" s="878"/>
      <c r="AA36" s="878"/>
      <c r="AB36" s="878"/>
      <c r="AC36" s="878"/>
      <c r="AD36" s="878"/>
      <c r="AE36" s="878"/>
      <c r="AF36" s="878"/>
      <c r="AG36" s="878"/>
      <c r="AH36" s="878"/>
      <c r="AI36" s="878"/>
      <c r="AJ36" s="878"/>
      <c r="AK36" s="878"/>
      <c r="AL36" s="878"/>
    </row>
    <row r="37" spans="2:43">
      <c r="D37" s="31" t="s">
        <v>205</v>
      </c>
      <c r="O37" s="878"/>
      <c r="P37" s="878"/>
      <c r="Q37" s="878"/>
      <c r="R37" s="878"/>
      <c r="S37" s="878"/>
      <c r="T37" s="878"/>
      <c r="U37" s="878"/>
      <c r="V37" s="878"/>
      <c r="W37" s="878"/>
      <c r="X37" s="878"/>
      <c r="Y37" s="878"/>
      <c r="Z37" s="878"/>
      <c r="AA37" s="878"/>
      <c r="AB37" s="878"/>
      <c r="AC37" s="878"/>
      <c r="AD37" s="878"/>
      <c r="AE37" s="878"/>
      <c r="AF37" s="878"/>
      <c r="AG37" s="878"/>
      <c r="AH37" s="878"/>
      <c r="AI37" s="878"/>
      <c r="AJ37" s="878"/>
      <c r="AK37" s="878"/>
      <c r="AL37" s="878"/>
    </row>
    <row r="38" spans="2:43">
      <c r="D38" s="31" t="s">
        <v>206</v>
      </c>
      <c r="O38" s="878"/>
      <c r="P38" s="878"/>
      <c r="Q38" s="878"/>
      <c r="R38" s="878"/>
      <c r="S38" s="878"/>
      <c r="T38" s="878"/>
      <c r="U38" s="878"/>
      <c r="V38" s="878"/>
      <c r="W38" s="878"/>
      <c r="X38" s="878"/>
      <c r="Y38" s="878"/>
      <c r="Z38" s="878"/>
      <c r="AA38" s="878"/>
      <c r="AB38" s="878"/>
      <c r="AC38" s="878"/>
      <c r="AD38" s="878"/>
      <c r="AE38" s="878"/>
      <c r="AF38" s="878"/>
      <c r="AG38" s="878"/>
      <c r="AH38" s="878"/>
      <c r="AI38" s="878"/>
      <c r="AJ38" s="878"/>
      <c r="AK38" s="878"/>
      <c r="AL38" s="878"/>
    </row>
    <row r="39" spans="2:43">
      <c r="D39" s="31" t="s">
        <v>207</v>
      </c>
      <c r="O39" s="878"/>
      <c r="P39" s="878"/>
      <c r="Q39" s="878"/>
      <c r="R39" s="878"/>
      <c r="S39" s="878"/>
      <c r="T39" s="878"/>
      <c r="U39" s="878"/>
      <c r="V39" s="878"/>
      <c r="W39" s="878"/>
      <c r="X39" s="878"/>
      <c r="Y39" s="878"/>
      <c r="Z39" s="878"/>
      <c r="AA39" s="878"/>
      <c r="AB39" s="878"/>
      <c r="AC39" s="878"/>
      <c r="AD39" s="878"/>
      <c r="AE39" s="878"/>
      <c r="AF39" s="878"/>
      <c r="AG39" s="878"/>
      <c r="AH39" s="878"/>
      <c r="AI39" s="878"/>
      <c r="AJ39" s="878"/>
      <c r="AK39" s="878"/>
      <c r="AL39" s="878"/>
    </row>
    <row r="40" spans="2:43">
      <c r="C40" s="31" t="s">
        <v>208</v>
      </c>
      <c r="O40" s="878"/>
      <c r="P40" s="878"/>
      <c r="Q40" s="878"/>
      <c r="R40" s="878"/>
      <c r="S40" s="878"/>
      <c r="T40" s="878"/>
      <c r="U40" s="878"/>
      <c r="V40" s="878"/>
      <c r="W40" s="878"/>
      <c r="X40" s="878"/>
      <c r="Y40" s="878"/>
      <c r="Z40" s="878"/>
      <c r="AA40" s="878"/>
      <c r="AB40" s="878"/>
      <c r="AC40" s="878"/>
      <c r="AD40" s="878"/>
      <c r="AE40" s="878"/>
      <c r="AF40" s="878"/>
      <c r="AG40" s="878"/>
      <c r="AH40" s="878"/>
      <c r="AI40" s="878"/>
      <c r="AJ40" s="878"/>
      <c r="AK40" s="878"/>
      <c r="AL40" s="878"/>
    </row>
    <row r="41" spans="2:43">
      <c r="C41" s="31" t="s">
        <v>209</v>
      </c>
      <c r="O41" s="878"/>
      <c r="P41" s="878"/>
      <c r="Q41" s="878"/>
      <c r="R41" s="878"/>
      <c r="S41" s="878"/>
      <c r="T41" s="878"/>
      <c r="U41" s="878"/>
      <c r="V41" s="878"/>
      <c r="W41" s="878"/>
      <c r="X41" s="878"/>
      <c r="Y41" s="878"/>
      <c r="Z41" s="878"/>
      <c r="AA41" s="878"/>
      <c r="AB41" s="878"/>
      <c r="AC41" s="878"/>
      <c r="AD41" s="878"/>
      <c r="AE41" s="878"/>
      <c r="AF41" s="878"/>
      <c r="AG41" s="878"/>
      <c r="AH41" s="878"/>
      <c r="AI41" s="878"/>
      <c r="AJ41" s="878"/>
      <c r="AK41" s="878"/>
      <c r="AL41" s="878"/>
    </row>
    <row r="42" spans="2:43">
      <c r="B42" s="34" t="s">
        <v>210</v>
      </c>
      <c r="C42" s="31" t="s">
        <v>211</v>
      </c>
      <c r="O42" s="878"/>
      <c r="P42" s="878"/>
      <c r="Q42" s="878"/>
      <c r="R42" s="878"/>
      <c r="S42" s="878"/>
      <c r="T42" s="878"/>
      <c r="U42" s="878"/>
      <c r="V42" s="878"/>
      <c r="W42" s="878"/>
      <c r="X42" s="878"/>
      <c r="Y42" s="878"/>
      <c r="Z42" s="878"/>
      <c r="AA42" s="878"/>
      <c r="AB42" s="878"/>
      <c r="AC42" s="878"/>
      <c r="AD42" s="878"/>
      <c r="AE42" s="878"/>
      <c r="AF42" s="878"/>
      <c r="AG42" s="878"/>
      <c r="AH42" s="878"/>
      <c r="AI42" s="878"/>
      <c r="AJ42" s="878"/>
      <c r="AK42" s="878"/>
      <c r="AL42" s="878"/>
    </row>
    <row r="43" spans="2:43">
      <c r="C43" s="31" t="s">
        <v>208</v>
      </c>
      <c r="O43" s="878"/>
      <c r="P43" s="878"/>
      <c r="Q43" s="878"/>
      <c r="R43" s="878"/>
      <c r="S43" s="878"/>
      <c r="T43" s="878"/>
      <c r="U43" s="878"/>
      <c r="V43" s="878"/>
      <c r="W43" s="878"/>
      <c r="X43" s="878"/>
      <c r="Y43" s="878"/>
      <c r="Z43" s="878"/>
      <c r="AA43" s="878"/>
      <c r="AB43" s="878"/>
      <c r="AC43" s="878"/>
      <c r="AD43" s="878"/>
      <c r="AE43" s="878"/>
      <c r="AF43" s="878"/>
      <c r="AG43" s="878"/>
      <c r="AH43" s="878"/>
      <c r="AI43" s="878"/>
      <c r="AJ43" s="878"/>
      <c r="AK43" s="878"/>
      <c r="AL43" s="878"/>
    </row>
    <row r="44" spans="2:43">
      <c r="C44" s="31" t="s">
        <v>209</v>
      </c>
      <c r="O44" s="878"/>
      <c r="P44" s="878"/>
      <c r="Q44" s="878"/>
      <c r="R44" s="878"/>
      <c r="S44" s="878"/>
      <c r="T44" s="878"/>
      <c r="U44" s="878"/>
      <c r="V44" s="878"/>
      <c r="W44" s="878"/>
      <c r="X44" s="878"/>
      <c r="Y44" s="878"/>
      <c r="Z44" s="878"/>
      <c r="AA44" s="878"/>
      <c r="AB44" s="878"/>
      <c r="AC44" s="878"/>
      <c r="AD44" s="878"/>
      <c r="AE44" s="878"/>
      <c r="AF44" s="878"/>
      <c r="AG44" s="878"/>
      <c r="AH44" s="878"/>
      <c r="AI44" s="878"/>
      <c r="AJ44" s="878"/>
      <c r="AK44" s="878"/>
      <c r="AL44" s="878"/>
    </row>
    <row r="45" spans="2:43">
      <c r="B45" s="31" t="str">
        <f>+'D emol'!C45</f>
        <v>TOTAL (section 161)</v>
      </c>
      <c r="O45" s="869" t="str">
        <f>IF(SUM(O23:O44)&gt;0,SUM(O23:O44),"NIL")</f>
        <v>NIL</v>
      </c>
      <c r="P45" s="870"/>
      <c r="Q45" s="870"/>
      <c r="R45" s="870"/>
      <c r="S45" s="870"/>
      <c r="T45" s="870"/>
      <c r="U45" s="870"/>
      <c r="V45" s="871"/>
      <c r="W45" s="857" t="s">
        <v>212</v>
      </c>
      <c r="X45" s="858"/>
      <c r="Y45" s="858"/>
      <c r="Z45" s="858"/>
      <c r="AA45" s="858"/>
      <c r="AB45" s="858"/>
      <c r="AC45" s="858"/>
      <c r="AD45" s="859"/>
      <c r="AE45" s="857" t="s">
        <v>212</v>
      </c>
      <c r="AF45" s="858"/>
      <c r="AG45" s="858"/>
      <c r="AH45" s="858"/>
      <c r="AI45" s="858"/>
      <c r="AJ45" s="858"/>
      <c r="AK45" s="858"/>
      <c r="AL45" s="859"/>
      <c r="AQ45" s="35"/>
    </row>
    <row r="47" spans="2:43">
      <c r="O47" s="866" t="s">
        <v>213</v>
      </c>
      <c r="P47" s="867"/>
      <c r="Q47" s="867"/>
      <c r="R47" s="867"/>
      <c r="S47" s="867"/>
      <c r="T47" s="867"/>
      <c r="U47" s="867"/>
      <c r="V47" s="867"/>
      <c r="W47" s="867"/>
      <c r="X47" s="867"/>
      <c r="Y47" s="867"/>
      <c r="Z47" s="868"/>
      <c r="AA47" s="872" t="s">
        <v>214</v>
      </c>
      <c r="AB47" s="873"/>
      <c r="AC47" s="873"/>
      <c r="AD47" s="873"/>
      <c r="AE47" s="873"/>
      <c r="AF47" s="873"/>
      <c r="AG47" s="873"/>
      <c r="AH47" s="873"/>
      <c r="AI47" s="873"/>
      <c r="AJ47" s="873"/>
      <c r="AK47" s="873"/>
      <c r="AL47" s="874"/>
    </row>
    <row r="48" spans="2:43">
      <c r="O48" s="863"/>
      <c r="P48" s="864"/>
      <c r="Q48" s="864"/>
      <c r="R48" s="864"/>
      <c r="S48" s="864"/>
      <c r="T48" s="864"/>
      <c r="U48" s="864"/>
      <c r="V48" s="864"/>
      <c r="W48" s="864"/>
      <c r="X48" s="864"/>
      <c r="Y48" s="864"/>
      <c r="Z48" s="865"/>
      <c r="AA48" s="875"/>
      <c r="AB48" s="876"/>
      <c r="AC48" s="876"/>
      <c r="AD48" s="876"/>
      <c r="AE48" s="876"/>
      <c r="AF48" s="876"/>
      <c r="AG48" s="876"/>
      <c r="AH48" s="876"/>
      <c r="AI48" s="876"/>
      <c r="AJ48" s="876"/>
      <c r="AK48" s="876"/>
      <c r="AL48" s="877"/>
    </row>
    <row r="49" spans="1:38">
      <c r="O49" s="866" t="str">
        <f>+Control!D68</f>
        <v>US$</v>
      </c>
      <c r="P49" s="867"/>
      <c r="Q49" s="867"/>
      <c r="R49" s="867"/>
      <c r="S49" s="867"/>
      <c r="T49" s="867"/>
      <c r="U49" s="867"/>
      <c r="V49" s="867"/>
      <c r="W49" s="867"/>
      <c r="X49" s="867"/>
      <c r="Y49" s="867"/>
      <c r="Z49" s="868"/>
      <c r="AA49" s="866" t="str">
        <f>+Control!D68</f>
        <v>US$</v>
      </c>
      <c r="AB49" s="867"/>
      <c r="AC49" s="867"/>
      <c r="AD49" s="867"/>
      <c r="AE49" s="867"/>
      <c r="AF49" s="867"/>
      <c r="AG49" s="867"/>
      <c r="AH49" s="867"/>
      <c r="AI49" s="867"/>
      <c r="AJ49" s="867"/>
      <c r="AK49" s="867"/>
      <c r="AL49" s="868"/>
    </row>
    <row r="50" spans="1:38">
      <c r="A50" s="31" t="s">
        <v>215</v>
      </c>
      <c r="B50" s="31" t="s">
        <v>216</v>
      </c>
      <c r="O50" s="860"/>
      <c r="P50" s="861"/>
      <c r="Q50" s="861"/>
      <c r="R50" s="861"/>
      <c r="S50" s="861"/>
      <c r="T50" s="861"/>
      <c r="U50" s="861"/>
      <c r="V50" s="861"/>
      <c r="W50" s="861"/>
      <c r="X50" s="861"/>
      <c r="Y50" s="861"/>
      <c r="Z50" s="862"/>
      <c r="AA50" s="860"/>
      <c r="AB50" s="861"/>
      <c r="AC50" s="861"/>
      <c r="AD50" s="861"/>
      <c r="AE50" s="861"/>
      <c r="AF50" s="861"/>
      <c r="AG50" s="861"/>
      <c r="AH50" s="861"/>
      <c r="AI50" s="861"/>
      <c r="AJ50" s="861"/>
      <c r="AK50" s="861"/>
      <c r="AL50" s="862"/>
    </row>
    <row r="51" spans="1:38">
      <c r="B51" s="31" t="s">
        <v>217</v>
      </c>
      <c r="O51" s="863"/>
      <c r="P51" s="864"/>
      <c r="Q51" s="864"/>
      <c r="R51" s="864"/>
      <c r="S51" s="864"/>
      <c r="T51" s="864"/>
      <c r="U51" s="864"/>
      <c r="V51" s="864"/>
      <c r="W51" s="864"/>
      <c r="X51" s="864"/>
      <c r="Y51" s="864"/>
      <c r="Z51" s="865"/>
      <c r="AA51" s="863"/>
      <c r="AB51" s="864"/>
      <c r="AC51" s="864"/>
      <c r="AD51" s="864"/>
      <c r="AE51" s="864"/>
      <c r="AF51" s="864"/>
      <c r="AG51" s="864"/>
      <c r="AH51" s="864"/>
      <c r="AI51" s="864"/>
      <c r="AJ51" s="864"/>
      <c r="AK51" s="864"/>
      <c r="AL51" s="865"/>
    </row>
    <row r="52" spans="1:38">
      <c r="B52" s="31" t="s">
        <v>218</v>
      </c>
      <c r="O52" s="857"/>
      <c r="P52" s="858"/>
      <c r="Q52" s="858"/>
      <c r="R52" s="858"/>
      <c r="S52" s="858"/>
      <c r="T52" s="858"/>
      <c r="U52" s="858"/>
      <c r="V52" s="858"/>
      <c r="W52" s="858"/>
      <c r="X52" s="858"/>
      <c r="Y52" s="858"/>
      <c r="Z52" s="859"/>
      <c r="AA52" s="857"/>
      <c r="AB52" s="858"/>
      <c r="AC52" s="858"/>
      <c r="AD52" s="858"/>
      <c r="AE52" s="858"/>
      <c r="AF52" s="858"/>
      <c r="AG52" s="858"/>
      <c r="AH52" s="858"/>
      <c r="AI52" s="858"/>
      <c r="AJ52" s="858"/>
      <c r="AK52" s="858"/>
      <c r="AL52" s="859"/>
    </row>
    <row r="53" spans="1:38">
      <c r="B53" s="31" t="s">
        <v>219</v>
      </c>
      <c r="O53" s="866"/>
      <c r="P53" s="867"/>
      <c r="Q53" s="867"/>
      <c r="R53" s="867"/>
      <c r="S53" s="867"/>
      <c r="T53" s="867"/>
      <c r="U53" s="867"/>
      <c r="V53" s="867"/>
      <c r="W53" s="867"/>
      <c r="X53" s="867"/>
      <c r="Y53" s="867"/>
      <c r="Z53" s="868"/>
      <c r="AA53" s="866"/>
      <c r="AB53" s="867"/>
      <c r="AC53" s="867"/>
      <c r="AD53" s="867"/>
      <c r="AE53" s="867"/>
      <c r="AF53" s="867"/>
      <c r="AG53" s="867"/>
      <c r="AH53" s="867"/>
      <c r="AI53" s="867"/>
      <c r="AJ53" s="867"/>
      <c r="AK53" s="867"/>
      <c r="AL53" s="868"/>
    </row>
    <row r="54" spans="1:38">
      <c r="D54" s="31" t="s">
        <v>220</v>
      </c>
      <c r="O54" s="863"/>
      <c r="P54" s="864"/>
      <c r="Q54" s="864"/>
      <c r="R54" s="864"/>
      <c r="S54" s="864"/>
      <c r="T54" s="864"/>
      <c r="U54" s="864"/>
      <c r="V54" s="864"/>
      <c r="W54" s="864"/>
      <c r="X54" s="864"/>
      <c r="Y54" s="864"/>
      <c r="Z54" s="865"/>
      <c r="AA54" s="863"/>
      <c r="AB54" s="864"/>
      <c r="AC54" s="864"/>
      <c r="AD54" s="864"/>
      <c r="AE54" s="864"/>
      <c r="AF54" s="864"/>
      <c r="AG54" s="864"/>
      <c r="AH54" s="864"/>
      <c r="AI54" s="864"/>
      <c r="AJ54" s="864"/>
      <c r="AK54" s="864"/>
      <c r="AL54" s="865"/>
    </row>
    <row r="55" spans="1:38">
      <c r="B55" s="31" t="str">
        <f>+'D emol'!B55</f>
        <v>TOTAL (section 161B)</v>
      </c>
      <c r="O55" s="857" t="s">
        <v>212</v>
      </c>
      <c r="P55" s="858"/>
      <c r="Q55" s="858"/>
      <c r="R55" s="858"/>
      <c r="S55" s="858"/>
      <c r="T55" s="858"/>
      <c r="U55" s="858"/>
      <c r="V55" s="858"/>
      <c r="W55" s="858"/>
      <c r="X55" s="858"/>
      <c r="Y55" s="858"/>
      <c r="Z55" s="859"/>
      <c r="AA55" s="857" t="s">
        <v>212</v>
      </c>
      <c r="AB55" s="858"/>
      <c r="AC55" s="858"/>
      <c r="AD55" s="858"/>
      <c r="AE55" s="858"/>
      <c r="AF55" s="858"/>
      <c r="AG55" s="858"/>
      <c r="AH55" s="858"/>
      <c r="AI55" s="858"/>
      <c r="AJ55" s="858"/>
      <c r="AK55" s="858"/>
      <c r="AL55" s="859"/>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A1:AL1"/>
    <mergeCell ref="A2:AL2"/>
    <mergeCell ref="A3:AL3"/>
    <mergeCell ref="A4:AL4"/>
    <mergeCell ref="A6:AL6"/>
    <mergeCell ref="A7:AL7"/>
    <mergeCell ref="C11:AL11"/>
    <mergeCell ref="C12:AL12"/>
    <mergeCell ref="C13:AL13"/>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X180"/>
  <sheetViews>
    <sheetView topLeftCell="A19" workbookViewId="0">
      <selection activeCell="A89" sqref="A89:XFD144"/>
    </sheetView>
  </sheetViews>
  <sheetFormatPr defaultColWidth="9" defaultRowHeight="15.75"/>
  <cols>
    <col min="1" max="1" width="3" style="1" customWidth="1" collapsed="1"/>
    <col min="2" max="4" width="9" style="1" collapsed="1"/>
    <col min="5" max="5" width="11.875" style="1" customWidth="1" collapsed="1"/>
    <col min="6" max="10" width="9" style="1" collapsed="1"/>
    <col min="11" max="24" width="9" style="594" collapsed="1"/>
    <col min="25" max="16384" width="9" style="1" collapsed="1"/>
  </cols>
  <sheetData>
    <row r="1" spans="1:24" s="155" customFormat="1" ht="23.25">
      <c r="A1" s="153" t="str">
        <f>+Control!D3</f>
        <v>MIC INCORPORATION LIMITED </v>
      </c>
      <c r="B1" s="154"/>
      <c r="K1" s="596"/>
      <c r="L1" s="596"/>
      <c r="M1" s="596"/>
      <c r="N1" s="596"/>
      <c r="O1" s="596"/>
      <c r="P1" s="596"/>
      <c r="Q1" s="596"/>
      <c r="R1" s="596"/>
      <c r="S1" s="596"/>
      <c r="T1" s="596"/>
      <c r="U1" s="596"/>
      <c r="V1" s="596"/>
      <c r="W1" s="596"/>
      <c r="X1" s="596"/>
    </row>
    <row r="4" spans="1:24">
      <c r="A4" s="1" t="str">
        <f>+CONCATENATE(A89,Control!D136)</f>
        <v>Messrs. Matthew S.H. Law</v>
      </c>
    </row>
    <row r="5" spans="1:24">
      <c r="A5" s="1" t="str">
        <f>+Control!D137</f>
        <v>Certified Public Accountant (Practising)</v>
      </c>
    </row>
    <row r="8" spans="1:24">
      <c r="A8" s="1" t="s">
        <v>227</v>
      </c>
    </row>
    <row r="9" spans="1:24" s="46" customFormat="1">
      <c r="A9" s="152" t="str">
        <f>+Control!D3</f>
        <v>MIC INCORPORATION LIMITED </v>
      </c>
      <c r="B9" s="152"/>
      <c r="K9" s="597"/>
      <c r="L9" s="597"/>
      <c r="M9" s="597"/>
      <c r="N9" s="597"/>
      <c r="O9" s="597"/>
      <c r="P9" s="597"/>
      <c r="Q9" s="597"/>
      <c r="R9" s="597"/>
      <c r="S9" s="597"/>
      <c r="T9" s="597"/>
      <c r="U9" s="597"/>
      <c r="V9" s="597"/>
      <c r="W9" s="597"/>
      <c r="X9" s="597"/>
    </row>
    <row r="10" spans="1:24">
      <c r="A10" s="1" t="s">
        <v>228</v>
      </c>
    </row>
    <row r="12" spans="1:24">
      <c r="A12" s="896" t="str">
        <f>+CONCATENATE(A92,A93,A94,Control!E8,LOR!A97,LOR!A95,Control!D6,LOR!A96,A98,A99,A100)</f>
        <v>During the course of your audit of my financial statements for the period ended 31 December, 2016, the following representations are made to you by management and director.</v>
      </c>
      <c r="B12" s="896"/>
      <c r="C12" s="896"/>
      <c r="D12" s="896"/>
      <c r="E12" s="896"/>
      <c r="F12" s="896"/>
      <c r="G12" s="896"/>
      <c r="H12" s="896"/>
      <c r="I12" s="896"/>
      <c r="J12" s="896"/>
    </row>
    <row r="13" spans="1:24">
      <c r="A13" s="896"/>
      <c r="B13" s="896"/>
      <c r="C13" s="896"/>
      <c r="D13" s="896"/>
      <c r="E13" s="896"/>
      <c r="F13" s="896"/>
      <c r="G13" s="896"/>
      <c r="H13" s="896"/>
      <c r="I13" s="896"/>
      <c r="J13" s="896"/>
    </row>
    <row r="15" spans="1:24">
      <c r="A15" s="1">
        <v>1</v>
      </c>
      <c r="B15" s="896" t="str">
        <f>+CONCATENATE(B104,B105,B106,B107,B108,B109)</f>
        <v>I acknowledge as director my responsibility under the Companies Ordinance for preparing financial statements, in accordance with the Small and Medium-sized Entity Financial Reporting Standard (SME-FRS) issued by the Hong Kong Institute of Certified Public Accountants that give a true and fair view and for making accurate representations to you as auditors.</v>
      </c>
      <c r="C15" s="896"/>
      <c r="D15" s="896"/>
      <c r="E15" s="896"/>
      <c r="F15" s="896"/>
      <c r="G15" s="896"/>
      <c r="H15" s="896"/>
      <c r="I15" s="896"/>
      <c r="J15" s="896"/>
      <c r="K15" s="895" t="s">
        <v>1623</v>
      </c>
      <c r="L15" s="895"/>
      <c r="M15" s="895"/>
      <c r="N15" s="895"/>
      <c r="O15" s="895"/>
      <c r="P15" s="895"/>
      <c r="Q15" s="895"/>
      <c r="R15" s="895"/>
      <c r="S15" s="895"/>
    </row>
    <row r="16" spans="1:24">
      <c r="B16" s="896"/>
      <c r="C16" s="896"/>
      <c r="D16" s="896"/>
      <c r="E16" s="896"/>
      <c r="F16" s="896"/>
      <c r="G16" s="896"/>
      <c r="H16" s="896"/>
      <c r="I16" s="896"/>
      <c r="J16" s="896"/>
      <c r="K16" s="895"/>
      <c r="L16" s="895"/>
      <c r="M16" s="895"/>
      <c r="N16" s="895"/>
      <c r="O16" s="895"/>
      <c r="P16" s="895"/>
      <c r="Q16" s="895"/>
      <c r="R16" s="895"/>
      <c r="S16" s="895"/>
    </row>
    <row r="17" spans="1:19">
      <c r="B17" s="896"/>
      <c r="C17" s="896"/>
      <c r="D17" s="896"/>
      <c r="E17" s="896"/>
      <c r="F17" s="896"/>
      <c r="G17" s="896"/>
      <c r="H17" s="896"/>
      <c r="I17" s="896"/>
      <c r="J17" s="896"/>
      <c r="K17" s="895"/>
      <c r="L17" s="895"/>
      <c r="M17" s="895"/>
      <c r="N17" s="895"/>
      <c r="O17" s="895"/>
      <c r="P17" s="895"/>
      <c r="Q17" s="895"/>
      <c r="R17" s="895"/>
      <c r="S17" s="895"/>
    </row>
    <row r="18" spans="1:19" ht="41.45" customHeight="1">
      <c r="B18" s="896"/>
      <c r="C18" s="896"/>
      <c r="D18" s="896"/>
      <c r="E18" s="896"/>
      <c r="F18" s="896"/>
      <c r="G18" s="896"/>
      <c r="H18" s="896"/>
      <c r="I18" s="896"/>
      <c r="J18" s="896"/>
      <c r="K18" s="895"/>
      <c r="L18" s="895"/>
      <c r="M18" s="895"/>
      <c r="N18" s="895"/>
      <c r="O18" s="895"/>
      <c r="P18" s="895"/>
      <c r="Q18" s="895"/>
      <c r="R18" s="895"/>
      <c r="S18" s="895"/>
    </row>
    <row r="20" spans="1:19" ht="16.5" customHeight="1">
      <c r="A20" s="1">
        <v>2</v>
      </c>
      <c r="B20" s="896" t="str">
        <f>+CONCATENATE(B111,B112,B113,B114,B115,B116)</f>
        <v>I confirm that all accounting records have been made available to you for the purposes of your audit, in accordance with your terms of engagement, and that all transactions undertaken by the company have been properly reflected and recorded in the accounting records. All other records and related information, including minutes of all management and shareholder's meetings, have been made available to you. I have given you unrestricted access to persons within the company in order to obtain audit evidence and have provided any additional information that you have requested for the purposes of your audit.</v>
      </c>
      <c r="C20" s="896"/>
      <c r="D20" s="896"/>
      <c r="E20" s="896"/>
      <c r="F20" s="896"/>
      <c r="G20" s="896"/>
      <c r="H20" s="896"/>
      <c r="I20" s="896"/>
      <c r="J20" s="896"/>
      <c r="K20" s="894"/>
      <c r="L20" s="894"/>
      <c r="M20" s="894"/>
      <c r="N20" s="894"/>
      <c r="O20" s="894"/>
      <c r="P20" s="894"/>
      <c r="Q20" s="894"/>
      <c r="R20" s="894"/>
      <c r="S20" s="894"/>
    </row>
    <row r="21" spans="1:19">
      <c r="B21" s="896"/>
      <c r="C21" s="896"/>
      <c r="D21" s="896"/>
      <c r="E21" s="896"/>
      <c r="F21" s="896"/>
      <c r="G21" s="896"/>
      <c r="H21" s="896"/>
      <c r="I21" s="896"/>
      <c r="J21" s="896"/>
      <c r="K21" s="894"/>
      <c r="L21" s="894"/>
      <c r="M21" s="894"/>
      <c r="N21" s="894"/>
      <c r="O21" s="894"/>
      <c r="P21" s="894"/>
      <c r="Q21" s="894"/>
      <c r="R21" s="894"/>
      <c r="S21" s="894"/>
    </row>
    <row r="22" spans="1:19">
      <c r="B22" s="896"/>
      <c r="C22" s="896"/>
      <c r="D22" s="896"/>
      <c r="E22" s="896"/>
      <c r="F22" s="896"/>
      <c r="G22" s="896"/>
      <c r="H22" s="896"/>
      <c r="I22" s="896"/>
      <c r="J22" s="896"/>
      <c r="K22" s="894"/>
      <c r="L22" s="894"/>
      <c r="M22" s="894"/>
      <c r="N22" s="894"/>
      <c r="O22" s="894"/>
      <c r="P22" s="894"/>
      <c r="Q22" s="894"/>
      <c r="R22" s="894"/>
      <c r="S22" s="894"/>
    </row>
    <row r="23" spans="1:19">
      <c r="B23" s="896"/>
      <c r="C23" s="896"/>
      <c r="D23" s="896"/>
      <c r="E23" s="896"/>
      <c r="F23" s="896"/>
      <c r="G23" s="896"/>
      <c r="H23" s="896"/>
      <c r="I23" s="896"/>
      <c r="J23" s="896"/>
      <c r="K23" s="894"/>
      <c r="L23" s="894"/>
      <c r="M23" s="894"/>
      <c r="N23" s="894"/>
      <c r="O23" s="894"/>
      <c r="P23" s="894"/>
      <c r="Q23" s="894"/>
      <c r="R23" s="894"/>
      <c r="S23" s="894"/>
    </row>
    <row r="24" spans="1:19">
      <c r="B24" s="896"/>
      <c r="C24" s="896"/>
      <c r="D24" s="896"/>
      <c r="E24" s="896"/>
      <c r="F24" s="896"/>
      <c r="G24" s="896"/>
      <c r="H24" s="896"/>
      <c r="I24" s="896"/>
      <c r="J24" s="896"/>
      <c r="K24" s="894"/>
      <c r="L24" s="894"/>
      <c r="M24" s="894"/>
      <c r="N24" s="894"/>
      <c r="O24" s="894"/>
      <c r="P24" s="894"/>
      <c r="Q24" s="894"/>
      <c r="R24" s="894"/>
      <c r="S24" s="894"/>
    </row>
    <row r="25" spans="1:19">
      <c r="B25" s="896"/>
      <c r="C25" s="896"/>
      <c r="D25" s="896"/>
      <c r="E25" s="896"/>
      <c r="F25" s="896"/>
      <c r="G25" s="896"/>
      <c r="H25" s="896"/>
      <c r="I25" s="896"/>
      <c r="J25" s="896"/>
      <c r="K25" s="894"/>
      <c r="L25" s="894"/>
      <c r="M25" s="894"/>
      <c r="N25" s="894"/>
      <c r="O25" s="894"/>
      <c r="P25" s="894"/>
      <c r="Q25" s="894"/>
      <c r="R25" s="894"/>
      <c r="S25" s="894"/>
    </row>
    <row r="26" spans="1:19" ht="30.95" customHeight="1">
      <c r="B26" s="896"/>
      <c r="C26" s="896"/>
      <c r="D26" s="896"/>
      <c r="E26" s="896"/>
      <c r="F26" s="896"/>
      <c r="G26" s="896"/>
      <c r="H26" s="896"/>
      <c r="I26" s="896"/>
      <c r="J26" s="896"/>
      <c r="K26" s="894"/>
      <c r="L26" s="894"/>
      <c r="M26" s="894"/>
      <c r="N26" s="894"/>
      <c r="O26" s="894"/>
      <c r="P26" s="894"/>
      <c r="Q26" s="894"/>
      <c r="R26" s="894"/>
      <c r="S26" s="894"/>
    </row>
    <row r="28" spans="1:19">
      <c r="A28" s="1">
        <v>3</v>
      </c>
      <c r="B28" s="896" t="str">
        <f>+CONCATENATE(B118,B119,B120,B121)</f>
        <v>I confirm that significant assumptions used by me in making accounting estimates, including those measured at fair value, are reasonable.</v>
      </c>
      <c r="C28" s="896"/>
      <c r="D28" s="896"/>
      <c r="E28" s="896"/>
      <c r="F28" s="896"/>
      <c r="G28" s="896"/>
      <c r="H28" s="896"/>
      <c r="I28" s="896"/>
      <c r="J28" s="896"/>
      <c r="K28" s="894"/>
      <c r="L28" s="894"/>
      <c r="M28" s="894"/>
      <c r="N28" s="894"/>
      <c r="O28" s="894"/>
      <c r="P28" s="894"/>
      <c r="Q28" s="894"/>
      <c r="R28" s="894"/>
      <c r="S28" s="894"/>
    </row>
    <row r="29" spans="1:19">
      <c r="B29" s="896"/>
      <c r="C29" s="896"/>
      <c r="D29" s="896"/>
      <c r="E29" s="896"/>
      <c r="F29" s="896"/>
      <c r="G29" s="896"/>
      <c r="H29" s="896"/>
      <c r="I29" s="896"/>
      <c r="J29" s="896"/>
      <c r="K29" s="894"/>
      <c r="L29" s="894"/>
      <c r="M29" s="894"/>
      <c r="N29" s="894"/>
      <c r="O29" s="894"/>
      <c r="P29" s="894"/>
      <c r="Q29" s="894"/>
      <c r="R29" s="894"/>
      <c r="S29" s="894"/>
    </row>
    <row r="31" spans="1:19">
      <c r="A31" s="1">
        <v>4</v>
      </c>
      <c r="B31" s="896" t="str">
        <f>+CONCATENATE(B123,B124)</f>
        <v>I confirm that all known actual or possible litigation and claims whose effects should be considered when preparing the financial statements have been disclosed to the auditors and accounted for and disclosed in accordance with SME-FRF &amp; SME-FRS.</v>
      </c>
      <c r="C31" s="896"/>
      <c r="D31" s="896"/>
      <c r="E31" s="896"/>
      <c r="F31" s="896"/>
      <c r="G31" s="896"/>
      <c r="H31" s="896"/>
      <c r="I31" s="896"/>
      <c r="J31" s="896"/>
      <c r="K31" s="894"/>
      <c r="L31" s="894"/>
      <c r="M31" s="894"/>
      <c r="N31" s="894"/>
      <c r="O31" s="894"/>
      <c r="P31" s="894"/>
      <c r="Q31" s="894"/>
      <c r="R31" s="894"/>
      <c r="S31" s="894"/>
    </row>
    <row r="32" spans="1:19">
      <c r="B32" s="896"/>
      <c r="C32" s="896"/>
      <c r="D32" s="896"/>
      <c r="E32" s="896"/>
      <c r="F32" s="896"/>
      <c r="G32" s="896"/>
      <c r="H32" s="896"/>
      <c r="I32" s="896"/>
      <c r="J32" s="896"/>
      <c r="K32" s="894"/>
      <c r="L32" s="894"/>
      <c r="M32" s="894"/>
      <c r="N32" s="894"/>
      <c r="O32" s="894"/>
      <c r="P32" s="894"/>
      <c r="Q32" s="894"/>
      <c r="R32" s="894"/>
      <c r="S32" s="894"/>
    </row>
    <row r="33" spans="1:19">
      <c r="B33" s="896"/>
      <c r="C33" s="896"/>
      <c r="D33" s="896"/>
      <c r="E33" s="896"/>
      <c r="F33" s="896"/>
      <c r="G33" s="896"/>
      <c r="H33" s="896"/>
      <c r="I33" s="896"/>
      <c r="J33" s="896"/>
      <c r="K33" s="894"/>
      <c r="L33" s="894"/>
      <c r="M33" s="894"/>
      <c r="N33" s="894"/>
      <c r="O33" s="894"/>
      <c r="P33" s="894"/>
      <c r="Q33" s="894"/>
      <c r="R33" s="894"/>
      <c r="S33" s="894"/>
    </row>
    <row r="35" spans="1:19">
      <c r="A35" s="1">
        <v>5</v>
      </c>
      <c r="B35" s="896" t="str">
        <f>+CONCATENATE(B126,B127)</f>
        <v>I confirm that there have been no events since the balance sheet date which require disclosing or which would materially affect the amounts in the financial statements, other than those already disclosed or included in the financial statements.</v>
      </c>
      <c r="C35" s="896"/>
      <c r="D35" s="896"/>
      <c r="E35" s="896"/>
      <c r="F35" s="896"/>
      <c r="G35" s="896"/>
      <c r="H35" s="896"/>
      <c r="I35" s="896"/>
      <c r="J35" s="896"/>
      <c r="K35" s="894"/>
      <c r="L35" s="894"/>
      <c r="M35" s="894"/>
      <c r="N35" s="894"/>
      <c r="O35" s="894"/>
      <c r="P35" s="894"/>
      <c r="Q35" s="894"/>
      <c r="R35" s="894"/>
      <c r="S35" s="894"/>
    </row>
    <row r="36" spans="1:19">
      <c r="B36" s="896"/>
      <c r="C36" s="896"/>
      <c r="D36" s="896"/>
      <c r="E36" s="896"/>
      <c r="F36" s="896"/>
      <c r="G36" s="896"/>
      <c r="H36" s="896"/>
      <c r="I36" s="896"/>
      <c r="J36" s="896"/>
      <c r="K36" s="894"/>
      <c r="L36" s="894"/>
      <c r="M36" s="894"/>
      <c r="N36" s="894"/>
      <c r="O36" s="894"/>
      <c r="P36" s="894"/>
      <c r="Q36" s="894"/>
      <c r="R36" s="894"/>
      <c r="S36" s="894"/>
    </row>
    <row r="37" spans="1:19">
      <c r="B37" s="896"/>
      <c r="C37" s="896"/>
      <c r="D37" s="896"/>
      <c r="E37" s="896"/>
      <c r="F37" s="896"/>
      <c r="G37" s="896"/>
      <c r="H37" s="896"/>
      <c r="I37" s="896"/>
      <c r="J37" s="896"/>
      <c r="K37" s="894"/>
      <c r="L37" s="894"/>
      <c r="M37" s="894"/>
      <c r="N37" s="894"/>
      <c r="O37" s="894"/>
      <c r="P37" s="894"/>
      <c r="Q37" s="894"/>
      <c r="R37" s="894"/>
      <c r="S37" s="894"/>
    </row>
    <row r="39" spans="1:19">
      <c r="A39" s="1">
        <v>6</v>
      </c>
      <c r="B39" s="896" t="str">
        <f>+CONCATENATE(B129,B130,B131,B132)</f>
        <v>I confirm that the related party relationships and transactions disclosed are a complete list of such relationships and transactions and that I am not aware of any further related parties or transactions.</v>
      </c>
      <c r="C39" s="896"/>
      <c r="D39" s="896"/>
      <c r="E39" s="896"/>
      <c r="F39" s="896"/>
      <c r="G39" s="896"/>
      <c r="H39" s="896"/>
      <c r="I39" s="896"/>
      <c r="J39" s="896"/>
      <c r="K39" s="894"/>
      <c r="L39" s="894"/>
      <c r="M39" s="894"/>
      <c r="N39" s="894"/>
      <c r="O39" s="894"/>
      <c r="P39" s="894"/>
      <c r="Q39" s="894"/>
      <c r="R39" s="894"/>
      <c r="S39" s="894"/>
    </row>
    <row r="40" spans="1:19" ht="43.5" customHeight="1">
      <c r="B40" s="896"/>
      <c r="C40" s="896"/>
      <c r="D40" s="896"/>
      <c r="E40" s="896"/>
      <c r="F40" s="896"/>
      <c r="G40" s="896"/>
      <c r="H40" s="896"/>
      <c r="I40" s="896"/>
      <c r="J40" s="896"/>
      <c r="K40" s="894"/>
      <c r="L40" s="894"/>
      <c r="M40" s="894"/>
      <c r="N40" s="894"/>
      <c r="O40" s="894"/>
      <c r="P40" s="894"/>
      <c r="Q40" s="894"/>
      <c r="R40" s="894"/>
      <c r="S40" s="894"/>
    </row>
    <row r="42" spans="1:19">
      <c r="A42" s="1">
        <v>7</v>
      </c>
      <c r="B42" s="896" t="str">
        <f>+CONCATENATE(B134,B135,B136,B137)</f>
        <v>I confirm that all related party relationships and transactions have been accounted for and disclosed in accordance with the Small and Medium-sized Entity Financial Reporting Standard (SME-FRS). I understand that 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v>
      </c>
      <c r="C42" s="896"/>
      <c r="D42" s="896"/>
      <c r="E42" s="896"/>
      <c r="F42" s="896"/>
      <c r="G42" s="896"/>
      <c r="H42" s="896"/>
      <c r="I42" s="896"/>
      <c r="J42" s="896"/>
      <c r="K42" s="894"/>
      <c r="L42" s="894"/>
      <c r="M42" s="894"/>
      <c r="N42" s="894"/>
      <c r="O42" s="894"/>
      <c r="P42" s="894"/>
      <c r="Q42" s="894"/>
      <c r="R42" s="894"/>
      <c r="S42" s="894"/>
    </row>
    <row r="43" spans="1:19">
      <c r="B43" s="896"/>
      <c r="C43" s="896"/>
      <c r="D43" s="896"/>
      <c r="E43" s="896"/>
      <c r="F43" s="896"/>
      <c r="G43" s="896"/>
      <c r="H43" s="896"/>
      <c r="I43" s="896"/>
      <c r="J43" s="896"/>
      <c r="K43" s="894"/>
      <c r="L43" s="894"/>
      <c r="M43" s="894"/>
      <c r="N43" s="894"/>
      <c r="O43" s="894"/>
      <c r="P43" s="894"/>
      <c r="Q43" s="894"/>
      <c r="R43" s="894"/>
      <c r="S43" s="894"/>
    </row>
    <row r="44" spans="1:19">
      <c r="B44" s="896"/>
      <c r="C44" s="896"/>
      <c r="D44" s="896"/>
      <c r="E44" s="896"/>
      <c r="F44" s="896"/>
      <c r="G44" s="896"/>
      <c r="H44" s="896"/>
      <c r="I44" s="896"/>
      <c r="J44" s="896"/>
      <c r="K44" s="894"/>
      <c r="L44" s="894"/>
      <c r="M44" s="894"/>
      <c r="N44" s="894"/>
      <c r="O44" s="894"/>
      <c r="P44" s="894"/>
      <c r="Q44" s="894"/>
      <c r="R44" s="894"/>
      <c r="S44" s="894"/>
    </row>
    <row r="45" spans="1:19">
      <c r="B45" s="896"/>
      <c r="C45" s="896"/>
      <c r="D45" s="896"/>
      <c r="E45" s="896"/>
      <c r="F45" s="896"/>
      <c r="G45" s="896"/>
      <c r="H45" s="896"/>
      <c r="I45" s="896"/>
      <c r="J45" s="896"/>
      <c r="K45" s="894"/>
      <c r="L45" s="894"/>
      <c r="M45" s="894"/>
      <c r="N45" s="894"/>
      <c r="O45" s="894"/>
      <c r="P45" s="894"/>
      <c r="Q45" s="894"/>
      <c r="R45" s="894"/>
      <c r="S45" s="894"/>
    </row>
    <row r="46" spans="1:19">
      <c r="B46" s="896"/>
      <c r="C46" s="896"/>
      <c r="D46" s="896"/>
      <c r="E46" s="896"/>
      <c r="F46" s="896"/>
      <c r="G46" s="896"/>
      <c r="H46" s="896"/>
      <c r="I46" s="896"/>
      <c r="J46" s="896"/>
      <c r="K46" s="894"/>
      <c r="L46" s="894"/>
      <c r="M46" s="894"/>
      <c r="N46" s="894"/>
      <c r="O46" s="894"/>
      <c r="P46" s="894"/>
      <c r="Q46" s="894"/>
      <c r="R46" s="894"/>
      <c r="S46" s="894"/>
    </row>
    <row r="47" spans="1:19" ht="47.45" customHeight="1">
      <c r="B47" s="896"/>
      <c r="C47" s="896"/>
      <c r="D47" s="896"/>
      <c r="E47" s="896"/>
      <c r="F47" s="896"/>
      <c r="G47" s="896"/>
      <c r="H47" s="896"/>
      <c r="I47" s="896"/>
      <c r="J47" s="896"/>
      <c r="K47" s="894"/>
      <c r="L47" s="894"/>
      <c r="M47" s="894"/>
      <c r="N47" s="894"/>
      <c r="O47" s="894"/>
      <c r="P47" s="894"/>
      <c r="Q47" s="894"/>
      <c r="R47" s="894"/>
      <c r="S47" s="894"/>
    </row>
    <row r="49" spans="1:19">
      <c r="A49" s="1">
        <v>8</v>
      </c>
      <c r="B49" s="896" t="str">
        <f>+CONCATENATE(B139,B140,B141,B142,B143,B144)</f>
        <v>I confirm that the company has had, at no time during the period , any arrangement, transaction or agreement to provide credit facilities (including loans, quasi-loans or credit transactions) for Director , nor to guarantee nor provide security for such matters, except as already disclosed in the financial statements.</v>
      </c>
      <c r="C49" s="896"/>
      <c r="D49" s="896"/>
      <c r="E49" s="896"/>
      <c r="F49" s="896"/>
      <c r="G49" s="896"/>
      <c r="H49" s="896"/>
      <c r="I49" s="896"/>
      <c r="J49" s="896"/>
      <c r="K49" s="894"/>
      <c r="L49" s="894"/>
      <c r="M49" s="894"/>
      <c r="N49" s="894"/>
      <c r="O49" s="894"/>
      <c r="P49" s="894"/>
      <c r="Q49" s="894"/>
      <c r="R49" s="894"/>
      <c r="S49" s="894"/>
    </row>
    <row r="50" spans="1:19">
      <c r="B50" s="896"/>
      <c r="C50" s="896"/>
      <c r="D50" s="896"/>
      <c r="E50" s="896"/>
      <c r="F50" s="896"/>
      <c r="G50" s="896"/>
      <c r="H50" s="896"/>
      <c r="I50" s="896"/>
      <c r="J50" s="896"/>
      <c r="K50" s="894"/>
      <c r="L50" s="894"/>
      <c r="M50" s="894"/>
      <c r="N50" s="894"/>
      <c r="O50" s="894"/>
      <c r="P50" s="894"/>
      <c r="Q50" s="894"/>
      <c r="R50" s="894"/>
      <c r="S50" s="894"/>
    </row>
    <row r="51" spans="1:19">
      <c r="B51" s="896"/>
      <c r="C51" s="896"/>
      <c r="D51" s="896"/>
      <c r="E51" s="896"/>
      <c r="F51" s="896"/>
      <c r="G51" s="896"/>
      <c r="H51" s="896"/>
      <c r="I51" s="896"/>
      <c r="J51" s="896"/>
      <c r="K51" s="894"/>
      <c r="L51" s="894"/>
      <c r="M51" s="894"/>
      <c r="N51" s="894"/>
      <c r="O51" s="894"/>
      <c r="P51" s="894"/>
      <c r="Q51" s="894"/>
      <c r="R51" s="894"/>
      <c r="S51" s="894"/>
    </row>
    <row r="52" spans="1:19">
      <c r="B52" s="896"/>
      <c r="C52" s="896"/>
      <c r="D52" s="896"/>
      <c r="E52" s="896"/>
      <c r="F52" s="896"/>
      <c r="G52" s="896"/>
      <c r="H52" s="896"/>
      <c r="I52" s="896"/>
      <c r="J52" s="896"/>
      <c r="K52" s="894"/>
      <c r="L52" s="894"/>
      <c r="M52" s="894"/>
      <c r="N52" s="894"/>
      <c r="O52" s="894"/>
      <c r="P52" s="894"/>
      <c r="Q52" s="894"/>
      <c r="R52" s="894"/>
      <c r="S52" s="894"/>
    </row>
    <row r="53" spans="1:19">
      <c r="B53" s="896"/>
      <c r="C53" s="896"/>
      <c r="D53" s="896"/>
      <c r="E53" s="896"/>
      <c r="F53" s="896"/>
      <c r="G53" s="896"/>
      <c r="H53" s="896"/>
      <c r="I53" s="896"/>
      <c r="J53" s="896"/>
      <c r="K53" s="894"/>
      <c r="L53" s="894"/>
      <c r="M53" s="894"/>
      <c r="N53" s="894"/>
      <c r="O53" s="894"/>
      <c r="P53" s="894"/>
      <c r="Q53" s="894"/>
      <c r="R53" s="894"/>
      <c r="S53" s="894"/>
    </row>
    <row r="54" spans="1:19">
      <c r="A54" s="1">
        <v>9</v>
      </c>
      <c r="B54" s="896" t="str">
        <f>+CONCATENATE(B146,B147)</f>
        <v>I confirm that the company has not contracted for any capital expenditure other than as disclosed in the financial statements.</v>
      </c>
      <c r="C54" s="896"/>
      <c r="D54" s="896"/>
      <c r="E54" s="896"/>
      <c r="F54" s="896"/>
      <c r="G54" s="896"/>
      <c r="H54" s="896"/>
      <c r="I54" s="896"/>
      <c r="J54" s="896"/>
      <c r="K54" s="894"/>
      <c r="L54" s="894"/>
      <c r="M54" s="894"/>
      <c r="N54" s="894"/>
      <c r="O54" s="894"/>
      <c r="P54" s="894"/>
      <c r="Q54" s="894"/>
      <c r="R54" s="894"/>
      <c r="S54" s="894"/>
    </row>
    <row r="55" spans="1:19">
      <c r="B55" s="896"/>
      <c r="C55" s="896"/>
      <c r="D55" s="896"/>
      <c r="E55" s="896"/>
      <c r="F55" s="896"/>
      <c r="G55" s="896"/>
      <c r="H55" s="896"/>
      <c r="I55" s="896"/>
      <c r="J55" s="896"/>
      <c r="K55" s="894"/>
      <c r="L55" s="894"/>
      <c r="M55" s="894"/>
      <c r="N55" s="894"/>
      <c r="O55" s="894"/>
      <c r="P55" s="894"/>
      <c r="Q55" s="894"/>
      <c r="R55" s="894"/>
      <c r="S55" s="894"/>
    </row>
    <row r="57" spans="1:19">
      <c r="A57" s="1">
        <v>10</v>
      </c>
      <c r="B57" s="896" t="str">
        <f>+CONCATENATE(B149,B150,B151,B152)</f>
        <v>I confirm that I am not aware of any possible or actual instance of non-compliance with those laws and regulations which provide a legal framework within which the company conducts its business and which are central to the company's ability to conduct its business and as disclosed in the financial statements.</v>
      </c>
      <c r="C57" s="896"/>
      <c r="D57" s="896"/>
      <c r="E57" s="896"/>
      <c r="F57" s="896"/>
      <c r="G57" s="896"/>
      <c r="H57" s="896"/>
      <c r="I57" s="896"/>
      <c r="J57" s="896"/>
      <c r="K57" s="894"/>
      <c r="L57" s="894"/>
      <c r="M57" s="894"/>
      <c r="N57" s="894"/>
      <c r="O57" s="894"/>
      <c r="P57" s="894"/>
      <c r="Q57" s="894"/>
      <c r="R57" s="894"/>
      <c r="S57" s="894"/>
    </row>
    <row r="58" spans="1:19">
      <c r="B58" s="896"/>
      <c r="C58" s="896"/>
      <c r="D58" s="896"/>
      <c r="E58" s="896"/>
      <c r="F58" s="896"/>
      <c r="G58" s="896"/>
      <c r="H58" s="896"/>
      <c r="I58" s="896"/>
      <c r="J58" s="896"/>
      <c r="K58" s="894"/>
      <c r="L58" s="894"/>
      <c r="M58" s="894"/>
      <c r="N58" s="894"/>
      <c r="O58" s="894"/>
      <c r="P58" s="894"/>
      <c r="Q58" s="894"/>
      <c r="R58" s="894"/>
      <c r="S58" s="894"/>
    </row>
    <row r="59" spans="1:19">
      <c r="B59" s="896"/>
      <c r="C59" s="896"/>
      <c r="D59" s="896"/>
      <c r="E59" s="896"/>
      <c r="F59" s="896"/>
      <c r="G59" s="896"/>
      <c r="H59" s="896"/>
      <c r="I59" s="896"/>
      <c r="J59" s="896"/>
      <c r="K59" s="894"/>
      <c r="L59" s="894"/>
      <c r="M59" s="894"/>
      <c r="N59" s="894"/>
      <c r="O59" s="894"/>
      <c r="P59" s="894"/>
      <c r="Q59" s="894"/>
      <c r="R59" s="894"/>
      <c r="S59" s="894"/>
    </row>
    <row r="60" spans="1:19" ht="26.1" customHeight="1">
      <c r="B60" s="896"/>
      <c r="C60" s="896"/>
      <c r="D60" s="896"/>
      <c r="E60" s="896"/>
      <c r="F60" s="896"/>
      <c r="G60" s="896"/>
      <c r="H60" s="896"/>
      <c r="I60" s="896"/>
      <c r="J60" s="896"/>
      <c r="K60" s="894"/>
      <c r="L60" s="894"/>
      <c r="M60" s="894"/>
      <c r="N60" s="894"/>
      <c r="O60" s="894"/>
      <c r="P60" s="894"/>
      <c r="Q60" s="894"/>
      <c r="R60" s="894"/>
      <c r="S60" s="894"/>
    </row>
    <row r="62" spans="1:19">
      <c r="A62" s="1">
        <v>11</v>
      </c>
      <c r="B62" s="896" t="str">
        <f>+CONCATENATE(B154,B155,B156,B157,B158,B159,B160,B161,B162,B163)</f>
        <v>I acknowledge my responsibility for the design and implementation of controls to prevent and detect fraud. I confirm that I have disclosed to you the results of my risk assessment of the risk of fraud in the business.</v>
      </c>
      <c r="C62" s="896"/>
      <c r="D62" s="896"/>
      <c r="E62" s="896"/>
      <c r="F62" s="896"/>
      <c r="G62" s="896"/>
      <c r="H62" s="896"/>
      <c r="I62" s="896"/>
      <c r="J62" s="896"/>
      <c r="K62" s="894"/>
      <c r="L62" s="894"/>
      <c r="M62" s="894"/>
      <c r="N62" s="894"/>
      <c r="O62" s="894"/>
      <c r="P62" s="894"/>
      <c r="Q62" s="894"/>
      <c r="R62" s="894"/>
      <c r="S62" s="894"/>
    </row>
    <row r="63" spans="1:19">
      <c r="B63" s="896"/>
      <c r="C63" s="896"/>
      <c r="D63" s="896"/>
      <c r="E63" s="896"/>
      <c r="F63" s="896"/>
      <c r="G63" s="896"/>
      <c r="H63" s="896"/>
      <c r="I63" s="896"/>
      <c r="J63" s="896"/>
      <c r="K63" s="894"/>
      <c r="L63" s="894"/>
      <c r="M63" s="894"/>
      <c r="N63" s="894"/>
      <c r="O63" s="894"/>
      <c r="P63" s="894"/>
      <c r="Q63" s="894"/>
      <c r="R63" s="894"/>
      <c r="S63" s="894"/>
    </row>
    <row r="64" spans="1:19">
      <c r="B64" s="896"/>
      <c r="C64" s="896"/>
      <c r="D64" s="896"/>
      <c r="E64" s="896"/>
      <c r="F64" s="896"/>
      <c r="G64" s="896"/>
      <c r="H64" s="896"/>
      <c r="I64" s="896"/>
      <c r="J64" s="896"/>
      <c r="K64" s="894"/>
      <c r="L64" s="894"/>
      <c r="M64" s="894"/>
      <c r="N64" s="894"/>
      <c r="O64" s="894"/>
      <c r="P64" s="894"/>
      <c r="Q64" s="894"/>
      <c r="R64" s="894"/>
      <c r="S64" s="894"/>
    </row>
    <row r="66" spans="1:19">
      <c r="A66" s="1">
        <v>12</v>
      </c>
      <c r="B66" s="896" t="str">
        <f>+CONCATENATE(B165,B166,B167,B168,B169,B170)</f>
        <v>I confirm that there have been no actual or suspected instances of fraud involving management or employees who have a significant role in internal control of that could have a material effect on the financial statements. I also confirm that I am not aware of any allegations of fraud by former employees, regulators or others.</v>
      </c>
      <c r="C66" s="896"/>
      <c r="D66" s="896"/>
      <c r="E66" s="896"/>
      <c r="F66" s="896"/>
      <c r="G66" s="896"/>
      <c r="H66" s="896"/>
      <c r="I66" s="896"/>
      <c r="J66" s="896"/>
      <c r="K66" s="894"/>
      <c r="L66" s="894"/>
      <c r="M66" s="894"/>
      <c r="N66" s="894"/>
      <c r="O66" s="894"/>
      <c r="P66" s="894"/>
      <c r="Q66" s="894"/>
      <c r="R66" s="894"/>
      <c r="S66" s="894"/>
    </row>
    <row r="67" spans="1:19">
      <c r="B67" s="896"/>
      <c r="C67" s="896"/>
      <c r="D67" s="896"/>
      <c r="E67" s="896"/>
      <c r="F67" s="896"/>
      <c r="G67" s="896"/>
      <c r="H67" s="896"/>
      <c r="I67" s="896"/>
      <c r="J67" s="896"/>
      <c r="K67" s="894"/>
      <c r="L67" s="894"/>
      <c r="M67" s="894"/>
      <c r="N67" s="894"/>
      <c r="O67" s="894"/>
      <c r="P67" s="894"/>
      <c r="Q67" s="894"/>
      <c r="R67" s="894"/>
      <c r="S67" s="894"/>
    </row>
    <row r="68" spans="1:19">
      <c r="B68" s="896"/>
      <c r="C68" s="896"/>
      <c r="D68" s="896"/>
      <c r="E68" s="896"/>
      <c r="F68" s="896"/>
      <c r="G68" s="896"/>
      <c r="H68" s="896"/>
      <c r="I68" s="896"/>
      <c r="J68" s="896"/>
      <c r="K68" s="894"/>
      <c r="L68" s="894"/>
      <c r="M68" s="894"/>
      <c r="N68" s="894"/>
      <c r="O68" s="894"/>
      <c r="P68" s="894"/>
      <c r="Q68" s="894"/>
      <c r="R68" s="894"/>
      <c r="S68" s="894"/>
    </row>
    <row r="69" spans="1:19" ht="26.1" customHeight="1">
      <c r="B69" s="896"/>
      <c r="C69" s="896"/>
      <c r="D69" s="896"/>
      <c r="E69" s="896"/>
      <c r="F69" s="896"/>
      <c r="G69" s="896"/>
      <c r="H69" s="896"/>
      <c r="I69" s="896"/>
      <c r="J69" s="896"/>
      <c r="K69" s="894"/>
      <c r="L69" s="894"/>
      <c r="M69" s="894"/>
      <c r="N69" s="894"/>
      <c r="O69" s="894"/>
      <c r="P69" s="894"/>
      <c r="Q69" s="894"/>
      <c r="R69" s="894"/>
      <c r="S69" s="894"/>
    </row>
    <row r="71" spans="1:19">
      <c r="A71" s="1">
        <v>13</v>
      </c>
      <c r="B71" s="896" t="str">
        <f>+CONCATENATE(B172,B173,B174,B175,B176,B177)</f>
        <v>I confirm that, in our opinion, the company is a going concern as the shareholder confirmed his intention to provide continuing support to the Company.</v>
      </c>
      <c r="C71" s="896"/>
      <c r="D71" s="896"/>
      <c r="E71" s="896"/>
      <c r="F71" s="896"/>
      <c r="G71" s="896"/>
      <c r="H71" s="896"/>
      <c r="I71" s="896"/>
      <c r="J71" s="896"/>
      <c r="K71" s="894"/>
      <c r="L71" s="894"/>
      <c r="M71" s="894"/>
      <c r="N71" s="894"/>
      <c r="O71" s="894"/>
      <c r="P71" s="894"/>
      <c r="Q71" s="894"/>
      <c r="R71" s="894"/>
      <c r="S71" s="894"/>
    </row>
    <row r="72" spans="1:19" ht="24.95" customHeight="1">
      <c r="B72" s="896"/>
      <c r="C72" s="896"/>
      <c r="D72" s="896"/>
      <c r="E72" s="896"/>
      <c r="F72" s="896"/>
      <c r="G72" s="896"/>
      <c r="H72" s="896"/>
      <c r="I72" s="896"/>
      <c r="J72" s="896"/>
      <c r="K72" s="894"/>
      <c r="L72" s="894"/>
      <c r="M72" s="894"/>
      <c r="N72" s="894"/>
      <c r="O72" s="894"/>
      <c r="P72" s="894"/>
      <c r="Q72" s="894"/>
      <c r="R72" s="894"/>
      <c r="S72" s="894"/>
    </row>
    <row r="73" spans="1:19">
      <c r="K73" s="594" t="s">
        <v>172</v>
      </c>
    </row>
    <row r="74" spans="1:19">
      <c r="A74" s="1">
        <v>14</v>
      </c>
      <c r="B74" s="1" t="str">
        <f>+CONCATENATE(B179,B180)</f>
        <v>I confirm that there is no unadjusted misstatement revealed in this audit.</v>
      </c>
      <c r="K74" s="594">
        <v>15</v>
      </c>
      <c r="L74" s="594" t="s">
        <v>229</v>
      </c>
    </row>
    <row r="75" spans="1:19">
      <c r="K75" s="594">
        <v>16</v>
      </c>
      <c r="L75" s="594" t="s">
        <v>1097</v>
      </c>
    </row>
    <row r="79" spans="1:19">
      <c r="A79" s="1" t="s">
        <v>230</v>
      </c>
    </row>
    <row r="81" spans="1:6">
      <c r="A81" s="1" t="s">
        <v>231</v>
      </c>
      <c r="F81" s="1" t="str">
        <f>+IF(Control!D78&gt;1,"Signature:"," ")</f>
        <v xml:space="preserve"> </v>
      </c>
    </row>
    <row r="85" spans="1:6">
      <c r="A85" s="1" t="s">
        <v>232</v>
      </c>
      <c r="F85" s="1" t="str">
        <f>+IF(Control!D78&gt;1,"Title: Director"," ")</f>
        <v xml:space="preserve"> </v>
      </c>
    </row>
    <row r="86" spans="1:6">
      <c r="A86" s="1" t="s">
        <v>222</v>
      </c>
      <c r="F86" s="1" t="str">
        <f>+IF(Control!D78&gt;1,"Date:"," ")</f>
        <v xml:space="preserve"> </v>
      </c>
    </row>
    <row r="89" spans="1:6" s="593" customFormat="1">
      <c r="A89" s="593" t="s">
        <v>233</v>
      </c>
    </row>
    <row r="90" spans="1:6" s="594" customFormat="1"/>
    <row r="91" spans="1:6" s="594" customFormat="1"/>
    <row r="92" spans="1:6" s="593" customFormat="1">
      <c r="A92" s="593" t="s">
        <v>234</v>
      </c>
    </row>
    <row r="93" spans="1:6" s="593" customFormat="1">
      <c r="A93" s="593" t="str">
        <f>IF(Control!D78=1,"my ","our ")</f>
        <v xml:space="preserve">my </v>
      </c>
    </row>
    <row r="94" spans="1:6" s="593" customFormat="1">
      <c r="A94" s="593" t="s">
        <v>235</v>
      </c>
    </row>
    <row r="95" spans="1:6" s="593" customFormat="1">
      <c r="A95" s="593" t="s">
        <v>236</v>
      </c>
    </row>
    <row r="96" spans="1:6" s="593" customFormat="1">
      <c r="A96" s="593" t="s">
        <v>237</v>
      </c>
    </row>
    <row r="97" spans="1:2" s="593" customFormat="1">
      <c r="A97" s="593" t="s">
        <v>172</v>
      </c>
    </row>
    <row r="98" spans="1:2" s="593" customFormat="1">
      <c r="A98" s="593" t="s">
        <v>238</v>
      </c>
    </row>
    <row r="99" spans="1:2" s="593" customFormat="1">
      <c r="A99" s="593" t="str">
        <f>IF(Control!D78=1,"director","directors")</f>
        <v>director</v>
      </c>
    </row>
    <row r="100" spans="1:2" s="593" customFormat="1">
      <c r="A100" s="593" t="s">
        <v>239</v>
      </c>
    </row>
    <row r="101" spans="1:2" s="594" customFormat="1"/>
    <row r="102" spans="1:2" s="594" customFormat="1"/>
    <row r="103" spans="1:2" s="594" customFormat="1"/>
    <row r="104" spans="1:2" s="593" customFormat="1">
      <c r="A104" s="593">
        <v>1</v>
      </c>
      <c r="B104" s="593" t="str">
        <f>IF(Control!D78=1,"I ","We ")</f>
        <v xml:space="preserve">I </v>
      </c>
    </row>
    <row r="105" spans="1:2" s="593" customFormat="1">
      <c r="B105" s="593" t="s">
        <v>240</v>
      </c>
    </row>
    <row r="106" spans="1:2" s="593" customFormat="1">
      <c r="B106" s="593" t="str">
        <f>IF(Control!D78=1,"director ","directors ")</f>
        <v xml:space="preserve">director </v>
      </c>
    </row>
    <row r="107" spans="1:2" s="593" customFormat="1">
      <c r="B107" s="593" t="str">
        <f>IF(Control!D78=1,"my ","our ")</f>
        <v xml:space="preserve">my </v>
      </c>
    </row>
    <row r="108" spans="1:2" s="593" customFormat="1">
      <c r="B108" s="593" t="str">
        <f>IF(Control!D78=1,"responsibility ","responsibilities ")</f>
        <v xml:space="preserve">responsibility </v>
      </c>
    </row>
    <row r="109" spans="1:2" s="593" customFormat="1">
      <c r="B109" s="593" t="s">
        <v>241</v>
      </c>
    </row>
    <row r="110" spans="1:2" s="594" customFormat="1"/>
    <row r="111" spans="1:2" s="593" customFormat="1">
      <c r="A111" s="593">
        <v>2</v>
      </c>
      <c r="B111" s="593" t="str">
        <f>IF(Control!D78=1,"I ","We ")</f>
        <v xml:space="preserve">I </v>
      </c>
    </row>
    <row r="112" spans="1:2" s="593" customFormat="1">
      <c r="B112" s="593" t="s">
        <v>242</v>
      </c>
    </row>
    <row r="113" spans="1:2" s="593" customFormat="1">
      <c r="B113" s="593" t="str">
        <f>IF(Control!D95=1,"shareholder's ","shareholders' ")</f>
        <v xml:space="preserve">shareholder's </v>
      </c>
    </row>
    <row r="114" spans="1:2" s="593" customFormat="1">
      <c r="B114" s="593" t="s">
        <v>243</v>
      </c>
    </row>
    <row r="115" spans="1:2" s="593" customFormat="1">
      <c r="B115" s="593" t="str">
        <f>IF(Control!D78=1,"I ","We ")</f>
        <v xml:space="preserve">I </v>
      </c>
    </row>
    <row r="116" spans="1:2" s="593" customFormat="1">
      <c r="B116" s="593" t="s">
        <v>244</v>
      </c>
    </row>
    <row r="117" spans="1:2" s="594" customFormat="1"/>
    <row r="118" spans="1:2" s="593" customFormat="1">
      <c r="A118" s="593">
        <v>3</v>
      </c>
      <c r="B118" s="593" t="str">
        <f>IF(Control!D78=1,"I ","We ")</f>
        <v xml:space="preserve">I </v>
      </c>
    </row>
    <row r="119" spans="1:2" s="593" customFormat="1">
      <c r="B119" s="593" t="s">
        <v>245</v>
      </c>
    </row>
    <row r="120" spans="1:2" s="593" customFormat="1">
      <c r="B120" s="593" t="str">
        <f>IF(Control!D78=1,"me ","us ")</f>
        <v xml:space="preserve">me </v>
      </c>
    </row>
    <row r="121" spans="1:2" s="593" customFormat="1">
      <c r="B121" s="593" t="s">
        <v>246</v>
      </c>
    </row>
    <row r="122" spans="1:2" s="594" customFormat="1"/>
    <row r="123" spans="1:2" s="593" customFormat="1">
      <c r="A123" s="593">
        <v>4</v>
      </c>
      <c r="B123" s="593" t="str">
        <f>IF(Control!D78=1,"I ","We ")</f>
        <v xml:space="preserve">I </v>
      </c>
    </row>
    <row r="124" spans="1:2" s="593" customFormat="1">
      <c r="B124" s="593" t="s">
        <v>247</v>
      </c>
    </row>
    <row r="125" spans="1:2" s="594" customFormat="1"/>
    <row r="126" spans="1:2" s="593" customFormat="1">
      <c r="A126" s="593">
        <v>5</v>
      </c>
      <c r="B126" s="593" t="str">
        <f>IF(Control!D78=1,"I ","We ")</f>
        <v xml:space="preserve">I </v>
      </c>
    </row>
    <row r="127" spans="1:2" s="593" customFormat="1">
      <c r="B127" s="593" t="s">
        <v>248</v>
      </c>
    </row>
    <row r="128" spans="1:2" s="594" customFormat="1"/>
    <row r="129" spans="1:2" s="593" customFormat="1">
      <c r="A129" s="593">
        <v>6</v>
      </c>
      <c r="B129" s="593" t="str">
        <f>IF(Control!D78=1,"I ","We ")</f>
        <v xml:space="preserve">I </v>
      </c>
    </row>
    <row r="130" spans="1:2" s="593" customFormat="1">
      <c r="B130" s="593" t="s">
        <v>249</v>
      </c>
    </row>
    <row r="131" spans="1:2" s="593" customFormat="1">
      <c r="B131" s="593" t="str">
        <f>IF(Control!D78=1,"I am ","we are ")</f>
        <v xml:space="preserve">I am </v>
      </c>
    </row>
    <row r="132" spans="1:2" s="593" customFormat="1">
      <c r="B132" s="593" t="s">
        <v>250</v>
      </c>
    </row>
    <row r="133" spans="1:2" s="594" customFormat="1"/>
    <row r="134" spans="1:2" s="593" customFormat="1">
      <c r="A134" s="593">
        <v>7</v>
      </c>
      <c r="B134" s="593" t="str">
        <f>IF(Control!D78=1,"I ","We ")</f>
        <v xml:space="preserve">I </v>
      </c>
    </row>
    <row r="135" spans="1:2" s="593" customFormat="1">
      <c r="B135" s="593" t="s">
        <v>251</v>
      </c>
    </row>
    <row r="136" spans="1:2" s="593" customFormat="1">
      <c r="B136" s="593" t="str">
        <f>IF(Control!D78=1,"I ","We ")</f>
        <v xml:space="preserve">I </v>
      </c>
    </row>
    <row r="137" spans="1:2" s="593" customFormat="1">
      <c r="B137" s="593" t="s">
        <v>252</v>
      </c>
    </row>
    <row r="138" spans="1:2" s="594" customFormat="1"/>
    <row r="139" spans="1:2" s="593" customFormat="1">
      <c r="A139" s="593">
        <v>8</v>
      </c>
      <c r="B139" s="593" t="str">
        <f>IF(Control!D78=1,"I ","We ")</f>
        <v xml:space="preserve">I </v>
      </c>
    </row>
    <row r="140" spans="1:2" s="593" customFormat="1">
      <c r="B140" s="593" t="s">
        <v>253</v>
      </c>
    </row>
    <row r="141" spans="1:2" s="593" customFormat="1">
      <c r="B141" s="593" t="str">
        <f>+Control!E8</f>
        <v>period</v>
      </c>
    </row>
    <row r="142" spans="1:2" s="593" customFormat="1">
      <c r="B142" s="593" t="s">
        <v>254</v>
      </c>
    </row>
    <row r="143" spans="1:2" s="593" customFormat="1">
      <c r="B143" s="593" t="str">
        <f>IF(Control!D78=1,"Director ","Directors ")</f>
        <v xml:space="preserve">Director </v>
      </c>
    </row>
    <row r="144" spans="1:2" s="593" customFormat="1">
      <c r="B144" s="593" t="s">
        <v>255</v>
      </c>
    </row>
    <row r="145" spans="1:24" s="595" customFormat="1">
      <c r="K145" s="594"/>
      <c r="L145" s="594"/>
      <c r="M145" s="594"/>
      <c r="N145" s="594"/>
      <c r="O145" s="594"/>
      <c r="P145" s="594"/>
      <c r="Q145" s="594"/>
      <c r="R145" s="594"/>
      <c r="S145" s="594"/>
      <c r="T145" s="594"/>
      <c r="U145" s="594"/>
      <c r="V145" s="594"/>
      <c r="W145" s="594"/>
      <c r="X145" s="594"/>
    </row>
    <row r="146" spans="1:24" s="594" customFormat="1">
      <c r="A146" s="594">
        <v>9</v>
      </c>
      <c r="B146" s="594" t="str">
        <f>IF(Control!D78=1,"I ","We ")</f>
        <v xml:space="preserve">I </v>
      </c>
    </row>
    <row r="147" spans="1:24" s="594" customFormat="1">
      <c r="B147" s="594" t="s">
        <v>256</v>
      </c>
    </row>
    <row r="148" spans="1:24" s="594" customFormat="1"/>
    <row r="149" spans="1:24" s="594" customFormat="1">
      <c r="A149" s="594">
        <v>10</v>
      </c>
      <c r="B149" s="594" t="str">
        <f>IF(Control!D78=1,"I ","We ")</f>
        <v xml:space="preserve">I </v>
      </c>
    </row>
    <row r="150" spans="1:24" s="594" customFormat="1">
      <c r="B150" s="594" t="s">
        <v>257</v>
      </c>
    </row>
    <row r="151" spans="1:24" s="594" customFormat="1">
      <c r="B151" s="594" t="str">
        <f>IF(Control!D78=1,"I am ","we are ")</f>
        <v xml:space="preserve">I am </v>
      </c>
    </row>
    <row r="152" spans="1:24" s="594" customFormat="1">
      <c r="B152" s="594" t="s">
        <v>258</v>
      </c>
    </row>
    <row r="153" spans="1:24" s="594" customFormat="1"/>
    <row r="154" spans="1:24" s="594" customFormat="1">
      <c r="A154" s="594">
        <v>11</v>
      </c>
      <c r="B154" s="594" t="str">
        <f>IF(Control!D78=1,"I ","We ")</f>
        <v xml:space="preserve">I </v>
      </c>
    </row>
    <row r="155" spans="1:24" s="594" customFormat="1">
      <c r="B155" s="594" t="s">
        <v>259</v>
      </c>
    </row>
    <row r="156" spans="1:24" s="594" customFormat="1">
      <c r="B156" s="594" t="str">
        <f>IF(Control!D78=1,"my ","our ")</f>
        <v xml:space="preserve">my </v>
      </c>
    </row>
    <row r="157" spans="1:24" s="594" customFormat="1">
      <c r="B157" s="594" t="s">
        <v>260</v>
      </c>
    </row>
    <row r="158" spans="1:24" s="594" customFormat="1">
      <c r="B158" s="594" t="str">
        <f>IF(Control!D78=1,"I ","We ")</f>
        <v xml:space="preserve">I </v>
      </c>
    </row>
    <row r="159" spans="1:24" s="594" customFormat="1">
      <c r="B159" s="594" t="s">
        <v>257</v>
      </c>
    </row>
    <row r="160" spans="1:24" s="594" customFormat="1">
      <c r="B160" s="594" t="str">
        <f>IF(Control!D78=1,"I have ","we have ")</f>
        <v xml:space="preserve">I have </v>
      </c>
    </row>
    <row r="161" spans="1:2" s="594" customFormat="1">
      <c r="B161" s="594" t="s">
        <v>261</v>
      </c>
    </row>
    <row r="162" spans="1:2" s="594" customFormat="1">
      <c r="B162" s="594" t="str">
        <f>IF(Control!D78=1,"my ","our ")</f>
        <v xml:space="preserve">my </v>
      </c>
    </row>
    <row r="163" spans="1:2" s="594" customFormat="1">
      <c r="B163" s="594" t="s">
        <v>262</v>
      </c>
    </row>
    <row r="164" spans="1:2" s="594" customFormat="1"/>
    <row r="165" spans="1:2" s="594" customFormat="1">
      <c r="A165" s="594">
        <v>12</v>
      </c>
      <c r="B165" s="594" t="str">
        <f>IF(Control!D78=1,"I ","We ")</f>
        <v xml:space="preserve">I </v>
      </c>
    </row>
    <row r="166" spans="1:2" s="594" customFormat="1">
      <c r="B166" s="594" t="s">
        <v>263</v>
      </c>
    </row>
    <row r="167" spans="1:2" s="594" customFormat="1">
      <c r="B167" s="594" t="str">
        <f>IF(Control!D78=1,"I ","We ")</f>
        <v xml:space="preserve">I </v>
      </c>
    </row>
    <row r="168" spans="1:2" s="594" customFormat="1">
      <c r="B168" s="594" t="s">
        <v>264</v>
      </c>
    </row>
    <row r="169" spans="1:2" s="594" customFormat="1">
      <c r="B169" s="594" t="str">
        <f>IF(Control!D78=1,"I am ","we are ")</f>
        <v xml:space="preserve">I am </v>
      </c>
    </row>
    <row r="170" spans="1:2" s="594" customFormat="1">
      <c r="B170" s="594" t="s">
        <v>265</v>
      </c>
    </row>
    <row r="171" spans="1:2" s="594" customFormat="1"/>
    <row r="172" spans="1:2" s="594" customFormat="1">
      <c r="A172" s="594">
        <v>13</v>
      </c>
      <c r="B172" s="594" t="str">
        <f>IF(Control!D78=1,"I ","We ")</f>
        <v xml:space="preserve">I </v>
      </c>
    </row>
    <row r="173" spans="1:2" s="594" customFormat="1">
      <c r="B173" s="594" t="s">
        <v>266</v>
      </c>
    </row>
    <row r="174" spans="1:2" s="594" customFormat="1">
      <c r="B174" s="594" t="str">
        <f>+Control!D96</f>
        <v>shareholder</v>
      </c>
    </row>
    <row r="175" spans="1:2" s="594" customFormat="1">
      <c r="B175" s="594" t="s">
        <v>267</v>
      </c>
    </row>
    <row r="176" spans="1:2" s="594" customFormat="1">
      <c r="B176" s="594" t="str">
        <f>+Control!D97</f>
        <v>his</v>
      </c>
    </row>
    <row r="177" spans="1:2" s="594" customFormat="1">
      <c r="B177" s="594" t="s">
        <v>268</v>
      </c>
    </row>
    <row r="178" spans="1:2" s="594" customFormat="1"/>
    <row r="179" spans="1:2" s="594" customFormat="1">
      <c r="A179" s="594">
        <v>14</v>
      </c>
      <c r="B179" s="594" t="str">
        <f>IF(Control!D78=1,"I ","We ")</f>
        <v xml:space="preserve">I </v>
      </c>
    </row>
    <row r="180" spans="1:2" s="594" customFormat="1">
      <c r="B180" s="594" t="s">
        <v>269</v>
      </c>
    </row>
  </sheetData>
  <mergeCells count="27">
    <mergeCell ref="B15:J18"/>
    <mergeCell ref="B20:J26"/>
    <mergeCell ref="B28:J29"/>
    <mergeCell ref="A12:J13"/>
    <mergeCell ref="B57:J60"/>
    <mergeCell ref="B71:J72"/>
    <mergeCell ref="B31:J33"/>
    <mergeCell ref="B35:J37"/>
    <mergeCell ref="B39:J40"/>
    <mergeCell ref="B42:J47"/>
    <mergeCell ref="B49:J53"/>
    <mergeCell ref="B54:J55"/>
    <mergeCell ref="B62:J64"/>
    <mergeCell ref="B66:J69"/>
    <mergeCell ref="K57:S60"/>
    <mergeCell ref="K62:S64"/>
    <mergeCell ref="K66:S69"/>
    <mergeCell ref="K71:S72"/>
    <mergeCell ref="K15:S18"/>
    <mergeCell ref="K20:S26"/>
    <mergeCell ref="K28:S29"/>
    <mergeCell ref="K31:S33"/>
    <mergeCell ref="K35:S37"/>
    <mergeCell ref="K39:S40"/>
    <mergeCell ref="K42:S47"/>
    <mergeCell ref="K49:S53"/>
    <mergeCell ref="K54:S55"/>
  </mergeCells>
  <phoneticPr fontId="13" type="noConversion"/>
  <pageMargins left="0.70866141732283472" right="0.70866141732283472" top="0.74803149606299213" bottom="0.74803149606299213" header="0.31496062992125984" footer="0.31496062992125984"/>
  <pageSetup paperSize="9" scale="85" orientation="portrait" r:id="rId1"/>
  <rowBreaks count="1" manualBreakCount="1">
    <brk id="47"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pageSetUpPr fitToPage="1"/>
  </sheetPr>
  <dimension ref="A1:AB208"/>
  <sheetViews>
    <sheetView workbookViewId="0">
      <selection activeCell="Q62" sqref="Q62"/>
    </sheetView>
  </sheetViews>
  <sheetFormatPr defaultColWidth="9" defaultRowHeight="15.75"/>
  <cols>
    <col min="1" max="1" width="5.125" style="1" customWidth="1" collapsed="1"/>
    <col min="2" max="2" width="3.125" style="1" customWidth="1" collapsed="1"/>
    <col min="3" max="3" width="3" style="1" customWidth="1" collapsed="1"/>
    <col min="4" max="6" width="9" style="1" collapsed="1"/>
    <col min="7" max="7" width="12.5" style="1" customWidth="1" collapsed="1"/>
    <col min="8" max="8" width="12.375" style="1" customWidth="1" collapsed="1"/>
    <col min="9" max="12" width="9" style="1" collapsed="1"/>
    <col min="13" max="28" width="9" style="594" collapsed="1"/>
    <col min="29" max="16384" width="9" style="1" collapsed="1"/>
  </cols>
  <sheetData>
    <row r="1" spans="1:28" ht="22.5">
      <c r="A1" s="899" t="str">
        <f>+CONCATENATE(Control!D136," ",Control!D137)</f>
        <v>Matthew S.H. Law Certified Public Accountant (Practising)</v>
      </c>
      <c r="B1" s="899"/>
      <c r="C1" s="899"/>
      <c r="D1" s="899"/>
      <c r="E1" s="899"/>
      <c r="F1" s="899"/>
      <c r="G1" s="899"/>
      <c r="H1" s="899"/>
      <c r="I1" s="899"/>
      <c r="J1" s="899"/>
      <c r="K1" s="899"/>
      <c r="L1" s="899"/>
      <c r="M1" s="594" t="s">
        <v>172</v>
      </c>
    </row>
    <row r="2" spans="1:28" ht="22.5">
      <c r="A2" s="461"/>
    </row>
    <row r="3" spans="1:28" ht="22.5">
      <c r="A3" s="461"/>
    </row>
    <row r="4" spans="1:28">
      <c r="A4" s="43" t="s">
        <v>270</v>
      </c>
    </row>
    <row r="5" spans="1:28">
      <c r="A5" s="38"/>
    </row>
    <row r="6" spans="1:28">
      <c r="A6" s="43" t="s">
        <v>271</v>
      </c>
    </row>
    <row r="7" spans="1:28">
      <c r="A7" s="49" t="str">
        <f>+Control!D3</f>
        <v>MIC INCORPORATION LIMITED </v>
      </c>
      <c r="B7" s="50"/>
      <c r="C7" s="50"/>
      <c r="D7" s="50"/>
    </row>
    <row r="9" spans="1:28">
      <c r="A9" s="43" t="s">
        <v>272</v>
      </c>
    </row>
    <row r="11" spans="1:28">
      <c r="A11" s="44" t="s">
        <v>273</v>
      </c>
    </row>
    <row r="12" spans="1:28" s="39" customFormat="1" ht="15">
      <c r="A12" s="39">
        <v>1.1000000000000001</v>
      </c>
      <c r="B12" s="898" t="str">
        <f>+CONCATENATE(N18,Control!D3,N22)</f>
        <v>You have requested that we audit the financial statements of MIC INCORPORATION LIMITED . We are pleased to confirm our acceptance and our understanding of this audit engagement by means of this letter. Our audit will be conducted with the objective of our expressing an opinion on the financial statements.</v>
      </c>
      <c r="C12" s="898"/>
      <c r="D12" s="898"/>
      <c r="E12" s="898"/>
      <c r="F12" s="898"/>
      <c r="G12" s="898"/>
      <c r="H12" s="898"/>
      <c r="I12" s="898"/>
      <c r="J12" s="898"/>
      <c r="K12" s="898"/>
      <c r="L12" s="898"/>
      <c r="M12" s="722"/>
      <c r="N12" s="897"/>
      <c r="O12" s="897"/>
      <c r="P12" s="897"/>
      <c r="Q12" s="897"/>
      <c r="R12" s="897"/>
      <c r="S12" s="897"/>
      <c r="T12" s="897"/>
      <c r="U12" s="897"/>
      <c r="V12" s="897"/>
      <c r="W12" s="897"/>
      <c r="X12" s="897"/>
      <c r="Y12" s="722"/>
      <c r="Z12" s="722"/>
      <c r="AA12" s="722"/>
      <c r="AB12" s="722"/>
    </row>
    <row r="13" spans="1:28" s="39" customFormat="1" ht="15">
      <c r="B13" s="898"/>
      <c r="C13" s="898"/>
      <c r="D13" s="898"/>
      <c r="E13" s="898"/>
      <c r="F13" s="898"/>
      <c r="G13" s="898"/>
      <c r="H13" s="898"/>
      <c r="I13" s="898"/>
      <c r="J13" s="898"/>
      <c r="K13" s="898"/>
      <c r="L13" s="898"/>
      <c r="M13" s="722"/>
      <c r="N13" s="897"/>
      <c r="O13" s="897"/>
      <c r="P13" s="897"/>
      <c r="Q13" s="897"/>
      <c r="R13" s="897"/>
      <c r="S13" s="897"/>
      <c r="T13" s="897"/>
      <c r="U13" s="897"/>
      <c r="V13" s="897"/>
      <c r="W13" s="897"/>
      <c r="X13" s="897"/>
      <c r="Y13" s="722"/>
      <c r="Z13" s="722"/>
      <c r="AA13" s="722"/>
      <c r="AB13" s="722"/>
    </row>
    <row r="14" spans="1:28" s="39" customFormat="1" ht="48" customHeight="1">
      <c r="B14" s="898"/>
      <c r="C14" s="898"/>
      <c r="D14" s="898"/>
      <c r="E14" s="898"/>
      <c r="F14" s="898"/>
      <c r="G14" s="898"/>
      <c r="H14" s="898"/>
      <c r="I14" s="898"/>
      <c r="J14" s="898"/>
      <c r="K14" s="898"/>
      <c r="L14" s="898"/>
      <c r="M14" s="722"/>
      <c r="N14" s="897"/>
      <c r="O14" s="897"/>
      <c r="P14" s="897"/>
      <c r="Q14" s="897"/>
      <c r="R14" s="897"/>
      <c r="S14" s="897"/>
      <c r="T14" s="897"/>
      <c r="U14" s="897"/>
      <c r="V14" s="897"/>
      <c r="W14" s="897"/>
      <c r="X14" s="897"/>
      <c r="Y14" s="722"/>
      <c r="Z14" s="722"/>
      <c r="AA14" s="722"/>
      <c r="AB14" s="722"/>
    </row>
    <row r="16" spans="1:28">
      <c r="A16" s="44" t="s">
        <v>274</v>
      </c>
    </row>
    <row r="17" spans="1:28">
      <c r="A17" s="44"/>
    </row>
    <row r="18" spans="1:28" s="39" customFormat="1" ht="15">
      <c r="A18" s="39">
        <v>2.1</v>
      </c>
      <c r="B18" s="901" t="s">
        <v>275</v>
      </c>
      <c r="C18" s="901"/>
      <c r="D18" s="901"/>
      <c r="E18" s="901"/>
      <c r="F18" s="901"/>
      <c r="G18" s="901"/>
      <c r="H18" s="901"/>
      <c r="I18" s="901"/>
      <c r="J18" s="901"/>
      <c r="K18" s="901"/>
      <c r="L18" s="901"/>
      <c r="M18" s="722"/>
      <c r="N18" s="722" t="s">
        <v>276</v>
      </c>
      <c r="O18" s="722"/>
      <c r="P18" s="722"/>
      <c r="Q18" s="722"/>
      <c r="R18" s="722"/>
      <c r="S18" s="722"/>
      <c r="T18" s="722"/>
      <c r="U18" s="722"/>
      <c r="V18" s="722"/>
      <c r="W18" s="722"/>
      <c r="X18" s="722"/>
      <c r="Y18" s="722"/>
      <c r="Z18" s="722"/>
      <c r="AA18" s="722"/>
      <c r="AB18" s="722"/>
    </row>
    <row r="19" spans="1:28" s="39" customFormat="1" ht="15">
      <c r="M19" s="722"/>
      <c r="N19" s="722"/>
      <c r="O19" s="722"/>
      <c r="P19" s="722"/>
      <c r="Q19" s="722"/>
      <c r="R19" s="722"/>
      <c r="S19" s="722"/>
      <c r="T19" s="722"/>
      <c r="U19" s="722"/>
      <c r="V19" s="722"/>
      <c r="W19" s="722"/>
      <c r="X19" s="722"/>
      <c r="Y19" s="722"/>
      <c r="Z19" s="722"/>
      <c r="AA19" s="722"/>
      <c r="AB19" s="722"/>
    </row>
    <row r="20" spans="1:28" s="39" customFormat="1" ht="15">
      <c r="M20" s="722"/>
      <c r="N20" s="722"/>
      <c r="O20" s="722"/>
      <c r="P20" s="722"/>
      <c r="Q20" s="722"/>
      <c r="R20" s="722"/>
      <c r="S20" s="722"/>
      <c r="T20" s="722"/>
      <c r="U20" s="722"/>
      <c r="V20" s="722"/>
      <c r="W20" s="722"/>
      <c r="X20" s="722"/>
      <c r="Y20" s="722"/>
      <c r="Z20" s="722"/>
      <c r="AA20" s="722"/>
      <c r="AB20" s="722"/>
    </row>
    <row r="21" spans="1:28" s="39" customFormat="1" ht="15">
      <c r="B21" s="39" t="s">
        <v>277</v>
      </c>
      <c r="C21" s="39" t="s">
        <v>278</v>
      </c>
      <c r="M21" s="722"/>
      <c r="N21" s="722"/>
      <c r="O21" s="722"/>
      <c r="P21" s="722"/>
      <c r="Q21" s="722"/>
      <c r="R21" s="722"/>
      <c r="S21" s="722"/>
      <c r="T21" s="722"/>
      <c r="U21" s="722"/>
      <c r="V21" s="722"/>
      <c r="W21" s="722"/>
      <c r="X21" s="722"/>
      <c r="Y21" s="722"/>
      <c r="Z21" s="722"/>
      <c r="AA21" s="722"/>
      <c r="AB21" s="722"/>
    </row>
    <row r="22" spans="1:28" s="39" customFormat="1" ht="15">
      <c r="M22" s="722"/>
      <c r="N22" s="722" t="s">
        <v>279</v>
      </c>
      <c r="O22" s="722"/>
      <c r="P22" s="722"/>
      <c r="Q22" s="722"/>
      <c r="R22" s="722"/>
      <c r="S22" s="722"/>
      <c r="T22" s="722"/>
      <c r="U22" s="722"/>
      <c r="V22" s="722"/>
      <c r="W22" s="722"/>
      <c r="X22" s="722"/>
      <c r="Y22" s="722"/>
      <c r="Z22" s="722"/>
      <c r="AA22" s="722"/>
      <c r="AB22" s="722"/>
    </row>
    <row r="23" spans="1:28" s="39" customFormat="1" ht="15">
      <c r="B23" s="39" t="s">
        <v>280</v>
      </c>
      <c r="C23" s="901" t="s">
        <v>281</v>
      </c>
      <c r="D23" s="901"/>
      <c r="E23" s="901"/>
      <c r="F23" s="901"/>
      <c r="G23" s="901"/>
      <c r="H23" s="901"/>
      <c r="I23" s="901"/>
      <c r="J23" s="901"/>
      <c r="K23" s="901"/>
      <c r="L23" s="901"/>
      <c r="M23" s="722"/>
      <c r="N23" s="722"/>
      <c r="O23" s="722"/>
      <c r="P23" s="722"/>
      <c r="Q23" s="722"/>
      <c r="R23" s="722"/>
      <c r="S23" s="722"/>
      <c r="T23" s="722"/>
      <c r="U23" s="722"/>
      <c r="V23" s="722"/>
      <c r="W23" s="722"/>
      <c r="X23" s="722"/>
      <c r="Y23" s="722"/>
      <c r="Z23" s="722"/>
      <c r="AA23" s="722"/>
      <c r="AB23" s="722"/>
    </row>
    <row r="24" spans="1:28" s="39" customFormat="1" ht="15">
      <c r="C24" s="901" t="s">
        <v>282</v>
      </c>
      <c r="D24" s="901"/>
      <c r="E24" s="901"/>
      <c r="F24" s="901"/>
      <c r="G24" s="901"/>
      <c r="H24" s="901"/>
      <c r="I24" s="901"/>
      <c r="J24" s="901"/>
      <c r="K24" s="901"/>
      <c r="L24" s="901"/>
      <c r="M24" s="722"/>
      <c r="N24" s="722"/>
      <c r="O24" s="722"/>
      <c r="P24" s="722"/>
      <c r="Q24" s="722"/>
      <c r="R24" s="722"/>
      <c r="S24" s="722"/>
      <c r="T24" s="722"/>
      <c r="U24" s="722"/>
      <c r="V24" s="722"/>
      <c r="W24" s="722"/>
      <c r="X24" s="722"/>
      <c r="Y24" s="722"/>
      <c r="Z24" s="722"/>
      <c r="AA24" s="722"/>
      <c r="AB24" s="722"/>
    </row>
    <row r="25" spans="1:28" s="39" customFormat="1" ht="15">
      <c r="C25" s="39" t="s">
        <v>283</v>
      </c>
      <c r="M25" s="722"/>
      <c r="N25" s="722" t="s">
        <v>284</v>
      </c>
      <c r="O25" s="722"/>
      <c r="P25" s="722"/>
      <c r="Q25" s="722"/>
      <c r="R25" s="722"/>
      <c r="S25" s="722"/>
      <c r="T25" s="722"/>
      <c r="U25" s="722"/>
      <c r="V25" s="722"/>
      <c r="W25" s="722"/>
      <c r="X25" s="722"/>
      <c r="Y25" s="722"/>
      <c r="Z25" s="722"/>
      <c r="AA25" s="722"/>
      <c r="AB25" s="722"/>
    </row>
    <row r="26" spans="1:28" s="39" customFormat="1" ht="15">
      <c r="M26" s="722"/>
      <c r="N26" s="722"/>
      <c r="O26" s="722"/>
      <c r="P26" s="722"/>
      <c r="Q26" s="722"/>
      <c r="R26" s="722"/>
      <c r="S26" s="722"/>
      <c r="T26" s="722"/>
      <c r="U26" s="722"/>
      <c r="V26" s="722"/>
      <c r="W26" s="722"/>
      <c r="X26" s="722"/>
      <c r="Y26" s="722"/>
      <c r="Z26" s="722"/>
      <c r="AA26" s="722"/>
      <c r="AB26" s="722"/>
    </row>
    <row r="27" spans="1:28" s="39" customFormat="1" ht="15">
      <c r="B27" s="39" t="s">
        <v>285</v>
      </c>
      <c r="C27" s="901" t="s">
        <v>286</v>
      </c>
      <c r="D27" s="901"/>
      <c r="E27" s="901"/>
      <c r="F27" s="901"/>
      <c r="G27" s="901"/>
      <c r="H27" s="901"/>
      <c r="I27" s="901"/>
      <c r="J27" s="901"/>
      <c r="K27" s="901"/>
      <c r="L27" s="901"/>
      <c r="M27" s="722"/>
      <c r="N27" s="722"/>
      <c r="O27" s="722"/>
      <c r="P27" s="722"/>
      <c r="Q27" s="722"/>
      <c r="R27" s="722"/>
      <c r="S27" s="722"/>
      <c r="T27" s="722"/>
      <c r="U27" s="722"/>
      <c r="V27" s="722"/>
      <c r="W27" s="722"/>
      <c r="X27" s="722"/>
      <c r="Y27" s="722"/>
      <c r="Z27" s="722"/>
      <c r="AA27" s="722"/>
      <c r="AB27" s="722"/>
    </row>
    <row r="28" spans="1:28" s="39" customFormat="1" ht="15">
      <c r="C28" s="39" t="s">
        <v>287</v>
      </c>
      <c r="M28" s="722"/>
      <c r="N28" s="722"/>
      <c r="O28" s="722"/>
      <c r="P28" s="722"/>
      <c r="Q28" s="722"/>
      <c r="R28" s="722"/>
      <c r="S28" s="722"/>
      <c r="T28" s="722"/>
      <c r="U28" s="722"/>
      <c r="V28" s="722"/>
      <c r="W28" s="722"/>
      <c r="X28" s="722"/>
      <c r="Y28" s="722"/>
      <c r="Z28" s="722"/>
      <c r="AA28" s="722"/>
      <c r="AB28" s="722"/>
    </row>
    <row r="29" spans="1:28" s="39" customFormat="1" ht="15">
      <c r="M29" s="722"/>
      <c r="N29" s="722"/>
      <c r="O29" s="722"/>
      <c r="P29" s="722"/>
      <c r="Q29" s="722"/>
      <c r="R29" s="722"/>
      <c r="S29" s="722"/>
      <c r="T29" s="722"/>
      <c r="U29" s="722"/>
      <c r="V29" s="722"/>
      <c r="W29" s="722"/>
      <c r="X29" s="722"/>
      <c r="Y29" s="722"/>
      <c r="Z29" s="722"/>
      <c r="AA29" s="722"/>
      <c r="AB29" s="722"/>
    </row>
    <row r="30" spans="1:28" s="39" customFormat="1" ht="15">
      <c r="B30" s="39" t="s">
        <v>288</v>
      </c>
      <c r="C30" s="39" t="s">
        <v>289</v>
      </c>
      <c r="M30" s="722"/>
      <c r="N30" s="722"/>
      <c r="O30" s="722"/>
      <c r="P30" s="722"/>
      <c r="Q30" s="722"/>
      <c r="R30" s="722"/>
      <c r="S30" s="722"/>
      <c r="T30" s="722"/>
      <c r="U30" s="722"/>
      <c r="V30" s="722"/>
      <c r="W30" s="722"/>
      <c r="X30" s="722"/>
      <c r="Y30" s="722"/>
      <c r="Z30" s="722"/>
      <c r="AA30" s="722"/>
      <c r="AB30" s="722"/>
    </row>
    <row r="31" spans="1:28" s="39" customFormat="1" ht="15">
      <c r="M31" s="722"/>
      <c r="N31" s="722"/>
      <c r="O31" s="722"/>
      <c r="P31" s="722"/>
      <c r="Q31" s="722"/>
      <c r="R31" s="722"/>
      <c r="S31" s="722"/>
      <c r="T31" s="722"/>
      <c r="U31" s="722"/>
      <c r="V31" s="722"/>
      <c r="W31" s="722"/>
      <c r="X31" s="722"/>
      <c r="Y31" s="722"/>
      <c r="Z31" s="722"/>
      <c r="AA31" s="722"/>
      <c r="AB31" s="722"/>
    </row>
    <row r="32" spans="1:28" s="39" customFormat="1" ht="15">
      <c r="C32" s="39" t="s">
        <v>290</v>
      </c>
      <c r="D32" s="901" t="s">
        <v>291</v>
      </c>
      <c r="E32" s="901"/>
      <c r="F32" s="901"/>
      <c r="G32" s="901"/>
      <c r="H32" s="901"/>
      <c r="I32" s="901"/>
      <c r="J32" s="901"/>
      <c r="K32" s="901"/>
      <c r="L32" s="901"/>
      <c r="M32" s="723"/>
      <c r="N32" s="722"/>
      <c r="O32" s="722"/>
      <c r="P32" s="722"/>
      <c r="Q32" s="722"/>
      <c r="R32" s="722"/>
      <c r="S32" s="722"/>
      <c r="T32" s="722"/>
      <c r="U32" s="722"/>
      <c r="V32" s="722"/>
      <c r="W32" s="722"/>
      <c r="X32" s="722"/>
      <c r="Y32" s="722"/>
      <c r="Z32" s="722"/>
      <c r="AA32" s="722"/>
      <c r="AB32" s="722"/>
    </row>
    <row r="33" spans="1:28" s="39" customFormat="1" ht="15">
      <c r="D33" s="901" t="s">
        <v>292</v>
      </c>
      <c r="E33" s="901"/>
      <c r="F33" s="901"/>
      <c r="G33" s="901"/>
      <c r="H33" s="901"/>
      <c r="I33" s="901"/>
      <c r="J33" s="901"/>
      <c r="K33" s="901"/>
      <c r="L33" s="901"/>
      <c r="M33" s="722"/>
      <c r="N33" s="722"/>
      <c r="O33" s="722"/>
      <c r="P33" s="722"/>
      <c r="Q33" s="722"/>
      <c r="R33" s="722"/>
      <c r="S33" s="722"/>
      <c r="T33" s="722"/>
      <c r="U33" s="722"/>
      <c r="V33" s="722"/>
      <c r="W33" s="722"/>
      <c r="X33" s="722"/>
      <c r="Y33" s="722"/>
      <c r="Z33" s="722"/>
      <c r="AA33" s="722"/>
      <c r="AB33" s="722"/>
    </row>
    <row r="34" spans="1:28" s="39" customFormat="1" ht="15">
      <c r="D34" s="39" t="s">
        <v>293</v>
      </c>
      <c r="M34" s="722"/>
      <c r="N34" s="722"/>
      <c r="O34" s="722"/>
      <c r="P34" s="722"/>
      <c r="Q34" s="722"/>
      <c r="R34" s="722"/>
      <c r="S34" s="722"/>
      <c r="T34" s="722"/>
      <c r="U34" s="722"/>
      <c r="V34" s="722"/>
      <c r="W34" s="722"/>
      <c r="X34" s="722"/>
      <c r="Y34" s="722"/>
      <c r="Z34" s="722"/>
      <c r="AA34" s="722"/>
      <c r="AB34" s="722"/>
    </row>
    <row r="35" spans="1:28" s="39" customFormat="1" ht="15">
      <c r="M35" s="722"/>
      <c r="N35" s="722"/>
      <c r="O35" s="722"/>
      <c r="P35" s="722"/>
      <c r="Q35" s="722"/>
      <c r="R35" s="722"/>
      <c r="S35" s="722"/>
      <c r="T35" s="722"/>
      <c r="U35" s="722"/>
      <c r="V35" s="722"/>
      <c r="W35" s="722"/>
      <c r="X35" s="722"/>
      <c r="Y35" s="722"/>
      <c r="Z35" s="722"/>
      <c r="AA35" s="722"/>
      <c r="AB35" s="722"/>
    </row>
    <row r="36" spans="1:28" s="39" customFormat="1" ht="15">
      <c r="C36" s="39" t="s">
        <v>294</v>
      </c>
      <c r="D36" s="39" t="s">
        <v>295</v>
      </c>
      <c r="M36" s="722"/>
      <c r="N36" s="722"/>
      <c r="O36" s="722"/>
      <c r="P36" s="722"/>
      <c r="Q36" s="722"/>
      <c r="R36" s="722"/>
      <c r="S36" s="722"/>
      <c r="T36" s="722"/>
      <c r="U36" s="722"/>
      <c r="V36" s="722"/>
      <c r="W36" s="722"/>
      <c r="X36" s="722"/>
      <c r="Y36" s="722"/>
      <c r="Z36" s="722"/>
      <c r="AA36" s="722"/>
      <c r="AB36" s="722"/>
    </row>
    <row r="37" spans="1:28" s="39" customFormat="1" ht="15">
      <c r="M37" s="722"/>
      <c r="N37" s="722"/>
      <c r="O37" s="722"/>
      <c r="P37" s="722"/>
      <c r="Q37" s="722"/>
      <c r="R37" s="722"/>
      <c r="S37" s="722"/>
      <c r="T37" s="722"/>
      <c r="U37" s="722"/>
      <c r="V37" s="722"/>
      <c r="W37" s="722"/>
      <c r="X37" s="722"/>
      <c r="Y37" s="722"/>
      <c r="Z37" s="722"/>
      <c r="AA37" s="722"/>
      <c r="AB37" s="722"/>
    </row>
    <row r="38" spans="1:28" s="39" customFormat="1" ht="15">
      <c r="C38" s="39" t="s">
        <v>296</v>
      </c>
      <c r="D38" s="901" t="s">
        <v>297</v>
      </c>
      <c r="E38" s="901"/>
      <c r="F38" s="901"/>
      <c r="G38" s="901"/>
      <c r="H38" s="901"/>
      <c r="I38" s="901"/>
      <c r="J38" s="901"/>
      <c r="K38" s="901"/>
      <c r="L38" s="901"/>
      <c r="M38" s="722"/>
      <c r="N38" s="722"/>
      <c r="O38" s="722"/>
      <c r="P38" s="722"/>
      <c r="Q38" s="722"/>
      <c r="R38" s="722"/>
      <c r="S38" s="722"/>
      <c r="T38" s="722"/>
      <c r="U38" s="722"/>
      <c r="V38" s="722"/>
      <c r="W38" s="722"/>
      <c r="X38" s="722"/>
      <c r="Y38" s="722"/>
      <c r="Z38" s="722"/>
      <c r="AA38" s="722"/>
      <c r="AB38" s="722"/>
    </row>
    <row r="39" spans="1:28" s="39" customFormat="1" ht="15">
      <c r="D39" s="39" t="s">
        <v>298</v>
      </c>
      <c r="M39" s="722"/>
      <c r="N39" s="722"/>
      <c r="O39" s="722"/>
      <c r="P39" s="722"/>
      <c r="Q39" s="722"/>
      <c r="R39" s="722"/>
      <c r="S39" s="722"/>
      <c r="T39" s="722"/>
      <c r="U39" s="722"/>
      <c r="V39" s="722"/>
      <c r="W39" s="722"/>
      <c r="X39" s="722"/>
      <c r="Y39" s="722"/>
      <c r="Z39" s="722"/>
      <c r="AA39" s="722"/>
      <c r="AB39" s="722"/>
    </row>
    <row r="44" spans="1:28">
      <c r="A44" s="40"/>
    </row>
    <row r="45" spans="1:28">
      <c r="A45" s="40"/>
    </row>
    <row r="46" spans="1:28">
      <c r="A46" s="40"/>
    </row>
    <row r="47" spans="1:28">
      <c r="A47" s="41"/>
    </row>
    <row r="48" spans="1:28">
      <c r="A48" s="42"/>
    </row>
    <row r="49" spans="1:28">
      <c r="A49" s="41"/>
      <c r="L49" s="45" t="s">
        <v>299</v>
      </c>
    </row>
    <row r="50" spans="1:28">
      <c r="A50" s="900" t="str">
        <f>+CONCATENATE(M50,Control!D142)</f>
        <v>Address:Unit 402, 4/F., Fourseas Building, No. 208 Nathan Road, Kowloon</v>
      </c>
      <c r="B50" s="900"/>
      <c r="C50" s="900"/>
      <c r="D50" s="900"/>
      <c r="E50" s="900"/>
      <c r="F50" s="900"/>
      <c r="G50" s="900"/>
      <c r="H50" s="900"/>
      <c r="I50" s="900"/>
      <c r="J50" s="900"/>
      <c r="K50" s="900"/>
      <c r="L50" s="900"/>
      <c r="M50" s="594" t="s">
        <v>300</v>
      </c>
    </row>
    <row r="51" spans="1:28" ht="22.5">
      <c r="A51" s="899" t="str">
        <f>+A1</f>
        <v>Matthew S.H. Law Certified Public Accountant (Practising)</v>
      </c>
      <c r="B51" s="899"/>
      <c r="C51" s="899"/>
      <c r="D51" s="899"/>
      <c r="E51" s="899"/>
      <c r="F51" s="899"/>
      <c r="G51" s="899"/>
      <c r="H51" s="899"/>
      <c r="I51" s="899"/>
      <c r="J51" s="899"/>
      <c r="K51" s="899"/>
      <c r="L51" s="899"/>
    </row>
    <row r="53" spans="1:28" s="39" customFormat="1">
      <c r="A53" s="46" t="s">
        <v>301</v>
      </c>
      <c r="M53" s="722"/>
      <c r="N53" s="722"/>
      <c r="O53" s="722"/>
      <c r="P53" s="722"/>
      <c r="Q53" s="722"/>
      <c r="R53" s="722"/>
      <c r="S53" s="722"/>
      <c r="T53" s="722"/>
      <c r="U53" s="722"/>
      <c r="V53" s="722"/>
      <c r="W53" s="722"/>
      <c r="X53" s="722"/>
      <c r="Y53" s="722"/>
      <c r="Z53" s="722"/>
      <c r="AA53" s="722"/>
      <c r="AB53" s="722"/>
    </row>
    <row r="54" spans="1:28" s="39" customFormat="1" ht="15">
      <c r="M54" s="722"/>
      <c r="N54" s="722"/>
      <c r="O54" s="722"/>
      <c r="P54" s="722"/>
      <c r="Q54" s="722"/>
      <c r="R54" s="722"/>
      <c r="S54" s="722"/>
      <c r="T54" s="722"/>
      <c r="U54" s="722"/>
      <c r="V54" s="722"/>
      <c r="W54" s="722"/>
      <c r="X54" s="722"/>
      <c r="Y54" s="722"/>
      <c r="Z54" s="722"/>
      <c r="AA54" s="722"/>
      <c r="AB54" s="722"/>
    </row>
    <row r="55" spans="1:28" s="39" customFormat="1" ht="15">
      <c r="A55" s="39">
        <v>3.1</v>
      </c>
      <c r="B55" s="901" t="s">
        <v>302</v>
      </c>
      <c r="C55" s="901"/>
      <c r="D55" s="901"/>
      <c r="E55" s="901"/>
      <c r="F55" s="901"/>
      <c r="G55" s="901"/>
      <c r="H55" s="901"/>
      <c r="I55" s="901"/>
      <c r="J55" s="901"/>
      <c r="K55" s="901"/>
      <c r="L55" s="901"/>
      <c r="M55" s="722"/>
      <c r="N55" s="722"/>
      <c r="O55" s="722"/>
      <c r="P55" s="722"/>
      <c r="Q55" s="722"/>
      <c r="R55" s="722"/>
      <c r="S55" s="722"/>
      <c r="T55" s="722"/>
      <c r="U55" s="722"/>
      <c r="V55" s="722"/>
      <c r="W55" s="722"/>
      <c r="X55" s="722"/>
      <c r="Y55" s="722"/>
      <c r="Z55" s="722"/>
      <c r="AA55" s="722"/>
      <c r="AB55" s="722"/>
    </row>
    <row r="56" spans="1:28" s="39" customFormat="1" ht="15">
      <c r="B56" s="901" t="s">
        <v>303</v>
      </c>
      <c r="C56" s="901"/>
      <c r="D56" s="901"/>
      <c r="E56" s="901"/>
      <c r="F56" s="901"/>
      <c r="G56" s="901"/>
      <c r="H56" s="901"/>
      <c r="I56" s="901"/>
      <c r="J56" s="901"/>
      <c r="K56" s="901"/>
      <c r="L56" s="901"/>
      <c r="M56" s="722"/>
      <c r="N56" s="722"/>
      <c r="O56" s="722"/>
      <c r="P56" s="722"/>
      <c r="Q56" s="722"/>
      <c r="R56" s="722"/>
      <c r="S56" s="722"/>
      <c r="T56" s="722"/>
      <c r="U56" s="722"/>
      <c r="V56" s="722"/>
      <c r="W56" s="722"/>
      <c r="X56" s="722"/>
      <c r="Y56" s="722"/>
      <c r="Z56" s="722"/>
      <c r="AA56" s="722"/>
      <c r="AB56" s="722"/>
    </row>
    <row r="57" spans="1:28" s="39" customFormat="1" ht="15">
      <c r="B57" s="901" t="s">
        <v>304</v>
      </c>
      <c r="C57" s="901"/>
      <c r="D57" s="901"/>
      <c r="E57" s="901"/>
      <c r="F57" s="901"/>
      <c r="G57" s="901"/>
      <c r="H57" s="901"/>
      <c r="I57" s="901"/>
      <c r="J57" s="901"/>
      <c r="K57" s="901"/>
      <c r="L57" s="901"/>
      <c r="M57" s="722"/>
      <c r="N57" s="722"/>
      <c r="O57" s="722"/>
      <c r="P57" s="722"/>
      <c r="Q57" s="722"/>
      <c r="R57" s="722"/>
      <c r="S57" s="722"/>
      <c r="T57" s="722"/>
      <c r="U57" s="722"/>
      <c r="V57" s="722"/>
      <c r="W57" s="722"/>
      <c r="X57" s="722"/>
      <c r="Y57" s="722"/>
      <c r="Z57" s="722"/>
      <c r="AA57" s="722"/>
      <c r="AB57" s="722"/>
    </row>
    <row r="58" spans="1:28" s="39" customFormat="1" ht="15">
      <c r="B58" s="39" t="s">
        <v>305</v>
      </c>
      <c r="M58" s="722"/>
      <c r="N58" s="722"/>
      <c r="O58" s="722"/>
      <c r="P58" s="722"/>
      <c r="Q58" s="722"/>
      <c r="R58" s="722"/>
      <c r="S58" s="722"/>
      <c r="T58" s="722"/>
      <c r="U58" s="722"/>
      <c r="V58" s="722"/>
      <c r="W58" s="722"/>
      <c r="X58" s="722"/>
      <c r="Y58" s="722"/>
      <c r="Z58" s="722"/>
      <c r="AA58" s="722"/>
      <c r="AB58" s="722"/>
    </row>
    <row r="59" spans="1:28" s="39" customFormat="1" ht="15">
      <c r="M59" s="722"/>
      <c r="N59" s="722"/>
      <c r="O59" s="722"/>
      <c r="P59" s="722"/>
      <c r="Q59" s="722"/>
      <c r="R59" s="722"/>
      <c r="S59" s="722"/>
      <c r="T59" s="722"/>
      <c r="U59" s="722"/>
      <c r="V59" s="722"/>
      <c r="W59" s="722"/>
      <c r="X59" s="722"/>
      <c r="Y59" s="722"/>
      <c r="Z59" s="722"/>
      <c r="AA59" s="722"/>
      <c r="AB59" s="722"/>
    </row>
    <row r="60" spans="1:28" s="39" customFormat="1" ht="15">
      <c r="B60" s="39" t="s">
        <v>306</v>
      </c>
      <c r="C60" s="901" t="s">
        <v>307</v>
      </c>
      <c r="D60" s="901"/>
      <c r="E60" s="901"/>
      <c r="F60" s="901"/>
      <c r="G60" s="901"/>
      <c r="H60" s="901"/>
      <c r="I60" s="901"/>
      <c r="J60" s="901"/>
      <c r="K60" s="901"/>
      <c r="L60" s="901"/>
      <c r="M60" s="722"/>
      <c r="N60" s="722"/>
      <c r="O60" s="722"/>
      <c r="P60" s="722"/>
      <c r="Q60" s="722"/>
      <c r="R60" s="722"/>
      <c r="S60" s="722"/>
      <c r="T60" s="722"/>
      <c r="U60" s="722"/>
      <c r="V60" s="722"/>
      <c r="W60" s="722"/>
      <c r="X60" s="722"/>
      <c r="Y60" s="722"/>
      <c r="Z60" s="722"/>
      <c r="AA60" s="722"/>
      <c r="AB60" s="722"/>
    </row>
    <row r="61" spans="1:28" s="39" customFormat="1" ht="15">
      <c r="C61" s="39" t="s">
        <v>308</v>
      </c>
      <c r="M61" s="722"/>
      <c r="N61" s="722"/>
      <c r="O61" s="722"/>
      <c r="P61" s="722"/>
      <c r="Q61" s="722"/>
      <c r="R61" s="722"/>
      <c r="S61" s="722"/>
      <c r="T61" s="722"/>
      <c r="U61" s="722"/>
      <c r="V61" s="722"/>
      <c r="W61" s="722"/>
      <c r="X61" s="722"/>
      <c r="Y61" s="722"/>
      <c r="Z61" s="722"/>
      <c r="AA61" s="722"/>
      <c r="AB61" s="722"/>
    </row>
    <row r="62" spans="1:28" s="39" customFormat="1" ht="15">
      <c r="M62" s="722"/>
      <c r="N62" s="722"/>
      <c r="O62" s="722"/>
      <c r="P62" s="722"/>
      <c r="Q62" s="722"/>
      <c r="R62" s="722"/>
      <c r="S62" s="722"/>
      <c r="T62" s="722"/>
      <c r="U62" s="722"/>
      <c r="V62" s="722"/>
      <c r="W62" s="722"/>
      <c r="X62" s="722"/>
      <c r="Y62" s="722"/>
      <c r="Z62" s="722"/>
      <c r="AA62" s="722"/>
      <c r="AB62" s="722"/>
    </row>
    <row r="63" spans="1:28" s="39" customFormat="1" ht="15">
      <c r="B63" s="39" t="s">
        <v>309</v>
      </c>
      <c r="C63" s="901" t="s">
        <v>310</v>
      </c>
      <c r="D63" s="901"/>
      <c r="E63" s="901"/>
      <c r="F63" s="901"/>
      <c r="G63" s="901"/>
      <c r="H63" s="901"/>
      <c r="I63" s="901"/>
      <c r="J63" s="901"/>
      <c r="K63" s="901"/>
      <c r="L63" s="901"/>
      <c r="M63" s="722"/>
      <c r="N63" s="722"/>
      <c r="O63" s="722"/>
      <c r="P63" s="722"/>
      <c r="Q63" s="722"/>
      <c r="R63" s="722"/>
      <c r="S63" s="722"/>
      <c r="T63" s="722"/>
      <c r="U63" s="722"/>
      <c r="V63" s="722"/>
      <c r="W63" s="722"/>
      <c r="X63" s="722"/>
      <c r="Y63" s="722"/>
      <c r="Z63" s="722"/>
      <c r="AA63" s="722"/>
      <c r="AB63" s="722"/>
    </row>
    <row r="64" spans="1:28" s="39" customFormat="1" ht="15">
      <c r="C64" s="39" t="s">
        <v>311</v>
      </c>
      <c r="M64" s="722"/>
      <c r="N64" s="722"/>
      <c r="O64" s="722"/>
      <c r="P64" s="722"/>
      <c r="Q64" s="722"/>
      <c r="R64" s="722"/>
      <c r="S64" s="722"/>
      <c r="T64" s="722"/>
      <c r="U64" s="722"/>
      <c r="V64" s="722"/>
      <c r="W64" s="722"/>
      <c r="X64" s="722"/>
      <c r="Y64" s="722"/>
      <c r="Z64" s="722"/>
      <c r="AA64" s="722"/>
      <c r="AB64" s="722"/>
    </row>
    <row r="65" spans="1:28" s="39" customFormat="1" ht="15">
      <c r="M65" s="722"/>
      <c r="N65" s="722"/>
      <c r="O65" s="722"/>
      <c r="P65" s="722"/>
      <c r="Q65" s="722"/>
      <c r="R65" s="722"/>
      <c r="S65" s="722"/>
      <c r="T65" s="722"/>
      <c r="U65" s="722"/>
      <c r="V65" s="722"/>
      <c r="W65" s="722"/>
      <c r="X65" s="722"/>
      <c r="Y65" s="722"/>
      <c r="Z65" s="722"/>
      <c r="AA65" s="722"/>
      <c r="AB65" s="722"/>
    </row>
    <row r="66" spans="1:28" s="39" customFormat="1" ht="15">
      <c r="B66" s="39" t="s">
        <v>312</v>
      </c>
      <c r="C66" s="901" t="s">
        <v>313</v>
      </c>
      <c r="D66" s="901"/>
      <c r="E66" s="901"/>
      <c r="F66" s="901"/>
      <c r="G66" s="901"/>
      <c r="H66" s="901"/>
      <c r="I66" s="901"/>
      <c r="J66" s="901"/>
      <c r="K66" s="901"/>
      <c r="L66" s="901"/>
      <c r="M66" s="722"/>
      <c r="N66" s="722"/>
      <c r="O66" s="722"/>
      <c r="P66" s="722"/>
      <c r="Q66" s="722"/>
      <c r="R66" s="722"/>
      <c r="S66" s="722"/>
      <c r="T66" s="722"/>
      <c r="U66" s="722"/>
      <c r="V66" s="722"/>
      <c r="W66" s="722"/>
      <c r="X66" s="722"/>
      <c r="Y66" s="722"/>
      <c r="Z66" s="722"/>
      <c r="AA66" s="722"/>
      <c r="AB66" s="722"/>
    </row>
    <row r="67" spans="1:28" s="39" customFormat="1" ht="15">
      <c r="C67" s="39" t="s">
        <v>314</v>
      </c>
      <c r="M67" s="722"/>
      <c r="N67" s="722"/>
      <c r="O67" s="722"/>
      <c r="P67" s="722"/>
      <c r="Q67" s="722"/>
      <c r="R67" s="722"/>
      <c r="S67" s="722"/>
      <c r="T67" s="722"/>
      <c r="U67" s="722"/>
      <c r="V67" s="722"/>
      <c r="W67" s="722"/>
      <c r="X67" s="722"/>
      <c r="Y67" s="722"/>
      <c r="Z67" s="722"/>
      <c r="AA67" s="722"/>
      <c r="AB67" s="722"/>
    </row>
    <row r="68" spans="1:28" s="39" customFormat="1" ht="15">
      <c r="M68" s="722"/>
      <c r="N68" s="722"/>
      <c r="O68" s="722"/>
      <c r="P68" s="722"/>
      <c r="Q68" s="722"/>
      <c r="R68" s="722"/>
      <c r="S68" s="722"/>
      <c r="T68" s="722"/>
      <c r="U68" s="722"/>
      <c r="V68" s="722"/>
      <c r="W68" s="722"/>
      <c r="X68" s="722"/>
      <c r="Y68" s="722"/>
      <c r="Z68" s="722"/>
      <c r="AA68" s="722"/>
      <c r="AB68" s="722"/>
    </row>
    <row r="69" spans="1:28" s="39" customFormat="1" ht="15">
      <c r="B69" s="901" t="s">
        <v>315</v>
      </c>
      <c r="C69" s="901"/>
      <c r="D69" s="901"/>
      <c r="E69" s="901"/>
      <c r="F69" s="901"/>
      <c r="G69" s="901"/>
      <c r="H69" s="901"/>
      <c r="I69" s="901"/>
      <c r="J69" s="901"/>
      <c r="K69" s="901"/>
      <c r="L69" s="901"/>
      <c r="M69" s="722"/>
      <c r="N69" s="722"/>
      <c r="O69" s="722"/>
      <c r="P69" s="722"/>
      <c r="Q69" s="722"/>
      <c r="R69" s="722"/>
      <c r="S69" s="722"/>
      <c r="T69" s="722"/>
      <c r="U69" s="722"/>
      <c r="V69" s="722"/>
      <c r="W69" s="722"/>
      <c r="X69" s="722"/>
      <c r="Y69" s="722"/>
      <c r="Z69" s="722"/>
      <c r="AA69" s="722"/>
      <c r="AB69" s="722"/>
    </row>
    <row r="70" spans="1:28" s="39" customFormat="1" ht="15" customHeight="1">
      <c r="B70" s="39" t="s">
        <v>316</v>
      </c>
      <c r="M70" s="722"/>
      <c r="N70" s="722"/>
      <c r="O70" s="722"/>
      <c r="P70" s="722"/>
      <c r="Q70" s="722"/>
      <c r="R70" s="722"/>
      <c r="S70" s="722"/>
      <c r="T70" s="722"/>
      <c r="U70" s="722"/>
      <c r="V70" s="722"/>
      <c r="W70" s="722"/>
      <c r="X70" s="722"/>
      <c r="Y70" s="722"/>
      <c r="Z70" s="722"/>
      <c r="AA70" s="722"/>
      <c r="AB70" s="722"/>
    </row>
    <row r="71" spans="1:28" s="39" customFormat="1" ht="15" customHeight="1">
      <c r="B71" s="39" t="s">
        <v>317</v>
      </c>
      <c r="M71" s="722"/>
      <c r="N71" s="722"/>
      <c r="O71" s="722"/>
      <c r="P71" s="722"/>
      <c r="Q71" s="722"/>
      <c r="R71" s="722"/>
      <c r="S71" s="722"/>
      <c r="T71" s="722"/>
      <c r="U71" s="722"/>
      <c r="V71" s="722"/>
      <c r="W71" s="722"/>
      <c r="X71" s="722"/>
      <c r="Y71" s="722"/>
      <c r="Z71" s="722"/>
      <c r="AA71" s="722"/>
      <c r="AB71" s="722"/>
    </row>
    <row r="72" spans="1:28" s="39" customFormat="1" ht="15">
      <c r="M72" s="722"/>
      <c r="N72" s="722"/>
      <c r="O72" s="722"/>
      <c r="P72" s="722"/>
      <c r="Q72" s="722"/>
      <c r="R72" s="722"/>
      <c r="S72" s="722"/>
      <c r="T72" s="722"/>
      <c r="U72" s="722"/>
      <c r="V72" s="722"/>
      <c r="W72" s="722"/>
      <c r="X72" s="722"/>
      <c r="Y72" s="722"/>
      <c r="Z72" s="722"/>
      <c r="AA72" s="722"/>
      <c r="AB72" s="722"/>
    </row>
    <row r="73" spans="1:28" s="39" customFormat="1" ht="15">
      <c r="M73" s="722"/>
      <c r="N73" s="722"/>
      <c r="O73" s="722"/>
      <c r="P73" s="722"/>
      <c r="Q73" s="722"/>
      <c r="R73" s="722"/>
      <c r="S73" s="722"/>
      <c r="T73" s="722"/>
      <c r="U73" s="722"/>
      <c r="V73" s="722"/>
      <c r="W73" s="722"/>
      <c r="X73" s="722"/>
      <c r="Y73" s="722"/>
      <c r="Z73" s="722"/>
      <c r="AA73" s="722"/>
      <c r="AB73" s="722"/>
    </row>
    <row r="74" spans="1:28" s="39" customFormat="1" ht="15" customHeight="1">
      <c r="A74" s="39">
        <v>3.2</v>
      </c>
      <c r="B74" s="901" t="s">
        <v>318</v>
      </c>
      <c r="C74" s="901"/>
      <c r="D74" s="901"/>
      <c r="E74" s="901"/>
      <c r="F74" s="901"/>
      <c r="G74" s="901"/>
      <c r="H74" s="901"/>
      <c r="I74" s="901"/>
      <c r="J74" s="901"/>
      <c r="K74" s="901"/>
      <c r="L74" s="901"/>
      <c r="M74" s="722"/>
      <c r="N74" s="722"/>
      <c r="O74" s="722"/>
      <c r="P74" s="722"/>
      <c r="Q74" s="722"/>
      <c r="R74" s="722"/>
      <c r="S74" s="722"/>
      <c r="T74" s="722"/>
      <c r="U74" s="722"/>
      <c r="V74" s="722"/>
      <c r="W74" s="722"/>
      <c r="X74" s="722"/>
      <c r="Y74" s="722"/>
      <c r="Z74" s="722"/>
      <c r="AA74" s="722"/>
      <c r="AB74" s="722"/>
    </row>
    <row r="75" spans="1:28" s="39" customFormat="1" ht="15">
      <c r="B75" s="901" t="s">
        <v>319</v>
      </c>
      <c r="C75" s="901"/>
      <c r="D75" s="901"/>
      <c r="E75" s="901"/>
      <c r="F75" s="901"/>
      <c r="G75" s="901"/>
      <c r="H75" s="901"/>
      <c r="I75" s="901"/>
      <c r="J75" s="901"/>
      <c r="K75" s="901"/>
      <c r="L75" s="901"/>
      <c r="M75" s="722"/>
      <c r="N75" s="722"/>
      <c r="O75" s="722"/>
      <c r="P75" s="722"/>
      <c r="Q75" s="722"/>
      <c r="R75" s="722"/>
      <c r="S75" s="722"/>
      <c r="T75" s="722"/>
      <c r="U75" s="722"/>
      <c r="V75" s="722"/>
      <c r="W75" s="722"/>
      <c r="X75" s="722"/>
      <c r="Y75" s="722"/>
      <c r="Z75" s="722"/>
      <c r="AA75" s="722"/>
      <c r="AB75" s="722"/>
    </row>
    <row r="76" spans="1:28" s="39" customFormat="1" ht="15">
      <c r="B76" s="39" t="s">
        <v>320</v>
      </c>
      <c r="M76" s="722"/>
      <c r="N76" s="722"/>
      <c r="O76" s="722"/>
      <c r="P76" s="722"/>
      <c r="Q76" s="722"/>
      <c r="R76" s="722"/>
      <c r="S76" s="722"/>
      <c r="T76" s="722"/>
      <c r="U76" s="722"/>
      <c r="V76" s="722"/>
      <c r="W76" s="722"/>
      <c r="X76" s="722"/>
      <c r="Y76" s="722"/>
      <c r="Z76" s="722"/>
      <c r="AA76" s="722"/>
      <c r="AB76" s="722"/>
    </row>
    <row r="77" spans="1:28" s="39" customFormat="1" ht="15">
      <c r="M77" s="722"/>
      <c r="N77" s="722"/>
      <c r="O77" s="722"/>
      <c r="P77" s="722"/>
      <c r="Q77" s="722"/>
      <c r="R77" s="722"/>
      <c r="S77" s="722"/>
      <c r="T77" s="722"/>
      <c r="U77" s="722"/>
      <c r="V77" s="722"/>
      <c r="W77" s="722"/>
      <c r="X77" s="722"/>
      <c r="Y77" s="722"/>
      <c r="Z77" s="722"/>
      <c r="AA77" s="722"/>
      <c r="AB77" s="722"/>
    </row>
    <row r="78" spans="1:28" s="39" customFormat="1" ht="15">
      <c r="B78" s="39" t="s">
        <v>306</v>
      </c>
      <c r="C78" s="39" t="s">
        <v>321</v>
      </c>
      <c r="M78" s="722"/>
      <c r="N78" s="722"/>
      <c r="O78" s="722"/>
      <c r="P78" s="722"/>
      <c r="Q78" s="722"/>
      <c r="R78" s="722"/>
      <c r="S78" s="722"/>
      <c r="T78" s="722"/>
      <c r="U78" s="722"/>
      <c r="V78" s="722"/>
      <c r="W78" s="722"/>
      <c r="X78" s="722"/>
      <c r="Y78" s="722"/>
      <c r="Z78" s="722"/>
      <c r="AA78" s="722"/>
      <c r="AB78" s="722"/>
    </row>
    <row r="79" spans="1:28" s="39" customFormat="1" ht="15">
      <c r="M79" s="722"/>
      <c r="N79" s="722"/>
      <c r="O79" s="722"/>
      <c r="P79" s="722"/>
      <c r="Q79" s="722"/>
      <c r="R79" s="722"/>
      <c r="S79" s="722"/>
      <c r="T79" s="722"/>
      <c r="U79" s="722"/>
      <c r="V79" s="722"/>
      <c r="W79" s="722"/>
      <c r="X79" s="722"/>
      <c r="Y79" s="722"/>
      <c r="Z79" s="722"/>
      <c r="AA79" s="722"/>
      <c r="AB79" s="722"/>
    </row>
    <row r="80" spans="1:28" s="39" customFormat="1" ht="15">
      <c r="M80" s="722"/>
      <c r="N80" s="722"/>
      <c r="O80" s="722"/>
      <c r="P80" s="722"/>
      <c r="Q80" s="722"/>
      <c r="R80" s="722"/>
      <c r="S80" s="722"/>
      <c r="T80" s="722"/>
      <c r="U80" s="722"/>
      <c r="V80" s="722"/>
      <c r="W80" s="722"/>
      <c r="X80" s="722"/>
      <c r="Y80" s="722"/>
      <c r="Z80" s="722"/>
      <c r="AA80" s="722"/>
      <c r="AB80" s="722"/>
    </row>
    <row r="81" spans="1:28" s="39" customFormat="1" ht="15">
      <c r="B81" s="39" t="s">
        <v>322</v>
      </c>
      <c r="C81" s="39" t="s">
        <v>323</v>
      </c>
      <c r="M81" s="722"/>
      <c r="N81" s="722"/>
      <c r="O81" s="722"/>
      <c r="P81" s="722"/>
      <c r="Q81" s="722"/>
      <c r="R81" s="722"/>
      <c r="S81" s="722"/>
      <c r="T81" s="722"/>
      <c r="U81" s="722"/>
      <c r="V81" s="722"/>
      <c r="W81" s="722"/>
      <c r="X81" s="722"/>
      <c r="Y81" s="722"/>
      <c r="Z81" s="722"/>
      <c r="AA81" s="722"/>
      <c r="AB81" s="722"/>
    </row>
    <row r="82" spans="1:28" s="39" customFormat="1" ht="15">
      <c r="M82" s="722"/>
      <c r="N82" s="722"/>
      <c r="O82" s="722"/>
      <c r="P82" s="722"/>
      <c r="Q82" s="722"/>
      <c r="R82" s="722"/>
      <c r="S82" s="722"/>
      <c r="T82" s="722"/>
      <c r="U82" s="722"/>
      <c r="V82" s="722"/>
      <c r="W82" s="722"/>
      <c r="X82" s="722"/>
      <c r="Y82" s="722"/>
      <c r="Z82" s="722"/>
      <c r="AA82" s="722"/>
      <c r="AB82" s="722"/>
    </row>
    <row r="83" spans="1:28" s="39" customFormat="1">
      <c r="A83" s="46" t="s">
        <v>324</v>
      </c>
      <c r="M83" s="722"/>
      <c r="N83" s="722"/>
      <c r="O83" s="722"/>
      <c r="P83" s="722"/>
      <c r="Q83" s="722"/>
      <c r="R83" s="722"/>
      <c r="S83" s="722"/>
      <c r="T83" s="722"/>
      <c r="U83" s="722"/>
      <c r="V83" s="722"/>
      <c r="W83" s="722"/>
      <c r="X83" s="722"/>
      <c r="Y83" s="722"/>
      <c r="Z83" s="722"/>
      <c r="AA83" s="722"/>
      <c r="AB83" s="722"/>
    </row>
    <row r="84" spans="1:28" s="39" customFormat="1" ht="15">
      <c r="M84" s="722"/>
      <c r="N84" s="722"/>
      <c r="O84" s="722"/>
      <c r="P84" s="722"/>
      <c r="Q84" s="722"/>
      <c r="R84" s="722"/>
      <c r="S84" s="722"/>
      <c r="T84" s="722"/>
      <c r="U84" s="722"/>
      <c r="V84" s="722"/>
      <c r="W84" s="722"/>
      <c r="X84" s="722"/>
      <c r="Y84" s="722"/>
      <c r="Z84" s="722"/>
      <c r="AA84" s="722"/>
      <c r="AB84" s="722"/>
    </row>
    <row r="85" spans="1:28" s="39" customFormat="1" ht="15">
      <c r="A85" s="39">
        <v>4.0999999999999996</v>
      </c>
      <c r="B85" s="901" t="s">
        <v>325</v>
      </c>
      <c r="C85" s="901"/>
      <c r="D85" s="901"/>
      <c r="E85" s="901"/>
      <c r="F85" s="901"/>
      <c r="G85" s="901"/>
      <c r="H85" s="901"/>
      <c r="I85" s="901"/>
      <c r="J85" s="901"/>
      <c r="K85" s="901"/>
      <c r="L85" s="901"/>
      <c r="M85" s="722"/>
      <c r="N85" s="722"/>
      <c r="O85" s="722"/>
      <c r="P85" s="722"/>
      <c r="Q85" s="722"/>
      <c r="R85" s="722"/>
      <c r="S85" s="722"/>
      <c r="T85" s="722"/>
      <c r="U85" s="722"/>
      <c r="V85" s="722"/>
      <c r="W85" s="722"/>
      <c r="X85" s="722"/>
      <c r="Y85" s="722"/>
      <c r="Z85" s="722"/>
      <c r="AA85" s="722"/>
      <c r="AB85" s="722"/>
    </row>
    <row r="86" spans="1:28" s="39" customFormat="1" ht="15">
      <c r="B86" s="901" t="s">
        <v>326</v>
      </c>
      <c r="C86" s="901"/>
      <c r="D86" s="901"/>
      <c r="E86" s="901"/>
      <c r="F86" s="901"/>
      <c r="G86" s="901"/>
      <c r="H86" s="901"/>
      <c r="I86" s="901"/>
      <c r="J86" s="901"/>
      <c r="K86" s="901"/>
      <c r="L86" s="901"/>
      <c r="M86" s="722"/>
      <c r="N86" s="722"/>
      <c r="O86" s="722"/>
      <c r="P86" s="722"/>
      <c r="Q86" s="722"/>
      <c r="R86" s="722"/>
      <c r="S86" s="722"/>
      <c r="T86" s="722"/>
      <c r="U86" s="722"/>
      <c r="V86" s="722"/>
      <c r="W86" s="722"/>
      <c r="X86" s="722"/>
      <c r="Y86" s="722"/>
      <c r="Z86" s="722"/>
      <c r="AA86" s="722"/>
      <c r="AB86" s="722"/>
    </row>
    <row r="87" spans="1:28" s="39" customFormat="1" ht="15">
      <c r="B87" s="901" t="s">
        <v>327</v>
      </c>
      <c r="C87" s="901"/>
      <c r="D87" s="901"/>
      <c r="E87" s="901"/>
      <c r="F87" s="901"/>
      <c r="G87" s="901"/>
      <c r="H87" s="901"/>
      <c r="I87" s="901"/>
      <c r="J87" s="901"/>
      <c r="K87" s="901"/>
      <c r="L87" s="901"/>
      <c r="M87" s="722"/>
      <c r="N87" s="722"/>
      <c r="O87" s="722"/>
      <c r="P87" s="722"/>
      <c r="Q87" s="722"/>
      <c r="R87" s="722"/>
      <c r="S87" s="722"/>
      <c r="T87" s="722"/>
      <c r="U87" s="722"/>
      <c r="V87" s="722"/>
      <c r="W87" s="722"/>
      <c r="X87" s="722"/>
      <c r="Y87" s="722"/>
      <c r="Z87" s="722"/>
      <c r="AA87" s="722"/>
      <c r="AB87" s="722"/>
    </row>
    <row r="88" spans="1:28" s="39" customFormat="1" ht="15">
      <c r="B88" s="901" t="s">
        <v>328</v>
      </c>
      <c r="C88" s="901"/>
      <c r="D88" s="901"/>
      <c r="E88" s="901"/>
      <c r="F88" s="901"/>
      <c r="G88" s="901"/>
      <c r="H88" s="901"/>
      <c r="I88" s="901"/>
      <c r="J88" s="901"/>
      <c r="K88" s="901"/>
      <c r="L88" s="901"/>
      <c r="M88" s="722"/>
      <c r="N88" s="722"/>
      <c r="O88" s="722"/>
      <c r="P88" s="722"/>
      <c r="Q88" s="722"/>
      <c r="R88" s="722"/>
      <c r="S88" s="722"/>
      <c r="T88" s="722"/>
      <c r="U88" s="722"/>
      <c r="V88" s="722"/>
      <c r="W88" s="722"/>
      <c r="X88" s="722"/>
      <c r="Y88" s="722"/>
      <c r="Z88" s="722"/>
      <c r="AA88" s="722"/>
      <c r="AB88" s="722"/>
    </row>
    <row r="89" spans="1:28" s="39" customFormat="1" ht="15">
      <c r="B89" s="901" t="s">
        <v>329</v>
      </c>
      <c r="C89" s="901"/>
      <c r="D89" s="901"/>
      <c r="E89" s="901"/>
      <c r="F89" s="901"/>
      <c r="G89" s="901"/>
      <c r="H89" s="901"/>
      <c r="I89" s="901"/>
      <c r="J89" s="901"/>
      <c r="K89" s="901"/>
      <c r="L89" s="901"/>
      <c r="M89" s="722"/>
      <c r="N89" s="722"/>
      <c r="O89" s="722"/>
      <c r="P89" s="722"/>
      <c r="Q89" s="722"/>
      <c r="R89" s="722"/>
      <c r="S89" s="722"/>
      <c r="T89" s="722"/>
      <c r="U89" s="722"/>
      <c r="V89" s="722"/>
      <c r="W89" s="722"/>
      <c r="X89" s="722"/>
      <c r="Y89" s="722"/>
      <c r="Z89" s="722"/>
      <c r="AA89" s="722"/>
      <c r="AB89" s="722"/>
    </row>
    <row r="90" spans="1:28" s="39" customFormat="1" ht="15">
      <c r="B90" s="901" t="s">
        <v>330</v>
      </c>
      <c r="C90" s="901"/>
      <c r="D90" s="901"/>
      <c r="E90" s="901"/>
      <c r="F90" s="901"/>
      <c r="G90" s="901"/>
      <c r="H90" s="901"/>
      <c r="I90" s="901"/>
      <c r="J90" s="901"/>
      <c r="K90" s="901"/>
      <c r="L90" s="901"/>
      <c r="M90" s="722"/>
      <c r="N90" s="722"/>
      <c r="O90" s="722"/>
      <c r="P90" s="722"/>
      <c r="Q90" s="722"/>
      <c r="R90" s="722"/>
      <c r="S90" s="722"/>
      <c r="T90" s="722"/>
      <c r="U90" s="722"/>
      <c r="V90" s="722"/>
      <c r="W90" s="722"/>
      <c r="X90" s="722"/>
      <c r="Y90" s="722"/>
      <c r="Z90" s="722"/>
      <c r="AA90" s="722"/>
      <c r="AB90" s="722"/>
    </row>
    <row r="91" spans="1:28" s="39" customFormat="1" ht="15">
      <c r="B91" s="901" t="s">
        <v>331</v>
      </c>
      <c r="C91" s="901"/>
      <c r="D91" s="901"/>
      <c r="E91" s="901"/>
      <c r="F91" s="901"/>
      <c r="G91" s="901"/>
      <c r="H91" s="901"/>
      <c r="I91" s="901"/>
      <c r="J91" s="901"/>
      <c r="K91" s="901"/>
      <c r="L91" s="901"/>
      <c r="M91" s="722"/>
      <c r="N91" s="722"/>
      <c r="O91" s="722"/>
      <c r="P91" s="722"/>
      <c r="Q91" s="722"/>
      <c r="R91" s="722"/>
      <c r="S91" s="722"/>
      <c r="T91" s="722"/>
      <c r="U91" s="722"/>
      <c r="V91" s="722"/>
      <c r="W91" s="722"/>
      <c r="X91" s="722"/>
      <c r="Y91" s="722"/>
      <c r="Z91" s="722"/>
      <c r="AA91" s="722"/>
      <c r="AB91" s="722"/>
    </row>
    <row r="92" spans="1:28" s="39" customFormat="1" ht="15">
      <c r="B92" s="901" t="s">
        <v>332</v>
      </c>
      <c r="C92" s="901"/>
      <c r="D92" s="901"/>
      <c r="E92" s="901"/>
      <c r="F92" s="901"/>
      <c r="G92" s="901"/>
      <c r="H92" s="901"/>
      <c r="I92" s="901"/>
      <c r="J92" s="901"/>
      <c r="K92" s="901"/>
      <c r="L92" s="901"/>
      <c r="M92" s="722"/>
      <c r="N92" s="722"/>
      <c r="O92" s="722"/>
      <c r="P92" s="722"/>
      <c r="Q92" s="722"/>
      <c r="R92" s="722"/>
      <c r="S92" s="722"/>
      <c r="T92" s="722"/>
      <c r="U92" s="722"/>
      <c r="V92" s="722"/>
      <c r="W92" s="722"/>
      <c r="X92" s="722"/>
      <c r="Y92" s="722"/>
      <c r="Z92" s="722"/>
      <c r="AA92" s="722"/>
      <c r="AB92" s="722"/>
    </row>
    <row r="93" spans="1:28" s="39" customFormat="1" ht="15" customHeight="1">
      <c r="B93" s="39" t="s">
        <v>333</v>
      </c>
      <c r="M93" s="722"/>
      <c r="N93" s="722"/>
      <c r="O93" s="722"/>
      <c r="P93" s="722"/>
      <c r="Q93" s="722"/>
      <c r="R93" s="722"/>
      <c r="S93" s="722"/>
      <c r="T93" s="722"/>
      <c r="U93" s="722"/>
      <c r="V93" s="722"/>
      <c r="W93" s="722"/>
      <c r="X93" s="722"/>
      <c r="Y93" s="722"/>
      <c r="Z93" s="722"/>
      <c r="AA93" s="722"/>
      <c r="AB93" s="722"/>
    </row>
    <row r="94" spans="1:28" s="39" customFormat="1" ht="15">
      <c r="M94" s="722"/>
      <c r="N94" s="722"/>
      <c r="O94" s="722"/>
      <c r="P94" s="722"/>
      <c r="Q94" s="722"/>
      <c r="R94" s="722"/>
      <c r="S94" s="722"/>
      <c r="T94" s="722"/>
      <c r="U94" s="722"/>
      <c r="V94" s="722"/>
      <c r="W94" s="722"/>
      <c r="X94" s="722"/>
      <c r="Y94" s="722"/>
      <c r="Z94" s="722"/>
      <c r="AA94" s="722"/>
      <c r="AB94" s="722"/>
    </row>
    <row r="95" spans="1:28" s="39" customFormat="1" ht="15">
      <c r="A95" s="39">
        <v>4.2</v>
      </c>
      <c r="B95" s="901" t="s">
        <v>334</v>
      </c>
      <c r="C95" s="901"/>
      <c r="D95" s="901"/>
      <c r="E95" s="901"/>
      <c r="F95" s="901"/>
      <c r="G95" s="901"/>
      <c r="H95" s="901"/>
      <c r="I95" s="901"/>
      <c r="J95" s="901"/>
      <c r="K95" s="901"/>
      <c r="L95" s="901"/>
      <c r="M95" s="722"/>
      <c r="N95" s="722"/>
      <c r="O95" s="722"/>
      <c r="P95" s="722"/>
      <c r="Q95" s="722"/>
      <c r="R95" s="722"/>
      <c r="S95" s="722"/>
      <c r="T95" s="722"/>
      <c r="U95" s="722"/>
      <c r="V95" s="722"/>
      <c r="W95" s="722"/>
      <c r="X95" s="722"/>
      <c r="Y95" s="722"/>
      <c r="Z95" s="722"/>
      <c r="AA95" s="722"/>
      <c r="AB95" s="722"/>
    </row>
    <row r="96" spans="1:28" s="39" customFormat="1" ht="15">
      <c r="B96" s="901" t="s">
        <v>335</v>
      </c>
      <c r="C96" s="901"/>
      <c r="D96" s="901"/>
      <c r="E96" s="901"/>
      <c r="F96" s="901"/>
      <c r="G96" s="901"/>
      <c r="H96" s="901"/>
      <c r="I96" s="901"/>
      <c r="J96" s="901"/>
      <c r="K96" s="901"/>
      <c r="L96" s="901"/>
      <c r="M96" s="722"/>
      <c r="N96" s="722"/>
      <c r="O96" s="722"/>
      <c r="P96" s="722"/>
      <c r="Q96" s="722"/>
      <c r="R96" s="722"/>
      <c r="S96" s="722"/>
      <c r="T96" s="722"/>
      <c r="U96" s="722"/>
      <c r="V96" s="722"/>
      <c r="W96" s="722"/>
      <c r="X96" s="722"/>
      <c r="Y96" s="722"/>
      <c r="Z96" s="722"/>
      <c r="AA96" s="722"/>
      <c r="AB96" s="722"/>
    </row>
    <row r="97" spans="1:28" s="39" customFormat="1" ht="15">
      <c r="B97" s="39" t="s">
        <v>336</v>
      </c>
      <c r="M97" s="722"/>
      <c r="N97" s="722"/>
      <c r="O97" s="722"/>
      <c r="P97" s="722"/>
      <c r="Q97" s="722"/>
      <c r="R97" s="722"/>
      <c r="S97" s="722"/>
      <c r="T97" s="722"/>
      <c r="U97" s="722"/>
      <c r="V97" s="722"/>
      <c r="W97" s="722"/>
      <c r="X97" s="722"/>
      <c r="Y97" s="722"/>
      <c r="Z97" s="722"/>
      <c r="AA97" s="722"/>
      <c r="AB97" s="722"/>
    </row>
    <row r="98" spans="1:28" s="39" customFormat="1" ht="15">
      <c r="M98" s="722"/>
      <c r="N98" s="722"/>
      <c r="O98" s="722"/>
      <c r="P98" s="722"/>
      <c r="Q98" s="722"/>
      <c r="R98" s="722"/>
      <c r="S98" s="722"/>
      <c r="T98" s="722"/>
      <c r="U98" s="722"/>
      <c r="V98" s="722"/>
      <c r="W98" s="722"/>
      <c r="X98" s="722"/>
      <c r="Y98" s="722"/>
      <c r="Z98" s="722"/>
      <c r="AA98" s="722"/>
      <c r="AB98" s="722"/>
    </row>
    <row r="99" spans="1:28" s="39" customFormat="1" ht="15">
      <c r="A99" s="39">
        <v>4.3</v>
      </c>
      <c r="B99" s="39" t="s">
        <v>337</v>
      </c>
      <c r="M99" s="722"/>
      <c r="N99" s="722"/>
      <c r="O99" s="722"/>
      <c r="P99" s="722"/>
      <c r="Q99" s="722"/>
      <c r="R99" s="722"/>
      <c r="S99" s="722"/>
      <c r="T99" s="722"/>
      <c r="U99" s="722"/>
      <c r="V99" s="722"/>
      <c r="W99" s="722"/>
      <c r="X99" s="722"/>
      <c r="Y99" s="722"/>
      <c r="Z99" s="722"/>
      <c r="AA99" s="722"/>
      <c r="AB99" s="722"/>
    </row>
    <row r="100" spans="1:28" s="39" customFormat="1" ht="15">
      <c r="M100" s="722"/>
      <c r="N100" s="722"/>
      <c r="O100" s="722"/>
      <c r="P100" s="722"/>
      <c r="Q100" s="722"/>
      <c r="R100" s="722"/>
      <c r="S100" s="722"/>
      <c r="T100" s="722"/>
      <c r="U100" s="722"/>
      <c r="V100" s="722"/>
      <c r="W100" s="722"/>
      <c r="X100" s="722"/>
      <c r="Y100" s="722"/>
      <c r="Z100" s="722"/>
      <c r="AA100" s="722"/>
      <c r="AB100" s="722"/>
    </row>
    <row r="101" spans="1:28" s="39" customFormat="1" ht="15">
      <c r="M101" s="722"/>
      <c r="N101" s="722"/>
      <c r="O101" s="722"/>
      <c r="P101" s="722"/>
      <c r="Q101" s="722"/>
      <c r="R101" s="722"/>
      <c r="S101" s="722"/>
      <c r="T101" s="722"/>
      <c r="U101" s="722"/>
      <c r="V101" s="722"/>
      <c r="W101" s="722"/>
      <c r="X101" s="722"/>
      <c r="Y101" s="722"/>
      <c r="Z101" s="722"/>
      <c r="AA101" s="722"/>
      <c r="AB101" s="722"/>
    </row>
    <row r="102" spans="1:28">
      <c r="A102" s="41"/>
      <c r="L102" s="45" t="s">
        <v>338</v>
      </c>
    </row>
    <row r="103" spans="1:28">
      <c r="A103" s="900" t="str">
        <f>+CONCATENATE(M50,Control!D142)</f>
        <v>Address:Unit 402, 4/F., Fourseas Building, No. 208 Nathan Road, Kowloon</v>
      </c>
      <c r="B103" s="900"/>
      <c r="C103" s="900"/>
      <c r="D103" s="900"/>
      <c r="E103" s="900"/>
      <c r="F103" s="900"/>
      <c r="G103" s="900"/>
      <c r="H103" s="900"/>
      <c r="I103" s="900"/>
      <c r="J103" s="900"/>
      <c r="K103" s="900"/>
      <c r="L103" s="900"/>
    </row>
    <row r="104" spans="1:28" ht="22.5">
      <c r="A104" s="899" t="str">
        <f>+A1</f>
        <v>Matthew S.H. Law Certified Public Accountant (Practising)</v>
      </c>
      <c r="B104" s="899"/>
      <c r="C104" s="899"/>
      <c r="D104" s="899"/>
      <c r="E104" s="899"/>
      <c r="F104" s="899"/>
      <c r="G104" s="899"/>
      <c r="H104" s="899"/>
      <c r="I104" s="899"/>
      <c r="J104" s="899"/>
      <c r="K104" s="899"/>
      <c r="L104" s="899"/>
    </row>
    <row r="106" spans="1:28" s="39" customFormat="1" ht="15">
      <c r="B106" s="901" t="s">
        <v>339</v>
      </c>
      <c r="C106" s="901"/>
      <c r="D106" s="901"/>
      <c r="E106" s="901"/>
      <c r="F106" s="901"/>
      <c r="G106" s="901"/>
      <c r="H106" s="901"/>
      <c r="I106" s="901"/>
      <c r="J106" s="901"/>
      <c r="K106" s="901"/>
      <c r="L106" s="901"/>
      <c r="M106" s="722"/>
      <c r="N106" s="722"/>
      <c r="O106" s="722"/>
      <c r="P106" s="722"/>
      <c r="Q106" s="722"/>
      <c r="R106" s="722"/>
      <c r="S106" s="722"/>
      <c r="T106" s="722"/>
      <c r="U106" s="722"/>
      <c r="V106" s="722"/>
      <c r="W106" s="722"/>
      <c r="X106" s="722"/>
      <c r="Y106" s="722"/>
      <c r="Z106" s="722"/>
      <c r="AA106" s="722"/>
      <c r="AB106" s="722"/>
    </row>
    <row r="107" spans="1:28" s="39" customFormat="1" ht="15">
      <c r="B107" s="901" t="s">
        <v>340</v>
      </c>
      <c r="C107" s="901"/>
      <c r="D107" s="901"/>
      <c r="E107" s="901"/>
      <c r="F107" s="901"/>
      <c r="G107" s="901"/>
      <c r="H107" s="901"/>
      <c r="I107" s="901"/>
      <c r="J107" s="901"/>
      <c r="K107" s="901"/>
      <c r="L107" s="901"/>
      <c r="M107" s="722"/>
      <c r="N107" s="722"/>
      <c r="O107" s="722"/>
      <c r="P107" s="722"/>
      <c r="Q107" s="722"/>
      <c r="R107" s="722"/>
      <c r="S107" s="722"/>
      <c r="T107" s="722"/>
      <c r="U107" s="722"/>
      <c r="V107" s="722"/>
      <c r="W107" s="722"/>
      <c r="X107" s="722"/>
      <c r="Y107" s="722"/>
      <c r="Z107" s="722"/>
      <c r="AA107" s="722"/>
      <c r="AB107" s="722"/>
    </row>
    <row r="108" spans="1:28" s="39" customFormat="1" ht="15">
      <c r="B108" s="901" t="s">
        <v>341</v>
      </c>
      <c r="C108" s="901"/>
      <c r="D108" s="901"/>
      <c r="E108" s="901"/>
      <c r="F108" s="901"/>
      <c r="G108" s="901"/>
      <c r="H108" s="901"/>
      <c r="I108" s="901"/>
      <c r="J108" s="901"/>
      <c r="K108" s="901"/>
      <c r="L108" s="901"/>
      <c r="M108" s="722"/>
      <c r="N108" s="722"/>
      <c r="O108" s="722"/>
      <c r="P108" s="722"/>
      <c r="Q108" s="722"/>
      <c r="R108" s="722"/>
      <c r="S108" s="722"/>
      <c r="T108" s="722"/>
      <c r="U108" s="722"/>
      <c r="V108" s="722"/>
      <c r="W108" s="722"/>
      <c r="X108" s="722"/>
      <c r="Y108" s="722"/>
      <c r="Z108" s="722"/>
      <c r="AA108" s="722"/>
      <c r="AB108" s="722"/>
    </row>
    <row r="109" spans="1:28" s="39" customFormat="1" ht="15">
      <c r="B109" s="901" t="s">
        <v>342</v>
      </c>
      <c r="C109" s="901"/>
      <c r="D109" s="901"/>
      <c r="E109" s="901"/>
      <c r="F109" s="901"/>
      <c r="G109" s="901"/>
      <c r="H109" s="901"/>
      <c r="I109" s="901"/>
      <c r="J109" s="901"/>
      <c r="K109" s="901"/>
      <c r="L109" s="901"/>
      <c r="M109" s="722"/>
      <c r="N109" s="722"/>
      <c r="O109" s="722"/>
      <c r="P109" s="722"/>
      <c r="Q109" s="722"/>
      <c r="R109" s="722"/>
      <c r="S109" s="722"/>
      <c r="T109" s="722"/>
      <c r="U109" s="722"/>
      <c r="V109" s="722"/>
      <c r="W109" s="722"/>
      <c r="X109" s="722"/>
      <c r="Y109" s="722"/>
      <c r="Z109" s="722"/>
      <c r="AA109" s="722"/>
      <c r="AB109" s="722"/>
    </row>
    <row r="110" spans="1:28" s="39" customFormat="1" ht="15">
      <c r="B110" s="901" t="s">
        <v>343</v>
      </c>
      <c r="C110" s="901"/>
      <c r="D110" s="901"/>
      <c r="E110" s="901"/>
      <c r="F110" s="901"/>
      <c r="G110" s="901"/>
      <c r="H110" s="901"/>
      <c r="I110" s="901"/>
      <c r="J110" s="901"/>
      <c r="K110" s="901"/>
      <c r="L110" s="901"/>
      <c r="M110" s="722"/>
      <c r="N110" s="722"/>
      <c r="O110" s="722"/>
      <c r="P110" s="722"/>
      <c r="Q110" s="722"/>
      <c r="R110" s="722"/>
      <c r="S110" s="722"/>
      <c r="T110" s="722"/>
      <c r="U110" s="722"/>
      <c r="V110" s="722"/>
      <c r="W110" s="722"/>
      <c r="X110" s="722"/>
      <c r="Y110" s="722"/>
      <c r="Z110" s="722"/>
      <c r="AA110" s="722"/>
      <c r="AB110" s="722"/>
    </row>
    <row r="111" spans="1:28" s="39" customFormat="1" ht="15">
      <c r="B111" s="901" t="s">
        <v>344</v>
      </c>
      <c r="C111" s="901"/>
      <c r="D111" s="901"/>
      <c r="E111" s="901"/>
      <c r="F111" s="901"/>
      <c r="G111" s="901"/>
      <c r="H111" s="901"/>
      <c r="I111" s="901"/>
      <c r="J111" s="901"/>
      <c r="K111" s="901"/>
      <c r="L111" s="901"/>
      <c r="M111" s="722"/>
      <c r="N111" s="722"/>
      <c r="O111" s="722"/>
      <c r="P111" s="722"/>
      <c r="Q111" s="722"/>
      <c r="R111" s="722"/>
      <c r="S111" s="722"/>
      <c r="T111" s="722"/>
      <c r="U111" s="722"/>
      <c r="V111" s="722"/>
      <c r="W111" s="722"/>
      <c r="X111" s="722"/>
      <c r="Y111" s="722"/>
      <c r="Z111" s="722"/>
      <c r="AA111" s="722"/>
      <c r="AB111" s="722"/>
    </row>
    <row r="112" spans="1:28" s="39" customFormat="1" ht="15" customHeight="1">
      <c r="B112" s="39" t="s">
        <v>345</v>
      </c>
      <c r="M112" s="722"/>
      <c r="N112" s="722"/>
      <c r="O112" s="722"/>
      <c r="P112" s="722"/>
      <c r="Q112" s="722"/>
      <c r="R112" s="722"/>
      <c r="S112" s="722"/>
      <c r="T112" s="722"/>
      <c r="U112" s="722"/>
      <c r="V112" s="722"/>
      <c r="W112" s="722"/>
      <c r="X112" s="722"/>
      <c r="Y112" s="722"/>
      <c r="Z112" s="722"/>
      <c r="AA112" s="722"/>
      <c r="AB112" s="722"/>
    </row>
    <row r="113" spans="1:28" s="39" customFormat="1" ht="15">
      <c r="M113" s="722"/>
      <c r="N113" s="722"/>
      <c r="O113" s="722"/>
      <c r="P113" s="722"/>
      <c r="Q113" s="722"/>
      <c r="R113" s="722"/>
      <c r="S113" s="722"/>
      <c r="T113" s="722"/>
      <c r="U113" s="722"/>
      <c r="V113" s="722"/>
      <c r="W113" s="722"/>
      <c r="X113" s="722"/>
      <c r="Y113" s="722"/>
      <c r="Z113" s="722"/>
      <c r="AA113" s="722"/>
      <c r="AB113" s="722"/>
    </row>
    <row r="114" spans="1:28" s="39" customFormat="1" ht="15">
      <c r="A114" s="39">
        <v>4.4000000000000004</v>
      </c>
      <c r="B114" s="901" t="s">
        <v>346</v>
      </c>
      <c r="C114" s="901"/>
      <c r="D114" s="901"/>
      <c r="E114" s="901"/>
      <c r="F114" s="901"/>
      <c r="G114" s="901"/>
      <c r="H114" s="901"/>
      <c r="I114" s="901"/>
      <c r="J114" s="901"/>
      <c r="K114" s="901"/>
      <c r="L114" s="901"/>
      <c r="M114" s="722"/>
      <c r="N114" s="722"/>
      <c r="O114" s="722"/>
      <c r="P114" s="722"/>
      <c r="Q114" s="722"/>
      <c r="R114" s="722"/>
      <c r="S114" s="722"/>
      <c r="T114" s="722"/>
      <c r="U114" s="722"/>
      <c r="V114" s="722"/>
      <c r="W114" s="722"/>
      <c r="X114" s="722"/>
      <c r="Y114" s="722"/>
      <c r="Z114" s="722"/>
      <c r="AA114" s="722"/>
      <c r="AB114" s="722"/>
    </row>
    <row r="115" spans="1:28" s="39" customFormat="1" ht="15">
      <c r="B115" s="901" t="s">
        <v>347</v>
      </c>
      <c r="C115" s="901"/>
      <c r="D115" s="901"/>
      <c r="E115" s="901"/>
      <c r="F115" s="901"/>
      <c r="G115" s="901"/>
      <c r="H115" s="901"/>
      <c r="I115" s="901"/>
      <c r="J115" s="901"/>
      <c r="K115" s="901"/>
      <c r="L115" s="901"/>
      <c r="M115" s="722"/>
      <c r="N115" s="722"/>
      <c r="O115" s="722"/>
      <c r="P115" s="722"/>
      <c r="Q115" s="722"/>
      <c r="R115" s="722"/>
      <c r="S115" s="722"/>
      <c r="T115" s="722"/>
      <c r="U115" s="722"/>
      <c r="V115" s="722"/>
      <c r="W115" s="722"/>
      <c r="X115" s="722"/>
      <c r="Y115" s="722"/>
      <c r="Z115" s="722"/>
      <c r="AA115" s="722"/>
      <c r="AB115" s="722"/>
    </row>
    <row r="116" spans="1:28" s="39" customFormat="1" ht="15">
      <c r="B116" s="39" t="s">
        <v>348</v>
      </c>
      <c r="M116" s="722"/>
      <c r="N116" s="722"/>
      <c r="O116" s="722"/>
      <c r="P116" s="722"/>
      <c r="Q116" s="722"/>
      <c r="R116" s="722"/>
      <c r="S116" s="722"/>
      <c r="T116" s="722"/>
      <c r="U116" s="722"/>
      <c r="V116" s="722"/>
      <c r="W116" s="722"/>
      <c r="X116" s="722"/>
      <c r="Y116" s="722"/>
      <c r="Z116" s="722"/>
      <c r="AA116" s="722"/>
      <c r="AB116" s="722"/>
    </row>
    <row r="117" spans="1:28" s="39" customFormat="1" ht="15">
      <c r="M117" s="722"/>
      <c r="N117" s="722"/>
      <c r="O117" s="722"/>
      <c r="P117" s="722"/>
      <c r="Q117" s="722"/>
      <c r="R117" s="722"/>
      <c r="S117" s="722"/>
      <c r="T117" s="722"/>
      <c r="U117" s="722"/>
      <c r="V117" s="722"/>
      <c r="W117" s="722"/>
      <c r="X117" s="722"/>
      <c r="Y117" s="722"/>
      <c r="Z117" s="722"/>
      <c r="AA117" s="722"/>
      <c r="AB117" s="722"/>
    </row>
    <row r="118" spans="1:28" s="39" customFormat="1" ht="15">
      <c r="A118" s="39">
        <v>4.5</v>
      </c>
      <c r="B118" s="901" t="s">
        <v>349</v>
      </c>
      <c r="C118" s="901"/>
      <c r="D118" s="901"/>
      <c r="E118" s="901"/>
      <c r="F118" s="901"/>
      <c r="G118" s="901"/>
      <c r="H118" s="901"/>
      <c r="I118" s="901"/>
      <c r="J118" s="901"/>
      <c r="K118" s="901"/>
      <c r="L118" s="901"/>
      <c r="M118" s="722"/>
      <c r="N118" s="722"/>
      <c r="O118" s="722"/>
      <c r="P118" s="722"/>
      <c r="Q118" s="722"/>
      <c r="R118" s="722"/>
      <c r="S118" s="722"/>
      <c r="T118" s="722"/>
      <c r="U118" s="722"/>
      <c r="V118" s="722"/>
      <c r="W118" s="722"/>
      <c r="X118" s="722"/>
      <c r="Y118" s="722"/>
      <c r="Z118" s="722"/>
      <c r="AA118" s="722"/>
      <c r="AB118" s="722"/>
    </row>
    <row r="119" spans="1:28" s="39" customFormat="1" ht="15">
      <c r="B119" s="901" t="s">
        <v>350</v>
      </c>
      <c r="C119" s="901"/>
      <c r="D119" s="901"/>
      <c r="E119" s="901"/>
      <c r="F119" s="901"/>
      <c r="G119" s="901"/>
      <c r="H119" s="901"/>
      <c r="I119" s="901"/>
      <c r="J119" s="901"/>
      <c r="K119" s="901"/>
      <c r="L119" s="901"/>
      <c r="M119" s="722"/>
      <c r="N119" s="722"/>
      <c r="O119" s="722"/>
      <c r="P119" s="722"/>
      <c r="Q119" s="722"/>
      <c r="R119" s="722"/>
      <c r="S119" s="722"/>
      <c r="T119" s="722"/>
      <c r="U119" s="722"/>
      <c r="V119" s="722"/>
      <c r="W119" s="722"/>
      <c r="X119" s="722"/>
      <c r="Y119" s="722"/>
      <c r="Z119" s="722"/>
      <c r="AA119" s="722"/>
      <c r="AB119" s="722"/>
    </row>
    <row r="120" spans="1:28" s="39" customFormat="1" ht="15">
      <c r="B120" s="901" t="s">
        <v>351</v>
      </c>
      <c r="C120" s="901"/>
      <c r="D120" s="901"/>
      <c r="E120" s="901"/>
      <c r="F120" s="901"/>
      <c r="G120" s="901"/>
      <c r="H120" s="901"/>
      <c r="I120" s="901"/>
      <c r="J120" s="901"/>
      <c r="K120" s="901"/>
      <c r="L120" s="901"/>
      <c r="M120" s="722"/>
      <c r="N120" s="722"/>
      <c r="O120" s="722"/>
      <c r="P120" s="722"/>
      <c r="Q120" s="722"/>
      <c r="R120" s="722"/>
      <c r="S120" s="722"/>
      <c r="T120" s="722"/>
      <c r="U120" s="722"/>
      <c r="V120" s="722"/>
      <c r="W120" s="722"/>
      <c r="X120" s="722"/>
      <c r="Y120" s="722"/>
      <c r="Z120" s="722"/>
      <c r="AA120" s="722"/>
      <c r="AB120" s="722"/>
    </row>
    <row r="121" spans="1:28" s="39" customFormat="1" ht="15">
      <c r="B121" s="39" t="s">
        <v>352</v>
      </c>
      <c r="M121" s="722"/>
      <c r="N121" s="722"/>
      <c r="O121" s="722"/>
      <c r="P121" s="722"/>
      <c r="Q121" s="722"/>
      <c r="R121" s="722"/>
      <c r="S121" s="722"/>
      <c r="T121" s="722"/>
      <c r="U121" s="722"/>
      <c r="V121" s="722"/>
      <c r="W121" s="722"/>
      <c r="X121" s="722"/>
      <c r="Y121" s="722"/>
      <c r="Z121" s="722"/>
      <c r="AA121" s="722"/>
      <c r="AB121" s="722"/>
    </row>
    <row r="122" spans="1:28" s="39" customFormat="1" ht="15">
      <c r="M122" s="722"/>
      <c r="N122" s="722"/>
      <c r="O122" s="722"/>
      <c r="P122" s="722"/>
      <c r="Q122" s="722"/>
      <c r="R122" s="722"/>
      <c r="S122" s="722"/>
      <c r="T122" s="722"/>
      <c r="U122" s="722"/>
      <c r="V122" s="722"/>
      <c r="W122" s="722"/>
      <c r="X122" s="722"/>
      <c r="Y122" s="722"/>
      <c r="Z122" s="722"/>
      <c r="AA122" s="722"/>
      <c r="AB122" s="722"/>
    </row>
    <row r="123" spans="1:28" s="39" customFormat="1" ht="15">
      <c r="A123" s="39">
        <v>4.5999999999999996</v>
      </c>
      <c r="B123" s="901" t="s">
        <v>353</v>
      </c>
      <c r="C123" s="901"/>
      <c r="D123" s="901"/>
      <c r="E123" s="901"/>
      <c r="F123" s="901"/>
      <c r="G123" s="901"/>
      <c r="H123" s="901"/>
      <c r="I123" s="901"/>
      <c r="J123" s="901"/>
      <c r="K123" s="901"/>
      <c r="L123" s="901"/>
      <c r="M123" s="722"/>
      <c r="N123" s="722"/>
      <c r="O123" s="722"/>
      <c r="P123" s="722"/>
      <c r="Q123" s="722"/>
      <c r="R123" s="722"/>
      <c r="S123" s="722"/>
      <c r="T123" s="722"/>
      <c r="U123" s="722"/>
      <c r="V123" s="722"/>
      <c r="W123" s="722"/>
      <c r="X123" s="722"/>
      <c r="Y123" s="722"/>
      <c r="Z123" s="722"/>
      <c r="AA123" s="722"/>
      <c r="AB123" s="722"/>
    </row>
    <row r="124" spans="1:28" s="39" customFormat="1" ht="15">
      <c r="B124" s="901" t="s">
        <v>354</v>
      </c>
      <c r="C124" s="901"/>
      <c r="D124" s="901"/>
      <c r="E124" s="901"/>
      <c r="F124" s="901"/>
      <c r="G124" s="901"/>
      <c r="H124" s="901"/>
      <c r="I124" s="901"/>
      <c r="J124" s="901"/>
      <c r="K124" s="901"/>
      <c r="L124" s="901"/>
      <c r="M124" s="722"/>
      <c r="N124" s="722"/>
      <c r="O124" s="722"/>
      <c r="P124" s="722"/>
      <c r="Q124" s="722"/>
      <c r="R124" s="722"/>
      <c r="S124" s="722"/>
      <c r="T124" s="722"/>
      <c r="U124" s="722"/>
      <c r="V124" s="722"/>
      <c r="W124" s="722"/>
      <c r="X124" s="722"/>
      <c r="Y124" s="722"/>
      <c r="Z124" s="722"/>
      <c r="AA124" s="722"/>
      <c r="AB124" s="722"/>
    </row>
    <row r="125" spans="1:28" s="39" customFormat="1" ht="15">
      <c r="B125" s="901" t="s">
        <v>355</v>
      </c>
      <c r="C125" s="901"/>
      <c r="D125" s="901"/>
      <c r="E125" s="901"/>
      <c r="F125" s="901"/>
      <c r="G125" s="901"/>
      <c r="H125" s="901"/>
      <c r="I125" s="901"/>
      <c r="J125" s="901"/>
      <c r="K125" s="901"/>
      <c r="L125" s="901"/>
      <c r="M125" s="722"/>
      <c r="N125" s="722"/>
      <c r="O125" s="722"/>
      <c r="P125" s="722"/>
      <c r="Q125" s="722"/>
      <c r="R125" s="722"/>
      <c r="S125" s="722"/>
      <c r="T125" s="722"/>
      <c r="U125" s="722"/>
      <c r="V125" s="722"/>
      <c r="W125" s="722"/>
      <c r="X125" s="722"/>
      <c r="Y125" s="722"/>
      <c r="Z125" s="722"/>
      <c r="AA125" s="722"/>
      <c r="AB125" s="722"/>
    </row>
    <row r="126" spans="1:28" s="39" customFormat="1" ht="15">
      <c r="B126" s="901" t="s">
        <v>356</v>
      </c>
      <c r="C126" s="901"/>
      <c r="D126" s="901"/>
      <c r="E126" s="901"/>
      <c r="F126" s="901"/>
      <c r="G126" s="901"/>
      <c r="H126" s="901"/>
      <c r="I126" s="901"/>
      <c r="J126" s="901"/>
      <c r="K126" s="901"/>
      <c r="L126" s="901"/>
      <c r="M126" s="722"/>
      <c r="N126" s="722"/>
      <c r="O126" s="722"/>
      <c r="P126" s="722"/>
      <c r="Q126" s="722"/>
      <c r="R126" s="722"/>
      <c r="S126" s="722"/>
      <c r="T126" s="722"/>
      <c r="U126" s="722"/>
      <c r="V126" s="722"/>
      <c r="W126" s="722"/>
      <c r="X126" s="722"/>
      <c r="Y126" s="722"/>
      <c r="Z126" s="722"/>
      <c r="AA126" s="722"/>
      <c r="AB126" s="722"/>
    </row>
    <row r="127" spans="1:28" s="39" customFormat="1" ht="15">
      <c r="B127" s="901" t="s">
        <v>357</v>
      </c>
      <c r="C127" s="901"/>
      <c r="D127" s="901"/>
      <c r="E127" s="901"/>
      <c r="F127" s="901"/>
      <c r="G127" s="901"/>
      <c r="H127" s="901"/>
      <c r="I127" s="901"/>
      <c r="J127" s="901"/>
      <c r="K127" s="901"/>
      <c r="L127" s="901"/>
      <c r="M127" s="722"/>
      <c r="N127" s="722"/>
      <c r="O127" s="722"/>
      <c r="P127" s="722"/>
      <c r="Q127" s="722"/>
      <c r="R127" s="722"/>
      <c r="S127" s="722"/>
      <c r="T127" s="722"/>
      <c r="U127" s="722"/>
      <c r="V127" s="722"/>
      <c r="W127" s="722"/>
      <c r="X127" s="722"/>
      <c r="Y127" s="722"/>
      <c r="Z127" s="722"/>
      <c r="AA127" s="722"/>
      <c r="AB127" s="722"/>
    </row>
    <row r="128" spans="1:28" s="39" customFormat="1" ht="15">
      <c r="B128" s="39" t="s">
        <v>358</v>
      </c>
      <c r="M128" s="722"/>
      <c r="N128" s="722"/>
      <c r="O128" s="722"/>
      <c r="P128" s="722"/>
      <c r="Q128" s="722"/>
      <c r="R128" s="722"/>
      <c r="S128" s="722"/>
      <c r="T128" s="722"/>
      <c r="U128" s="722"/>
      <c r="V128" s="722"/>
      <c r="W128" s="722"/>
      <c r="X128" s="722"/>
      <c r="Y128" s="722"/>
      <c r="Z128" s="722"/>
      <c r="AA128" s="722"/>
      <c r="AB128" s="722"/>
    </row>
    <row r="129" spans="1:28" s="39" customFormat="1" ht="15">
      <c r="M129" s="722"/>
      <c r="N129" s="722"/>
      <c r="O129" s="722"/>
      <c r="P129" s="722"/>
      <c r="Q129" s="722"/>
      <c r="R129" s="722"/>
      <c r="S129" s="722"/>
      <c r="T129" s="722"/>
      <c r="U129" s="722"/>
      <c r="V129" s="722"/>
      <c r="W129" s="722"/>
      <c r="X129" s="722"/>
      <c r="Y129" s="722"/>
      <c r="Z129" s="722"/>
      <c r="AA129" s="722"/>
      <c r="AB129" s="722"/>
    </row>
    <row r="130" spans="1:28" s="39" customFormat="1" ht="15">
      <c r="A130" s="39">
        <v>4.7</v>
      </c>
      <c r="B130" s="901" t="s">
        <v>359</v>
      </c>
      <c r="C130" s="901"/>
      <c r="D130" s="901"/>
      <c r="E130" s="901"/>
      <c r="F130" s="901"/>
      <c r="G130" s="901"/>
      <c r="H130" s="901"/>
      <c r="I130" s="901"/>
      <c r="J130" s="901"/>
      <c r="K130" s="901"/>
      <c r="L130" s="901"/>
      <c r="M130" s="722"/>
      <c r="N130" s="722"/>
      <c r="O130" s="722"/>
      <c r="P130" s="722"/>
      <c r="Q130" s="722"/>
      <c r="R130" s="722"/>
      <c r="S130" s="722"/>
      <c r="T130" s="722"/>
      <c r="U130" s="722"/>
      <c r="V130" s="722"/>
      <c r="W130" s="722"/>
      <c r="X130" s="722"/>
      <c r="Y130" s="722"/>
      <c r="Z130" s="722"/>
      <c r="AA130" s="722"/>
      <c r="AB130" s="722"/>
    </row>
    <row r="131" spans="1:28" s="39" customFormat="1" ht="15">
      <c r="B131" s="39" t="s">
        <v>360</v>
      </c>
      <c r="M131" s="722"/>
      <c r="N131" s="722"/>
      <c r="O131" s="722"/>
      <c r="P131" s="722"/>
      <c r="Q131" s="722"/>
      <c r="R131" s="722"/>
      <c r="S131" s="722"/>
      <c r="T131" s="722"/>
      <c r="U131" s="722"/>
      <c r="V131" s="722"/>
      <c r="W131" s="722"/>
      <c r="X131" s="722"/>
      <c r="Y131" s="722"/>
      <c r="Z131" s="722"/>
      <c r="AA131" s="722"/>
      <c r="AB131" s="722"/>
    </row>
    <row r="132" spans="1:28" s="39" customFormat="1" ht="15">
      <c r="M132" s="722"/>
      <c r="N132" s="722"/>
      <c r="O132" s="722"/>
      <c r="P132" s="722"/>
      <c r="Q132" s="722"/>
      <c r="R132" s="722"/>
      <c r="S132" s="722"/>
      <c r="T132" s="722"/>
      <c r="U132" s="722"/>
      <c r="V132" s="722"/>
      <c r="W132" s="722"/>
      <c r="X132" s="722"/>
      <c r="Y132" s="722"/>
      <c r="Z132" s="722"/>
      <c r="AA132" s="722"/>
      <c r="AB132" s="722"/>
    </row>
    <row r="133" spans="1:28" s="39" customFormat="1" ht="15">
      <c r="A133" s="39">
        <v>4.8</v>
      </c>
      <c r="B133" s="901" t="s">
        <v>361</v>
      </c>
      <c r="C133" s="901"/>
      <c r="D133" s="901"/>
      <c r="E133" s="901"/>
      <c r="F133" s="901"/>
      <c r="G133" s="901"/>
      <c r="H133" s="901"/>
      <c r="I133" s="901"/>
      <c r="J133" s="901"/>
      <c r="K133" s="901"/>
      <c r="L133" s="901"/>
      <c r="M133" s="722"/>
      <c r="N133" s="722"/>
      <c r="O133" s="722"/>
      <c r="P133" s="722"/>
      <c r="Q133" s="722"/>
      <c r="R133" s="722"/>
      <c r="S133" s="722"/>
      <c r="T133" s="722"/>
      <c r="U133" s="722"/>
      <c r="V133" s="722"/>
      <c r="W133" s="722"/>
      <c r="X133" s="722"/>
      <c r="Y133" s="722"/>
      <c r="Z133" s="722"/>
      <c r="AA133" s="722"/>
      <c r="AB133" s="722"/>
    </row>
    <row r="134" spans="1:28" s="39" customFormat="1" ht="15">
      <c r="B134" s="901" t="s">
        <v>362</v>
      </c>
      <c r="C134" s="901"/>
      <c r="D134" s="901"/>
      <c r="E134" s="901"/>
      <c r="F134" s="901"/>
      <c r="G134" s="901"/>
      <c r="H134" s="901"/>
      <c r="I134" s="901"/>
      <c r="J134" s="901"/>
      <c r="K134" s="901"/>
      <c r="L134" s="901"/>
      <c r="M134" s="722"/>
      <c r="N134" s="722"/>
      <c r="O134" s="722"/>
      <c r="P134" s="722"/>
      <c r="Q134" s="722"/>
      <c r="R134" s="722"/>
      <c r="S134" s="722"/>
      <c r="T134" s="722"/>
      <c r="U134" s="722"/>
      <c r="V134" s="722"/>
      <c r="W134" s="722"/>
      <c r="X134" s="722"/>
      <c r="Y134" s="722"/>
      <c r="Z134" s="722"/>
      <c r="AA134" s="722"/>
      <c r="AB134" s="722"/>
    </row>
    <row r="135" spans="1:28" s="39" customFormat="1" ht="15">
      <c r="B135" s="901" t="s">
        <v>363</v>
      </c>
      <c r="C135" s="901"/>
      <c r="D135" s="901"/>
      <c r="E135" s="901"/>
      <c r="F135" s="901"/>
      <c r="G135" s="901"/>
      <c r="H135" s="901"/>
      <c r="I135" s="901"/>
      <c r="J135" s="901"/>
      <c r="K135" s="901"/>
      <c r="L135" s="901"/>
      <c r="M135" s="722"/>
      <c r="N135" s="722"/>
      <c r="O135" s="722"/>
      <c r="P135" s="722"/>
      <c r="Q135" s="722"/>
      <c r="R135" s="722"/>
      <c r="S135" s="722"/>
      <c r="T135" s="722"/>
      <c r="U135" s="722"/>
      <c r="V135" s="722"/>
      <c r="W135" s="722"/>
      <c r="X135" s="722"/>
      <c r="Y135" s="722"/>
      <c r="Z135" s="722"/>
      <c r="AA135" s="722"/>
      <c r="AB135" s="722"/>
    </row>
    <row r="136" spans="1:28" s="39" customFormat="1" ht="15">
      <c r="B136" s="39" t="s">
        <v>364</v>
      </c>
      <c r="M136" s="722"/>
      <c r="N136" s="722"/>
      <c r="O136" s="722"/>
      <c r="P136" s="722"/>
      <c r="Q136" s="722"/>
      <c r="R136" s="722"/>
      <c r="S136" s="722"/>
      <c r="T136" s="722"/>
      <c r="U136" s="722"/>
      <c r="V136" s="722"/>
      <c r="W136" s="722"/>
      <c r="X136" s="722"/>
      <c r="Y136" s="722"/>
      <c r="Z136" s="722"/>
      <c r="AA136" s="722"/>
      <c r="AB136" s="722"/>
    </row>
    <row r="137" spans="1:28" s="39" customFormat="1" ht="15">
      <c r="M137" s="722"/>
      <c r="N137" s="722"/>
      <c r="O137" s="722"/>
      <c r="P137" s="722"/>
      <c r="Q137" s="722"/>
      <c r="R137" s="722"/>
      <c r="S137" s="722"/>
      <c r="T137" s="722"/>
      <c r="U137" s="722"/>
      <c r="V137" s="722"/>
      <c r="W137" s="722"/>
      <c r="X137" s="722"/>
      <c r="Y137" s="722"/>
      <c r="Z137" s="722"/>
      <c r="AA137" s="722"/>
      <c r="AB137" s="722"/>
    </row>
    <row r="138" spans="1:28" s="39" customFormat="1">
      <c r="A138" s="46" t="s">
        <v>365</v>
      </c>
      <c r="M138" s="722"/>
      <c r="N138" s="722"/>
      <c r="O138" s="722"/>
      <c r="P138" s="722"/>
      <c r="Q138" s="722"/>
      <c r="R138" s="722"/>
      <c r="S138" s="722"/>
      <c r="T138" s="722"/>
      <c r="U138" s="722"/>
      <c r="V138" s="722"/>
      <c r="W138" s="722"/>
      <c r="X138" s="722"/>
      <c r="Y138" s="722"/>
      <c r="Z138" s="722"/>
      <c r="AA138" s="722"/>
      <c r="AB138" s="722"/>
    </row>
    <row r="139" spans="1:28" s="39" customFormat="1" ht="15">
      <c r="M139" s="722"/>
      <c r="N139" s="722"/>
      <c r="O139" s="722"/>
      <c r="P139" s="722"/>
      <c r="Q139" s="722"/>
      <c r="R139" s="722"/>
      <c r="S139" s="722"/>
      <c r="T139" s="722"/>
      <c r="U139" s="722"/>
      <c r="V139" s="722"/>
      <c r="W139" s="722"/>
      <c r="X139" s="722"/>
      <c r="Y139" s="722"/>
      <c r="Z139" s="722"/>
      <c r="AA139" s="722"/>
      <c r="AB139" s="722"/>
    </row>
    <row r="140" spans="1:28" s="39" customFormat="1" ht="15">
      <c r="A140" s="39">
        <v>5.0999999999999996</v>
      </c>
      <c r="B140" s="39" t="s">
        <v>366</v>
      </c>
      <c r="M140" s="722"/>
      <c r="N140" s="722"/>
      <c r="O140" s="722"/>
      <c r="P140" s="722"/>
      <c r="Q140" s="722"/>
      <c r="R140" s="722"/>
      <c r="S140" s="722"/>
      <c r="T140" s="722"/>
      <c r="U140" s="722"/>
      <c r="V140" s="722"/>
      <c r="W140" s="722"/>
      <c r="X140" s="722"/>
      <c r="Y140" s="722"/>
      <c r="Z140" s="722"/>
      <c r="AA140" s="722"/>
      <c r="AB140" s="722"/>
    </row>
    <row r="141" spans="1:28" s="39" customFormat="1" ht="15">
      <c r="M141" s="722"/>
      <c r="N141" s="722"/>
      <c r="O141" s="722"/>
      <c r="P141" s="722"/>
      <c r="Q141" s="722"/>
      <c r="R141" s="722"/>
      <c r="S141" s="722"/>
      <c r="T141" s="722"/>
      <c r="U141" s="722"/>
      <c r="V141" s="722"/>
      <c r="W141" s="722"/>
      <c r="X141" s="722"/>
      <c r="Y141" s="722"/>
      <c r="Z141" s="722"/>
      <c r="AA141" s="722"/>
      <c r="AB141" s="722"/>
    </row>
    <row r="142" spans="1:28" s="39" customFormat="1" ht="15">
      <c r="M142" s="722"/>
      <c r="N142" s="722"/>
      <c r="O142" s="722"/>
      <c r="P142" s="722"/>
      <c r="Q142" s="722"/>
      <c r="R142" s="722"/>
      <c r="S142" s="722"/>
      <c r="T142" s="722"/>
      <c r="U142" s="722"/>
      <c r="V142" s="722"/>
      <c r="W142" s="722"/>
      <c r="X142" s="722"/>
      <c r="Y142" s="722"/>
      <c r="Z142" s="722"/>
      <c r="AA142" s="722"/>
      <c r="AB142" s="722"/>
    </row>
    <row r="143" spans="1:28" s="39" customFormat="1" ht="15">
      <c r="M143" s="722"/>
      <c r="N143" s="722"/>
      <c r="O143" s="722"/>
      <c r="P143" s="722"/>
      <c r="Q143" s="722"/>
      <c r="R143" s="722"/>
      <c r="S143" s="722"/>
      <c r="T143" s="722"/>
      <c r="U143" s="722"/>
      <c r="V143" s="722"/>
      <c r="W143" s="722"/>
      <c r="X143" s="722"/>
      <c r="Y143" s="722"/>
      <c r="Z143" s="722"/>
      <c r="AA143" s="722"/>
      <c r="AB143" s="722"/>
    </row>
    <row r="144" spans="1:28" s="39" customFormat="1" ht="15">
      <c r="M144" s="722"/>
      <c r="N144" s="722"/>
      <c r="O144" s="722"/>
      <c r="P144" s="722"/>
      <c r="Q144" s="722"/>
      <c r="R144" s="722"/>
      <c r="S144" s="722"/>
      <c r="T144" s="722"/>
      <c r="U144" s="722"/>
      <c r="V144" s="722"/>
      <c r="W144" s="722"/>
      <c r="X144" s="722"/>
      <c r="Y144" s="722"/>
      <c r="Z144" s="722"/>
      <c r="AA144" s="722"/>
      <c r="AB144" s="722"/>
    </row>
    <row r="145" spans="1:28" s="39" customFormat="1" ht="15">
      <c r="M145" s="722"/>
      <c r="N145" s="722"/>
      <c r="O145" s="722"/>
      <c r="P145" s="722"/>
      <c r="Q145" s="722"/>
      <c r="R145" s="722"/>
      <c r="S145" s="722"/>
      <c r="T145" s="722"/>
      <c r="U145" s="722"/>
      <c r="V145" s="722"/>
      <c r="W145" s="722"/>
      <c r="X145" s="722"/>
      <c r="Y145" s="722"/>
      <c r="Z145" s="722"/>
      <c r="AA145" s="722"/>
      <c r="AB145" s="722"/>
    </row>
    <row r="146" spans="1:28" s="39" customFormat="1" ht="15">
      <c r="M146" s="722"/>
      <c r="N146" s="722"/>
      <c r="O146" s="722"/>
      <c r="P146" s="722"/>
      <c r="Q146" s="722"/>
      <c r="R146" s="722"/>
      <c r="S146" s="722"/>
      <c r="T146" s="722"/>
      <c r="U146" s="722"/>
      <c r="V146" s="722"/>
      <c r="W146" s="722"/>
      <c r="X146" s="722"/>
      <c r="Y146" s="722"/>
      <c r="Z146" s="722"/>
      <c r="AA146" s="722"/>
      <c r="AB146" s="722"/>
    </row>
    <row r="147" spans="1:28" s="39" customFormat="1" ht="15">
      <c r="M147" s="722"/>
      <c r="N147" s="722"/>
      <c r="O147" s="722"/>
      <c r="P147" s="722"/>
      <c r="Q147" s="722"/>
      <c r="R147" s="722"/>
      <c r="S147" s="722"/>
      <c r="T147" s="722"/>
      <c r="U147" s="722"/>
      <c r="V147" s="722"/>
      <c r="W147" s="722"/>
      <c r="X147" s="722"/>
      <c r="Y147" s="722"/>
      <c r="Z147" s="722"/>
      <c r="AA147" s="722"/>
      <c r="AB147" s="722"/>
    </row>
    <row r="148" spans="1:28" s="39" customFormat="1" ht="15">
      <c r="M148" s="722"/>
      <c r="N148" s="722"/>
      <c r="O148" s="722"/>
      <c r="P148" s="722"/>
      <c r="Q148" s="722"/>
      <c r="R148" s="722"/>
      <c r="S148" s="722"/>
      <c r="T148" s="722"/>
      <c r="U148" s="722"/>
      <c r="V148" s="722"/>
      <c r="W148" s="722"/>
      <c r="X148" s="722"/>
      <c r="Y148" s="722"/>
      <c r="Z148" s="722"/>
      <c r="AA148" s="722"/>
      <c r="AB148" s="722"/>
    </row>
    <row r="149" spans="1:28" s="39" customFormat="1" ht="15">
      <c r="M149" s="722"/>
      <c r="N149" s="722"/>
      <c r="O149" s="722"/>
      <c r="P149" s="722"/>
      <c r="Q149" s="722"/>
      <c r="R149" s="722"/>
      <c r="S149" s="722"/>
      <c r="T149" s="722"/>
      <c r="U149" s="722"/>
      <c r="V149" s="722"/>
      <c r="W149" s="722"/>
      <c r="X149" s="722"/>
      <c r="Y149" s="722"/>
      <c r="Z149" s="722"/>
      <c r="AA149" s="722"/>
      <c r="AB149" s="722"/>
    </row>
    <row r="150" spans="1:28" s="39" customFormat="1" ht="15">
      <c r="M150" s="722"/>
      <c r="N150" s="722"/>
      <c r="O150" s="722"/>
      <c r="P150" s="722"/>
      <c r="Q150" s="722"/>
      <c r="R150" s="722"/>
      <c r="S150" s="722"/>
      <c r="T150" s="722"/>
      <c r="U150" s="722"/>
      <c r="V150" s="722"/>
      <c r="W150" s="722"/>
      <c r="X150" s="722"/>
      <c r="Y150" s="722"/>
      <c r="Z150" s="722"/>
      <c r="AA150" s="722"/>
      <c r="AB150" s="722"/>
    </row>
    <row r="151" spans="1:28" s="39" customFormat="1" ht="15">
      <c r="M151" s="722"/>
      <c r="N151" s="722"/>
      <c r="O151" s="722"/>
      <c r="P151" s="722"/>
      <c r="Q151" s="722"/>
      <c r="R151" s="722"/>
      <c r="S151" s="722"/>
      <c r="T151" s="722"/>
      <c r="U151" s="722"/>
      <c r="V151" s="722"/>
      <c r="W151" s="722"/>
      <c r="X151" s="722"/>
      <c r="Y151" s="722"/>
      <c r="Z151" s="722"/>
      <c r="AA151" s="722"/>
      <c r="AB151" s="722"/>
    </row>
    <row r="152" spans="1:28" s="39" customFormat="1" ht="15">
      <c r="M152" s="722"/>
      <c r="N152" s="722"/>
      <c r="O152" s="722"/>
      <c r="P152" s="722"/>
      <c r="Q152" s="722"/>
      <c r="R152" s="722"/>
      <c r="S152" s="722"/>
      <c r="T152" s="722"/>
      <c r="U152" s="722"/>
      <c r="V152" s="722"/>
      <c r="W152" s="722"/>
      <c r="X152" s="722"/>
      <c r="Y152" s="722"/>
      <c r="Z152" s="722"/>
      <c r="AA152" s="722"/>
      <c r="AB152" s="722"/>
    </row>
    <row r="153" spans="1:28" s="39" customFormat="1" ht="15">
      <c r="M153" s="722"/>
      <c r="N153" s="722"/>
      <c r="O153" s="722"/>
      <c r="P153" s="722"/>
      <c r="Q153" s="722"/>
      <c r="R153" s="722"/>
      <c r="S153" s="722"/>
      <c r="T153" s="722"/>
      <c r="U153" s="722"/>
      <c r="V153" s="722"/>
      <c r="W153" s="722"/>
      <c r="X153" s="722"/>
      <c r="Y153" s="722"/>
      <c r="Z153" s="722"/>
      <c r="AA153" s="722"/>
      <c r="AB153" s="722"/>
    </row>
    <row r="155" spans="1:28">
      <c r="A155" s="41"/>
      <c r="L155" s="45" t="s">
        <v>367</v>
      </c>
    </row>
    <row r="156" spans="1:28">
      <c r="A156" s="900" t="str">
        <f>+CONCATENATE(M50,Control!D142)</f>
        <v>Address:Unit 402, 4/F., Fourseas Building, No. 208 Nathan Road, Kowloon</v>
      </c>
      <c r="B156" s="900"/>
      <c r="C156" s="900"/>
      <c r="D156" s="900"/>
      <c r="E156" s="900"/>
      <c r="F156" s="900"/>
      <c r="G156" s="900"/>
      <c r="H156" s="900"/>
      <c r="I156" s="900"/>
      <c r="J156" s="900"/>
      <c r="K156" s="900"/>
      <c r="L156" s="900"/>
    </row>
    <row r="157" spans="1:28" ht="22.5">
      <c r="A157" s="899" t="str">
        <f>+A1</f>
        <v>Matthew S.H. Law Certified Public Accountant (Practising)</v>
      </c>
      <c r="B157" s="899"/>
      <c r="C157" s="899"/>
      <c r="D157" s="899"/>
      <c r="E157" s="899"/>
      <c r="F157" s="899"/>
      <c r="G157" s="899"/>
      <c r="H157" s="899"/>
      <c r="I157" s="899"/>
      <c r="J157" s="899"/>
      <c r="K157" s="899"/>
      <c r="L157" s="899"/>
    </row>
    <row r="159" spans="1:28" s="39" customFormat="1">
      <c r="A159" s="46" t="s">
        <v>368</v>
      </c>
      <c r="M159" s="722"/>
      <c r="N159" s="722"/>
      <c r="O159" s="722"/>
      <c r="P159" s="722"/>
      <c r="Q159" s="722"/>
      <c r="R159" s="722"/>
      <c r="S159" s="722"/>
      <c r="T159" s="722"/>
      <c r="U159" s="722"/>
      <c r="V159" s="722"/>
      <c r="W159" s="722"/>
      <c r="X159" s="722"/>
      <c r="Y159" s="722"/>
      <c r="Z159" s="722"/>
      <c r="AA159" s="722"/>
      <c r="AB159" s="722"/>
    </row>
    <row r="160" spans="1:28" s="39" customFormat="1" ht="15">
      <c r="M160" s="722"/>
      <c r="N160" s="722"/>
      <c r="O160" s="722"/>
      <c r="P160" s="722"/>
      <c r="Q160" s="722"/>
      <c r="R160" s="722"/>
      <c r="S160" s="722"/>
      <c r="T160" s="722"/>
      <c r="U160" s="722"/>
      <c r="V160" s="722"/>
      <c r="W160" s="722"/>
      <c r="X160" s="722"/>
      <c r="Y160" s="722"/>
      <c r="Z160" s="722"/>
      <c r="AA160" s="722"/>
      <c r="AB160" s="722"/>
    </row>
    <row r="161" spans="1:28" s="39" customFormat="1" ht="15">
      <c r="A161" s="39">
        <v>6.1</v>
      </c>
      <c r="B161" s="901" t="s">
        <v>369</v>
      </c>
      <c r="C161" s="901"/>
      <c r="D161" s="901"/>
      <c r="E161" s="901"/>
      <c r="F161" s="901"/>
      <c r="G161" s="901"/>
      <c r="H161" s="901"/>
      <c r="I161" s="901"/>
      <c r="J161" s="901"/>
      <c r="K161" s="901"/>
      <c r="L161" s="901"/>
      <c r="M161" s="722"/>
      <c r="N161" s="722"/>
      <c r="O161" s="722"/>
      <c r="P161" s="722"/>
      <c r="Q161" s="722"/>
      <c r="R161" s="722"/>
      <c r="S161" s="722"/>
      <c r="T161" s="722"/>
      <c r="U161" s="722"/>
      <c r="V161" s="722"/>
      <c r="W161" s="722"/>
      <c r="X161" s="722"/>
      <c r="Y161" s="722"/>
      <c r="Z161" s="722"/>
      <c r="AA161" s="722"/>
      <c r="AB161" s="722"/>
    </row>
    <row r="162" spans="1:28" s="39" customFormat="1" ht="15">
      <c r="B162" s="901" t="s">
        <v>370</v>
      </c>
      <c r="C162" s="901"/>
      <c r="D162" s="901"/>
      <c r="E162" s="901"/>
      <c r="F162" s="901"/>
      <c r="G162" s="901"/>
      <c r="H162" s="901"/>
      <c r="I162" s="901"/>
      <c r="J162" s="901"/>
      <c r="K162" s="901"/>
      <c r="L162" s="901"/>
      <c r="M162" s="722"/>
      <c r="N162" s="722"/>
      <c r="O162" s="722"/>
      <c r="P162" s="722"/>
      <c r="Q162" s="722"/>
      <c r="R162" s="722"/>
      <c r="S162" s="722"/>
      <c r="T162" s="722"/>
      <c r="U162" s="722"/>
      <c r="V162" s="722"/>
      <c r="W162" s="722"/>
      <c r="X162" s="722"/>
      <c r="Y162" s="722"/>
      <c r="Z162" s="722"/>
      <c r="AA162" s="722"/>
      <c r="AB162" s="722"/>
    </row>
    <row r="163" spans="1:28" s="39" customFormat="1" ht="15">
      <c r="B163" s="39" t="s">
        <v>371</v>
      </c>
      <c r="M163" s="722"/>
      <c r="N163" s="722"/>
      <c r="O163" s="722"/>
      <c r="P163" s="722"/>
      <c r="Q163" s="722"/>
      <c r="R163" s="722"/>
      <c r="S163" s="722"/>
      <c r="T163" s="722"/>
      <c r="U163" s="722"/>
      <c r="V163" s="722"/>
      <c r="W163" s="722"/>
      <c r="X163" s="722"/>
      <c r="Y163" s="722"/>
      <c r="Z163" s="722"/>
      <c r="AA163" s="722"/>
      <c r="AB163" s="722"/>
    </row>
    <row r="164" spans="1:28" s="39" customFormat="1" ht="15">
      <c r="M164" s="722"/>
      <c r="N164" s="722"/>
      <c r="O164" s="722"/>
      <c r="P164" s="722"/>
      <c r="Q164" s="722"/>
      <c r="R164" s="722"/>
      <c r="S164" s="722"/>
      <c r="T164" s="722"/>
      <c r="U164" s="722"/>
      <c r="V164" s="722"/>
      <c r="W164" s="722"/>
      <c r="X164" s="722"/>
      <c r="Y164" s="722"/>
      <c r="Z164" s="722"/>
      <c r="AA164" s="722"/>
      <c r="AB164" s="722"/>
    </row>
    <row r="165" spans="1:28" s="39" customFormat="1">
      <c r="A165" s="46" t="s">
        <v>372</v>
      </c>
      <c r="M165" s="722"/>
      <c r="N165" s="722"/>
      <c r="O165" s="722"/>
      <c r="P165" s="722"/>
      <c r="Q165" s="722"/>
      <c r="R165" s="722"/>
      <c r="S165" s="722"/>
      <c r="T165" s="722"/>
      <c r="U165" s="722"/>
      <c r="V165" s="722"/>
      <c r="W165" s="722"/>
      <c r="X165" s="722"/>
      <c r="Y165" s="722"/>
      <c r="Z165" s="722"/>
      <c r="AA165" s="722"/>
      <c r="AB165" s="722"/>
    </row>
    <row r="166" spans="1:28" s="39" customFormat="1" ht="15">
      <c r="M166" s="722"/>
      <c r="N166" s="722"/>
      <c r="O166" s="722"/>
      <c r="P166" s="722"/>
      <c r="Q166" s="722"/>
      <c r="R166" s="722"/>
      <c r="S166" s="722"/>
      <c r="T166" s="722"/>
      <c r="U166" s="722"/>
      <c r="V166" s="722"/>
      <c r="W166" s="722"/>
      <c r="X166" s="722"/>
      <c r="Y166" s="722"/>
      <c r="Z166" s="722"/>
      <c r="AA166" s="722"/>
      <c r="AB166" s="722"/>
    </row>
    <row r="167" spans="1:28" s="39" customFormat="1" ht="15">
      <c r="A167" s="39">
        <v>7.1</v>
      </c>
      <c r="B167" s="901" t="s">
        <v>373</v>
      </c>
      <c r="C167" s="901"/>
      <c r="D167" s="901"/>
      <c r="E167" s="901"/>
      <c r="F167" s="901"/>
      <c r="G167" s="901"/>
      <c r="H167" s="901"/>
      <c r="I167" s="901"/>
      <c r="J167" s="901"/>
      <c r="K167" s="901"/>
      <c r="L167" s="901"/>
      <c r="M167" s="722"/>
      <c r="N167" s="722"/>
      <c r="O167" s="722"/>
      <c r="P167" s="722"/>
      <c r="Q167" s="722"/>
      <c r="R167" s="722"/>
      <c r="S167" s="722"/>
      <c r="T167" s="722"/>
      <c r="U167" s="722"/>
      <c r="V167" s="722"/>
      <c r="W167" s="722"/>
      <c r="X167" s="722"/>
      <c r="Y167" s="722"/>
      <c r="Z167" s="722"/>
      <c r="AA167" s="722"/>
      <c r="AB167" s="722"/>
    </row>
    <row r="168" spans="1:28" s="39" customFormat="1" ht="15">
      <c r="B168" s="901" t="s">
        <v>374</v>
      </c>
      <c r="C168" s="901"/>
      <c r="D168" s="901"/>
      <c r="E168" s="901"/>
      <c r="F168" s="901"/>
      <c r="G168" s="901"/>
      <c r="H168" s="901"/>
      <c r="I168" s="901"/>
      <c r="J168" s="901"/>
      <c r="K168" s="901"/>
      <c r="L168" s="901"/>
      <c r="M168" s="722"/>
      <c r="N168" s="722"/>
      <c r="O168" s="722"/>
      <c r="P168" s="722"/>
      <c r="Q168" s="722"/>
      <c r="R168" s="722"/>
      <c r="S168" s="722"/>
      <c r="T168" s="722"/>
      <c r="U168" s="722"/>
      <c r="V168" s="722"/>
      <c r="W168" s="722"/>
      <c r="X168" s="722"/>
      <c r="Y168" s="722"/>
      <c r="Z168" s="722"/>
      <c r="AA168" s="722"/>
      <c r="AB168" s="722"/>
    </row>
    <row r="169" spans="1:28" s="39" customFormat="1" ht="15">
      <c r="B169" s="901" t="s">
        <v>375</v>
      </c>
      <c r="C169" s="901"/>
      <c r="D169" s="901"/>
      <c r="E169" s="901"/>
      <c r="F169" s="901"/>
      <c r="G169" s="901"/>
      <c r="H169" s="901"/>
      <c r="I169" s="901"/>
      <c r="J169" s="901"/>
      <c r="K169" s="901"/>
      <c r="L169" s="901"/>
      <c r="M169" s="722"/>
      <c r="N169" s="722"/>
      <c r="O169" s="722"/>
      <c r="P169" s="722"/>
      <c r="Q169" s="722"/>
      <c r="R169" s="722"/>
      <c r="S169" s="722"/>
      <c r="T169" s="722"/>
      <c r="U169" s="722"/>
      <c r="V169" s="722"/>
      <c r="W169" s="722"/>
      <c r="X169" s="722"/>
      <c r="Y169" s="722"/>
      <c r="Z169" s="722"/>
      <c r="AA169" s="722"/>
      <c r="AB169" s="722"/>
    </row>
    <row r="170" spans="1:28" s="39" customFormat="1" ht="15">
      <c r="B170" s="39" t="s">
        <v>376</v>
      </c>
      <c r="M170" s="722"/>
      <c r="N170" s="722"/>
      <c r="O170" s="722"/>
      <c r="P170" s="722"/>
      <c r="Q170" s="722"/>
      <c r="R170" s="722"/>
      <c r="S170" s="722"/>
      <c r="T170" s="722"/>
      <c r="U170" s="722"/>
      <c r="V170" s="722"/>
      <c r="W170" s="722"/>
      <c r="X170" s="722"/>
      <c r="Y170" s="722"/>
      <c r="Z170" s="722"/>
      <c r="AA170" s="722"/>
      <c r="AB170" s="722"/>
    </row>
    <row r="171" spans="1:28" s="39" customFormat="1" ht="15">
      <c r="M171" s="722"/>
      <c r="N171" s="722"/>
      <c r="O171" s="722"/>
      <c r="P171" s="722"/>
      <c r="Q171" s="722"/>
      <c r="R171" s="722"/>
      <c r="S171" s="722"/>
      <c r="T171" s="722"/>
      <c r="U171" s="722"/>
      <c r="V171" s="722"/>
      <c r="W171" s="722"/>
      <c r="X171" s="722"/>
      <c r="Y171" s="722"/>
      <c r="Z171" s="722"/>
      <c r="AA171" s="722"/>
      <c r="AB171" s="722"/>
    </row>
    <row r="172" spans="1:28" s="39" customFormat="1" ht="15">
      <c r="M172" s="722"/>
      <c r="N172" s="722"/>
      <c r="O172" s="722"/>
      <c r="P172" s="722"/>
      <c r="Q172" s="722"/>
      <c r="R172" s="722"/>
      <c r="S172" s="722"/>
      <c r="T172" s="722"/>
      <c r="U172" s="722"/>
      <c r="V172" s="722"/>
      <c r="W172" s="722"/>
      <c r="X172" s="722"/>
      <c r="Y172" s="722"/>
      <c r="Z172" s="722"/>
      <c r="AA172" s="722"/>
      <c r="AB172" s="722"/>
    </row>
    <row r="173" spans="1:28" s="39" customFormat="1" ht="15">
      <c r="A173" s="39" t="s">
        <v>230</v>
      </c>
      <c r="M173" s="722"/>
      <c r="N173" s="722"/>
      <c r="O173" s="722"/>
      <c r="P173" s="722"/>
      <c r="Q173" s="722"/>
      <c r="R173" s="722"/>
      <c r="S173" s="722"/>
      <c r="T173" s="722"/>
      <c r="U173" s="722"/>
      <c r="V173" s="722"/>
      <c r="W173" s="722"/>
      <c r="X173" s="722"/>
      <c r="Y173" s="722"/>
      <c r="Z173" s="722"/>
      <c r="AA173" s="722"/>
      <c r="AB173" s="722"/>
    </row>
    <row r="174" spans="1:28" s="39" customFormat="1" ht="15">
      <c r="M174" s="722"/>
      <c r="N174" s="722"/>
      <c r="O174" s="722"/>
      <c r="P174" s="722"/>
      <c r="Q174" s="722"/>
      <c r="R174" s="722"/>
      <c r="S174" s="722"/>
      <c r="T174" s="722"/>
      <c r="U174" s="722"/>
      <c r="V174" s="722"/>
      <c r="W174" s="722"/>
      <c r="X174" s="722"/>
      <c r="Y174" s="722"/>
      <c r="Z174" s="722"/>
      <c r="AA174" s="722"/>
      <c r="AB174" s="722"/>
    </row>
    <row r="175" spans="1:28" s="39" customFormat="1" ht="15">
      <c r="M175" s="722"/>
      <c r="N175" s="722"/>
      <c r="O175" s="722"/>
      <c r="P175" s="722"/>
      <c r="Q175" s="722"/>
      <c r="R175" s="722"/>
      <c r="S175" s="722"/>
      <c r="T175" s="722"/>
      <c r="U175" s="722"/>
      <c r="V175" s="722"/>
      <c r="W175" s="722"/>
      <c r="X175" s="722"/>
      <c r="Y175" s="722"/>
      <c r="Z175" s="722"/>
      <c r="AA175" s="722"/>
      <c r="AB175" s="722"/>
    </row>
    <row r="176" spans="1:28" s="39" customFormat="1" ht="15">
      <c r="M176" s="722"/>
      <c r="N176" s="722"/>
      <c r="O176" s="722"/>
      <c r="P176" s="722"/>
      <c r="Q176" s="722"/>
      <c r="R176" s="722"/>
      <c r="S176" s="722"/>
      <c r="T176" s="722"/>
      <c r="U176" s="722"/>
      <c r="V176" s="722"/>
      <c r="W176" s="722"/>
      <c r="X176" s="722"/>
      <c r="Y176" s="722"/>
      <c r="Z176" s="722"/>
      <c r="AA176" s="722"/>
      <c r="AB176" s="722"/>
    </row>
    <row r="177" spans="1:28" s="39" customFormat="1" ht="15">
      <c r="M177" s="722"/>
      <c r="N177" s="722"/>
      <c r="O177" s="722"/>
      <c r="P177" s="722"/>
      <c r="Q177" s="722"/>
      <c r="R177" s="722"/>
      <c r="S177" s="722"/>
      <c r="T177" s="722"/>
      <c r="U177" s="722"/>
      <c r="V177" s="722"/>
      <c r="W177" s="722"/>
      <c r="X177" s="722"/>
      <c r="Y177" s="722"/>
      <c r="Z177" s="722"/>
      <c r="AA177" s="722"/>
      <c r="AB177" s="722"/>
    </row>
    <row r="178" spans="1:28" s="39" customFormat="1" ht="15">
      <c r="M178" s="722"/>
      <c r="N178" s="722"/>
      <c r="O178" s="722"/>
      <c r="P178" s="722"/>
      <c r="Q178" s="722"/>
      <c r="R178" s="722"/>
      <c r="S178" s="722"/>
      <c r="T178" s="722"/>
      <c r="U178" s="722"/>
      <c r="V178" s="722"/>
      <c r="W178" s="722"/>
      <c r="X178" s="722"/>
      <c r="Y178" s="722"/>
      <c r="Z178" s="722"/>
      <c r="AA178" s="722"/>
      <c r="AB178" s="722"/>
    </row>
    <row r="179" spans="1:28" s="39" customFormat="1" ht="15">
      <c r="A179" s="39" t="str">
        <f>+Control!D136</f>
        <v>Matthew S.H. Law</v>
      </c>
      <c r="M179" s="722"/>
      <c r="N179" s="722"/>
      <c r="O179" s="722"/>
      <c r="P179" s="722"/>
      <c r="Q179" s="722"/>
      <c r="R179" s="722"/>
      <c r="S179" s="722"/>
      <c r="T179" s="722"/>
      <c r="U179" s="722"/>
      <c r="V179" s="722"/>
      <c r="W179" s="722"/>
      <c r="X179" s="722"/>
      <c r="Y179" s="722"/>
      <c r="Z179" s="722"/>
      <c r="AA179" s="722"/>
      <c r="AB179" s="722"/>
    </row>
    <row r="180" spans="1:28" s="39" customFormat="1" ht="15">
      <c r="A180" s="39" t="str">
        <f>+Control!D137</f>
        <v>Certified Public Accountant (Practising)</v>
      </c>
      <c r="M180" s="722"/>
      <c r="N180" s="722"/>
      <c r="O180" s="722"/>
      <c r="P180" s="722"/>
      <c r="Q180" s="722"/>
      <c r="R180" s="722"/>
      <c r="S180" s="722"/>
      <c r="T180" s="722"/>
      <c r="U180" s="722"/>
      <c r="V180" s="722"/>
      <c r="W180" s="722"/>
      <c r="X180" s="722"/>
      <c r="Y180" s="722"/>
      <c r="Z180" s="722"/>
      <c r="AA180" s="722"/>
      <c r="AB180" s="722"/>
    </row>
    <row r="181" spans="1:28" s="39" customFormat="1" ht="15">
      <c r="A181" s="39" t="s">
        <v>222</v>
      </c>
      <c r="M181" s="722"/>
      <c r="N181" s="722"/>
      <c r="O181" s="722"/>
      <c r="P181" s="722"/>
      <c r="Q181" s="722"/>
      <c r="R181" s="722"/>
      <c r="S181" s="722"/>
      <c r="T181" s="722"/>
      <c r="U181" s="722"/>
      <c r="V181" s="722"/>
      <c r="W181" s="722"/>
      <c r="X181" s="722"/>
      <c r="Y181" s="722"/>
      <c r="Z181" s="722"/>
      <c r="AA181" s="722"/>
      <c r="AB181" s="722"/>
    </row>
    <row r="182" spans="1:28" s="39" customFormat="1" ht="15">
      <c r="M182" s="722"/>
      <c r="N182" s="722"/>
      <c r="O182" s="722"/>
      <c r="P182" s="722"/>
      <c r="Q182" s="722"/>
      <c r="R182" s="722"/>
      <c r="S182" s="722"/>
      <c r="T182" s="722"/>
      <c r="U182" s="722"/>
      <c r="V182" s="722"/>
      <c r="W182" s="722"/>
      <c r="X182" s="722"/>
      <c r="Y182" s="722"/>
      <c r="Z182" s="722"/>
      <c r="AA182" s="722"/>
      <c r="AB182" s="722"/>
    </row>
    <row r="183" spans="1:28" s="39" customFormat="1" ht="15">
      <c r="A183" s="39" t="s">
        <v>377</v>
      </c>
      <c r="M183" s="722"/>
      <c r="N183" s="722"/>
      <c r="O183" s="722"/>
      <c r="P183" s="722"/>
      <c r="Q183" s="722"/>
      <c r="R183" s="722"/>
      <c r="S183" s="722"/>
      <c r="T183" s="722"/>
      <c r="U183" s="722"/>
      <c r="V183" s="722"/>
      <c r="W183" s="722"/>
      <c r="X183" s="722"/>
      <c r="Y183" s="722"/>
      <c r="Z183" s="722"/>
      <c r="AA183" s="722"/>
      <c r="AB183" s="722"/>
    </row>
    <row r="184" spans="1:28" s="39" customFormat="1" ht="15">
      <c r="A184" s="39" t="s">
        <v>378</v>
      </c>
      <c r="M184" s="722"/>
      <c r="N184" s="722"/>
      <c r="O184" s="722"/>
      <c r="P184" s="722"/>
      <c r="Q184" s="722"/>
      <c r="R184" s="722"/>
      <c r="S184" s="722"/>
      <c r="T184" s="722"/>
      <c r="U184" s="722"/>
      <c r="V184" s="722"/>
      <c r="W184" s="722"/>
      <c r="X184" s="722"/>
      <c r="Y184" s="722"/>
      <c r="Z184" s="722"/>
      <c r="AA184" s="722"/>
      <c r="AB184" s="722"/>
    </row>
    <row r="185" spans="1:28" s="39" customFormat="1" ht="15">
      <c r="M185" s="722"/>
      <c r="N185" s="722"/>
      <c r="O185" s="722"/>
      <c r="P185" s="722"/>
      <c r="Q185" s="722"/>
      <c r="R185" s="722"/>
      <c r="S185" s="722"/>
      <c r="T185" s="722"/>
      <c r="U185" s="722"/>
      <c r="V185" s="722"/>
      <c r="W185" s="722"/>
      <c r="X185" s="722"/>
      <c r="Y185" s="722"/>
      <c r="Z185" s="722"/>
      <c r="AA185" s="722"/>
      <c r="AB185" s="722"/>
    </row>
    <row r="186" spans="1:28" s="39" customFormat="1" ht="15">
      <c r="M186" s="722"/>
      <c r="N186" s="722"/>
      <c r="O186" s="722"/>
      <c r="P186" s="722"/>
      <c r="Q186" s="722"/>
      <c r="R186" s="722"/>
      <c r="S186" s="722"/>
      <c r="T186" s="722"/>
      <c r="U186" s="722"/>
      <c r="V186" s="722"/>
      <c r="W186" s="722"/>
      <c r="X186" s="722"/>
      <c r="Y186" s="722"/>
      <c r="Z186" s="722"/>
      <c r="AA186" s="722"/>
      <c r="AB186" s="722"/>
    </row>
    <row r="187" spans="1:28" s="39" customFormat="1" ht="15">
      <c r="M187" s="722"/>
      <c r="N187" s="722"/>
      <c r="O187" s="722"/>
      <c r="P187" s="722"/>
      <c r="Q187" s="722"/>
      <c r="R187" s="722"/>
      <c r="S187" s="722"/>
      <c r="T187" s="722"/>
      <c r="U187" s="722"/>
      <c r="V187" s="722"/>
      <c r="W187" s="722"/>
      <c r="X187" s="722"/>
      <c r="Y187" s="722"/>
      <c r="Z187" s="722"/>
      <c r="AA187" s="722"/>
      <c r="AB187" s="722"/>
    </row>
    <row r="188" spans="1:28" s="39" customFormat="1" ht="15">
      <c r="M188" s="722"/>
      <c r="N188" s="722"/>
      <c r="O188" s="722"/>
      <c r="P188" s="722"/>
      <c r="Q188" s="722"/>
      <c r="R188" s="722"/>
      <c r="S188" s="722"/>
      <c r="T188" s="722"/>
      <c r="U188" s="722"/>
      <c r="V188" s="722"/>
      <c r="W188" s="722"/>
      <c r="X188" s="722"/>
      <c r="Y188" s="722"/>
      <c r="Z188" s="722"/>
      <c r="AA188" s="722"/>
      <c r="AB188" s="722"/>
    </row>
    <row r="189" spans="1:28" s="39" customFormat="1" ht="15">
      <c r="A189" s="47"/>
      <c r="B189" s="47"/>
      <c r="C189" s="47"/>
      <c r="D189" s="47"/>
      <c r="E189" s="47"/>
      <c r="F189" s="47"/>
      <c r="M189" s="722"/>
      <c r="N189" s="722"/>
      <c r="O189" s="722"/>
      <c r="P189" s="722"/>
      <c r="Q189" s="722"/>
      <c r="R189" s="722"/>
      <c r="S189" s="722"/>
      <c r="T189" s="722"/>
      <c r="U189" s="722"/>
      <c r="V189" s="722"/>
      <c r="W189" s="722"/>
      <c r="X189" s="722"/>
      <c r="Y189" s="722"/>
      <c r="Z189" s="722"/>
      <c r="AA189" s="722"/>
      <c r="AB189" s="722"/>
    </row>
    <row r="190" spans="1:28" s="39" customFormat="1" ht="15">
      <c r="A190" s="39" t="s">
        <v>379</v>
      </c>
      <c r="M190" s="722"/>
      <c r="N190" s="722"/>
      <c r="O190" s="722"/>
      <c r="P190" s="722"/>
      <c r="Q190" s="722"/>
      <c r="R190" s="722"/>
      <c r="S190" s="722"/>
      <c r="T190" s="722"/>
      <c r="U190" s="722"/>
      <c r="V190" s="722"/>
      <c r="W190" s="722"/>
      <c r="X190" s="722"/>
      <c r="Y190" s="722"/>
      <c r="Z190" s="722"/>
      <c r="AA190" s="722"/>
      <c r="AB190" s="722"/>
    </row>
    <row r="191" spans="1:28" s="39" customFormat="1" ht="15">
      <c r="A191" s="51" t="str">
        <f>+Control!D3</f>
        <v>MIC INCORPORATION LIMITED </v>
      </c>
      <c r="B191" s="51"/>
      <c r="C191" s="51"/>
      <c r="D191" s="51"/>
      <c r="M191" s="722"/>
      <c r="N191" s="722"/>
      <c r="O191" s="722"/>
      <c r="P191" s="722"/>
      <c r="Q191" s="722"/>
      <c r="R191" s="722"/>
      <c r="S191" s="722"/>
      <c r="T191" s="722"/>
      <c r="U191" s="722"/>
      <c r="V191" s="722"/>
      <c r="W191" s="722"/>
      <c r="X191" s="722"/>
      <c r="Y191" s="722"/>
      <c r="Z191" s="722"/>
      <c r="AA191" s="722"/>
      <c r="AB191" s="722"/>
    </row>
    <row r="192" spans="1:28" s="39" customFormat="1" ht="15">
      <c r="M192" s="722"/>
      <c r="N192" s="722"/>
      <c r="O192" s="722"/>
      <c r="P192" s="722"/>
      <c r="Q192" s="722"/>
      <c r="R192" s="722"/>
      <c r="S192" s="722"/>
      <c r="T192" s="722"/>
      <c r="U192" s="722"/>
      <c r="V192" s="722"/>
      <c r="W192" s="722"/>
      <c r="X192" s="722"/>
      <c r="Y192" s="722"/>
      <c r="Z192" s="722"/>
      <c r="AA192" s="722"/>
      <c r="AB192" s="722"/>
    </row>
    <row r="193" spans="1:28" s="39" customFormat="1" ht="15">
      <c r="M193" s="722"/>
      <c r="N193" s="722"/>
      <c r="O193" s="722"/>
      <c r="P193" s="722"/>
      <c r="Q193" s="722"/>
      <c r="R193" s="722"/>
      <c r="S193" s="722"/>
      <c r="T193" s="722"/>
      <c r="U193" s="722"/>
      <c r="V193" s="722"/>
      <c r="W193" s="722"/>
      <c r="X193" s="722"/>
      <c r="Y193" s="722"/>
      <c r="Z193" s="722"/>
      <c r="AA193" s="722"/>
      <c r="AB193" s="722"/>
    </row>
    <row r="194" spans="1:28" s="39" customFormat="1" ht="15">
      <c r="M194" s="722"/>
      <c r="N194" s="722"/>
      <c r="O194" s="722"/>
      <c r="P194" s="722"/>
      <c r="Q194" s="722"/>
      <c r="R194" s="722"/>
      <c r="S194" s="722"/>
      <c r="T194" s="722"/>
      <c r="U194" s="722"/>
      <c r="V194" s="722"/>
      <c r="W194" s="722"/>
      <c r="X194" s="722"/>
      <c r="Y194" s="722"/>
      <c r="Z194" s="722"/>
      <c r="AA194" s="722"/>
      <c r="AB194" s="722"/>
    </row>
    <row r="195" spans="1:28" s="39" customFormat="1" ht="15">
      <c r="M195" s="722"/>
      <c r="N195" s="722"/>
      <c r="O195" s="722"/>
      <c r="P195" s="722"/>
      <c r="Q195" s="722"/>
      <c r="R195" s="722"/>
      <c r="S195" s="722"/>
      <c r="T195" s="722"/>
      <c r="U195" s="722"/>
      <c r="V195" s="722"/>
      <c r="W195" s="722"/>
      <c r="X195" s="722"/>
      <c r="Y195" s="722"/>
      <c r="Z195" s="722"/>
      <c r="AA195" s="722"/>
      <c r="AB195" s="722"/>
    </row>
    <row r="207" spans="1:28">
      <c r="A207" s="41"/>
      <c r="L207" s="45" t="s">
        <v>380</v>
      </c>
    </row>
    <row r="208" spans="1:28">
      <c r="A208" s="900" t="str">
        <f>+CONCATENATE(M50,Control!D142)</f>
        <v>Address:Unit 402, 4/F., Fourseas Building, No. 208 Nathan Road, Kowloon</v>
      </c>
      <c r="B208" s="900"/>
      <c r="C208" s="900"/>
      <c r="D208" s="900"/>
      <c r="E208" s="900"/>
      <c r="F208" s="900"/>
      <c r="G208" s="900"/>
      <c r="H208" s="900"/>
      <c r="I208" s="900"/>
      <c r="J208" s="900"/>
      <c r="K208" s="900"/>
      <c r="L208" s="900"/>
    </row>
  </sheetData>
  <mergeCells count="61">
    <mergeCell ref="B161:L161"/>
    <mergeCell ref="B162:L162"/>
    <mergeCell ref="B167:L167"/>
    <mergeCell ref="B168:L168"/>
    <mergeCell ref="B169:L169"/>
    <mergeCell ref="B127:L127"/>
    <mergeCell ref="B130:L130"/>
    <mergeCell ref="B133:L133"/>
    <mergeCell ref="B134:L134"/>
    <mergeCell ref="B135:L135"/>
    <mergeCell ref="B120:L120"/>
    <mergeCell ref="B123:L123"/>
    <mergeCell ref="B124:L124"/>
    <mergeCell ref="B125:L125"/>
    <mergeCell ref="B126:L126"/>
    <mergeCell ref="B114:L114"/>
    <mergeCell ref="B115:L115"/>
    <mergeCell ref="B118:L118"/>
    <mergeCell ref="B119:L119"/>
    <mergeCell ref="B107:L107"/>
    <mergeCell ref="B108:L108"/>
    <mergeCell ref="B109:L109"/>
    <mergeCell ref="B110:L110"/>
    <mergeCell ref="B111:L111"/>
    <mergeCell ref="A156:L156"/>
    <mergeCell ref="A157:L157"/>
    <mergeCell ref="A208:L208"/>
    <mergeCell ref="B18:L18"/>
    <mergeCell ref="C23:L23"/>
    <mergeCell ref="C24:L24"/>
    <mergeCell ref="C27:L27"/>
    <mergeCell ref="D32:L32"/>
    <mergeCell ref="D33:L33"/>
    <mergeCell ref="D38:L38"/>
    <mergeCell ref="B55:L55"/>
    <mergeCell ref="B56:L56"/>
    <mergeCell ref="B92:L92"/>
    <mergeCell ref="B106:L106"/>
    <mergeCell ref="B87:L87"/>
    <mergeCell ref="B88:L88"/>
    <mergeCell ref="A103:L103"/>
    <mergeCell ref="A104:L104"/>
    <mergeCell ref="B57:L57"/>
    <mergeCell ref="C60:L60"/>
    <mergeCell ref="C63:L63"/>
    <mergeCell ref="C66:L66"/>
    <mergeCell ref="B69:L69"/>
    <mergeCell ref="B74:L74"/>
    <mergeCell ref="B75:L75"/>
    <mergeCell ref="B85:L85"/>
    <mergeCell ref="B86:L86"/>
    <mergeCell ref="B95:L95"/>
    <mergeCell ref="B96:L96"/>
    <mergeCell ref="B89:L89"/>
    <mergeCell ref="B90:L90"/>
    <mergeCell ref="B91:L91"/>
    <mergeCell ref="N12:X14"/>
    <mergeCell ref="B12:L14"/>
    <mergeCell ref="A1:L1"/>
    <mergeCell ref="A50:L50"/>
    <mergeCell ref="A51:L51"/>
  </mergeCells>
  <phoneticPr fontId="13" type="noConversion"/>
  <pageMargins left="0.51181102362204722" right="0.31496062992125984" top="0.74803149606299213" bottom="0.31496062992125984" header="0.31496062992125984" footer="0.31496062992125984"/>
  <pageSetup paperSize="9" scale="95" fitToHeight="0" orientation="portrait" r:id="rId1"/>
  <rowBreaks count="3" manualBreakCount="3">
    <brk id="50" max="16383" man="1"/>
    <brk id="103" max="16383" man="1"/>
    <brk id="156"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2">
    <pageSetUpPr fitToPage="1"/>
  </sheetPr>
  <dimension ref="A1:Y165"/>
  <sheetViews>
    <sheetView workbookViewId="0">
      <selection activeCell="O19" sqref="O19"/>
    </sheetView>
  </sheetViews>
  <sheetFormatPr defaultColWidth="9" defaultRowHeight="15.75"/>
  <cols>
    <col min="1" max="1" width="5.125" style="265" customWidth="1" collapsed="1"/>
    <col min="2" max="2" width="3.125" style="265" customWidth="1" collapsed="1"/>
    <col min="3" max="3" width="4.125" style="265" customWidth="1" collapsed="1"/>
    <col min="4" max="6" width="9" style="1" collapsed="1"/>
    <col min="7" max="7" width="12.5" style="1" customWidth="1" collapsed="1"/>
    <col min="8" max="8" width="12.375" style="1" customWidth="1" collapsed="1"/>
    <col min="9" max="12" width="9" style="1" collapsed="1"/>
    <col min="13" max="25" width="9" style="594" collapsed="1"/>
    <col min="26" max="16384" width="9" style="1" collapsed="1"/>
  </cols>
  <sheetData>
    <row r="1" spans="1:25" ht="22.5">
      <c r="A1" s="899" t="str">
        <f>+CONCATENATE(Control!D136," ",Control!D137)</f>
        <v>Matthew S.H. Law Certified Public Accountant (Practising)</v>
      </c>
      <c r="B1" s="899"/>
      <c r="C1" s="899"/>
      <c r="D1" s="899"/>
      <c r="E1" s="899"/>
      <c r="F1" s="899"/>
      <c r="G1" s="899"/>
      <c r="H1" s="899"/>
      <c r="I1" s="899"/>
      <c r="J1" s="899"/>
      <c r="K1" s="899"/>
      <c r="L1" s="899"/>
      <c r="M1" s="594" t="s">
        <v>172</v>
      </c>
    </row>
    <row r="2" spans="1:25" ht="15.75" customHeight="1">
      <c r="A2" s="264"/>
    </row>
    <row r="3" spans="1:25">
      <c r="A3" s="263" t="s">
        <v>270</v>
      </c>
    </row>
    <row r="4" spans="1:25" ht="10.5" customHeight="1">
      <c r="A4" s="266"/>
    </row>
    <row r="5" spans="1:25">
      <c r="A5" s="263" t="s">
        <v>271</v>
      </c>
    </row>
    <row r="6" spans="1:25">
      <c r="A6" s="267" t="str">
        <f>+Control!D3</f>
        <v>MIC INCORPORATION LIMITED </v>
      </c>
      <c r="B6" s="268"/>
      <c r="C6" s="268"/>
      <c r="D6" s="50"/>
    </row>
    <row r="7" spans="1:25" ht="11.25" customHeight="1"/>
    <row r="8" spans="1:25">
      <c r="A8" s="263" t="s">
        <v>272</v>
      </c>
    </row>
    <row r="9" spans="1:25" ht="10.5" customHeight="1"/>
    <row r="10" spans="1:25">
      <c r="A10" s="269" t="s">
        <v>273</v>
      </c>
    </row>
    <row r="11" spans="1:25" s="39" customFormat="1" ht="15">
      <c r="A11" s="263">
        <v>1.1000000000000001</v>
      </c>
      <c r="B11" s="898" t="str">
        <f>+CONCATENATE(A163,A164,A165)</f>
        <v>You have requested that we audit the financial statements of MIC INCORPORATION LIMITED . We are pleased to confirm our acceptance and our understanding of this audit engagement by means of this letter. Our audit will be conducted with the objective of our expressing an opinion on the financial statements.</v>
      </c>
      <c r="C11" s="898"/>
      <c r="D11" s="898"/>
      <c r="E11" s="898"/>
      <c r="F11" s="898"/>
      <c r="G11" s="898"/>
      <c r="H11" s="898"/>
      <c r="I11" s="898"/>
      <c r="J11" s="898"/>
      <c r="K11" s="898"/>
      <c r="L11" s="898"/>
      <c r="M11" s="722"/>
      <c r="N11" s="897"/>
      <c r="O11" s="897"/>
      <c r="P11" s="897"/>
      <c r="Q11" s="897"/>
      <c r="R11" s="897"/>
      <c r="S11" s="897"/>
      <c r="T11" s="897"/>
      <c r="U11" s="897"/>
      <c r="V11" s="897"/>
      <c r="W11" s="897"/>
      <c r="X11" s="722"/>
      <c r="Y11" s="722"/>
    </row>
    <row r="12" spans="1:25" s="39" customFormat="1" ht="15">
      <c r="A12" s="263"/>
      <c r="B12" s="898"/>
      <c r="C12" s="898"/>
      <c r="D12" s="898"/>
      <c r="E12" s="898"/>
      <c r="F12" s="898"/>
      <c r="G12" s="898"/>
      <c r="H12" s="898"/>
      <c r="I12" s="898"/>
      <c r="J12" s="898"/>
      <c r="K12" s="898"/>
      <c r="L12" s="898"/>
      <c r="M12" s="722"/>
      <c r="N12" s="897"/>
      <c r="O12" s="897"/>
      <c r="P12" s="897"/>
      <c r="Q12" s="897"/>
      <c r="R12" s="897"/>
      <c r="S12" s="897"/>
      <c r="T12" s="897"/>
      <c r="U12" s="897"/>
      <c r="V12" s="897"/>
      <c r="W12" s="897"/>
      <c r="X12" s="722"/>
      <c r="Y12" s="722"/>
    </row>
    <row r="13" spans="1:25" s="39" customFormat="1" ht="20.25" customHeight="1">
      <c r="A13" s="263"/>
      <c r="B13" s="898"/>
      <c r="C13" s="898"/>
      <c r="D13" s="898"/>
      <c r="E13" s="898"/>
      <c r="F13" s="898"/>
      <c r="G13" s="898"/>
      <c r="H13" s="898"/>
      <c r="I13" s="898"/>
      <c r="J13" s="898"/>
      <c r="K13" s="898"/>
      <c r="L13" s="898"/>
      <c r="M13" s="722"/>
      <c r="N13" s="897"/>
      <c r="O13" s="897"/>
      <c r="P13" s="897"/>
      <c r="Q13" s="897"/>
      <c r="R13" s="897"/>
      <c r="S13" s="897"/>
      <c r="T13" s="897"/>
      <c r="U13" s="897"/>
      <c r="V13" s="897"/>
      <c r="W13" s="897"/>
      <c r="X13" s="722"/>
      <c r="Y13" s="722"/>
    </row>
    <row r="14" spans="1:25" ht="12.75" customHeight="1"/>
    <row r="15" spans="1:25">
      <c r="A15" s="269" t="s">
        <v>274</v>
      </c>
    </row>
    <row r="16" spans="1:25" ht="9.75" customHeight="1">
      <c r="A16" s="269"/>
    </row>
    <row r="17" spans="1:25" s="39" customFormat="1" ht="15">
      <c r="A17" s="263">
        <v>2.1</v>
      </c>
      <c r="B17" s="901" t="s">
        <v>898</v>
      </c>
      <c r="C17" s="901"/>
      <c r="D17" s="901"/>
      <c r="E17" s="901"/>
      <c r="F17" s="901"/>
      <c r="G17" s="901"/>
      <c r="H17" s="901"/>
      <c r="I17" s="901"/>
      <c r="J17" s="901"/>
      <c r="K17" s="901"/>
      <c r="L17" s="901"/>
      <c r="M17" s="722"/>
      <c r="N17" s="722"/>
      <c r="O17" s="722"/>
      <c r="P17" s="722"/>
      <c r="Q17" s="722"/>
      <c r="R17" s="722"/>
      <c r="S17" s="722"/>
      <c r="T17" s="722"/>
      <c r="U17" s="722"/>
      <c r="V17" s="722"/>
      <c r="W17" s="722"/>
      <c r="X17" s="722"/>
      <c r="Y17" s="722"/>
    </row>
    <row r="18" spans="1:25" s="39" customFormat="1" ht="15">
      <c r="A18" s="263"/>
      <c r="B18" s="263"/>
      <c r="C18" s="263"/>
      <c r="M18" s="722"/>
      <c r="N18" s="722"/>
      <c r="O18" s="722"/>
      <c r="P18" s="722"/>
      <c r="Q18" s="722"/>
      <c r="R18" s="722"/>
      <c r="S18" s="722"/>
      <c r="T18" s="722"/>
      <c r="U18" s="722"/>
      <c r="V18" s="722"/>
      <c r="W18" s="722"/>
      <c r="X18" s="722"/>
      <c r="Y18" s="722"/>
    </row>
    <row r="19" spans="1:25" s="39" customFormat="1" ht="54.75" customHeight="1">
      <c r="A19" s="263"/>
      <c r="B19" s="263" t="s">
        <v>277</v>
      </c>
      <c r="C19" s="902" t="s">
        <v>899</v>
      </c>
      <c r="D19" s="902"/>
      <c r="E19" s="902"/>
      <c r="F19" s="902"/>
      <c r="G19" s="902"/>
      <c r="H19" s="902"/>
      <c r="I19" s="902"/>
      <c r="J19" s="902"/>
      <c r="K19" s="902"/>
      <c r="L19" s="902"/>
      <c r="M19" s="722"/>
      <c r="N19" s="722"/>
      <c r="O19" s="722"/>
      <c r="P19" s="722"/>
      <c r="Q19" s="722"/>
      <c r="R19" s="722"/>
      <c r="S19" s="722"/>
      <c r="T19" s="722"/>
      <c r="U19" s="722"/>
      <c r="V19" s="722"/>
      <c r="W19" s="722"/>
      <c r="X19" s="722"/>
      <c r="Y19" s="722"/>
    </row>
    <row r="20" spans="1:25" s="39" customFormat="1" ht="15">
      <c r="A20" s="263"/>
      <c r="B20" s="263"/>
      <c r="C20" s="263"/>
      <c r="M20" s="722"/>
      <c r="N20" s="722"/>
      <c r="O20" s="722"/>
      <c r="P20" s="722"/>
      <c r="Q20" s="722"/>
      <c r="R20" s="722"/>
      <c r="S20" s="722"/>
      <c r="T20" s="722"/>
      <c r="U20" s="722"/>
      <c r="V20" s="722"/>
      <c r="W20" s="722"/>
      <c r="X20" s="722"/>
      <c r="Y20" s="722"/>
    </row>
    <row r="21" spans="1:25" s="39" customFormat="1" ht="57.75" customHeight="1">
      <c r="A21" s="263"/>
      <c r="B21" s="263" t="s">
        <v>280</v>
      </c>
      <c r="C21" s="902" t="s">
        <v>900</v>
      </c>
      <c r="D21" s="902"/>
      <c r="E21" s="902"/>
      <c r="F21" s="902"/>
      <c r="G21" s="902"/>
      <c r="H21" s="902"/>
      <c r="I21" s="902"/>
      <c r="J21" s="902"/>
      <c r="K21" s="902"/>
      <c r="L21" s="902"/>
      <c r="M21" s="722"/>
      <c r="N21" s="722"/>
      <c r="O21" s="722"/>
      <c r="P21" s="722"/>
      <c r="Q21" s="722"/>
      <c r="R21" s="722"/>
      <c r="S21" s="722"/>
      <c r="T21" s="722"/>
      <c r="U21" s="722"/>
      <c r="V21" s="722"/>
      <c r="W21" s="722"/>
      <c r="X21" s="722"/>
      <c r="Y21" s="722"/>
    </row>
    <row r="22" spans="1:25" s="39" customFormat="1" ht="15">
      <c r="A22" s="263"/>
      <c r="B22" s="263"/>
      <c r="C22" s="263"/>
      <c r="M22" s="722"/>
      <c r="N22" s="722"/>
      <c r="O22" s="722"/>
      <c r="P22" s="722"/>
      <c r="Q22" s="722"/>
      <c r="R22" s="722"/>
      <c r="S22" s="722"/>
      <c r="T22" s="722"/>
      <c r="U22" s="722"/>
      <c r="V22" s="722"/>
      <c r="W22" s="722"/>
      <c r="X22" s="722"/>
      <c r="Y22" s="722"/>
    </row>
    <row r="23" spans="1:25" s="39" customFormat="1" ht="62.25" customHeight="1">
      <c r="A23" s="263"/>
      <c r="B23" s="263" t="s">
        <v>285</v>
      </c>
      <c r="C23" s="902" t="s">
        <v>901</v>
      </c>
      <c r="D23" s="902"/>
      <c r="E23" s="902"/>
      <c r="F23" s="902"/>
      <c r="G23" s="902"/>
      <c r="H23" s="902"/>
      <c r="I23" s="902"/>
      <c r="J23" s="902"/>
      <c r="K23" s="902"/>
      <c r="L23" s="902"/>
      <c r="M23" s="722"/>
      <c r="N23" s="722"/>
      <c r="O23" s="722"/>
      <c r="P23" s="722"/>
      <c r="Q23" s="722"/>
      <c r="R23" s="722"/>
      <c r="S23" s="722"/>
      <c r="T23" s="722"/>
      <c r="U23" s="722"/>
      <c r="V23" s="722"/>
      <c r="W23" s="722"/>
      <c r="X23" s="722"/>
      <c r="Y23" s="722"/>
    </row>
    <row r="24" spans="1:25" s="39" customFormat="1" ht="12.75" customHeight="1">
      <c r="A24" s="263"/>
      <c r="B24" s="263"/>
      <c r="C24" s="263"/>
      <c r="M24" s="722"/>
      <c r="N24" s="722"/>
      <c r="O24" s="722"/>
      <c r="P24" s="722"/>
      <c r="Q24" s="722"/>
      <c r="R24" s="722"/>
      <c r="S24" s="722"/>
      <c r="T24" s="722"/>
      <c r="U24" s="722"/>
      <c r="V24" s="722"/>
      <c r="W24" s="722"/>
      <c r="X24" s="722"/>
      <c r="Y24" s="722"/>
    </row>
    <row r="25" spans="1:25" s="39" customFormat="1" ht="42.75" customHeight="1">
      <c r="A25" s="263"/>
      <c r="B25" s="263" t="s">
        <v>288</v>
      </c>
      <c r="C25" s="902" t="s">
        <v>902</v>
      </c>
      <c r="D25" s="902"/>
      <c r="E25" s="902"/>
      <c r="F25" s="902"/>
      <c r="G25" s="902"/>
      <c r="H25" s="902"/>
      <c r="I25" s="902"/>
      <c r="J25" s="902"/>
      <c r="K25" s="902"/>
      <c r="L25" s="902"/>
      <c r="M25" s="722"/>
      <c r="N25" s="722"/>
      <c r="O25" s="722"/>
      <c r="P25" s="722"/>
      <c r="Q25" s="722"/>
      <c r="R25" s="722"/>
      <c r="S25" s="722"/>
      <c r="T25" s="722"/>
      <c r="U25" s="722"/>
      <c r="V25" s="722"/>
      <c r="W25" s="722"/>
      <c r="X25" s="722"/>
      <c r="Y25" s="722"/>
    </row>
    <row r="26" spans="1:25" s="39" customFormat="1" ht="12.75" customHeight="1">
      <c r="A26" s="263"/>
      <c r="B26" s="263"/>
      <c r="C26" s="263"/>
      <c r="M26" s="722"/>
      <c r="N26" s="722"/>
      <c r="O26" s="722"/>
      <c r="P26" s="722"/>
      <c r="Q26" s="722"/>
      <c r="R26" s="722"/>
      <c r="S26" s="722"/>
      <c r="T26" s="722"/>
      <c r="U26" s="722"/>
      <c r="V26" s="722"/>
      <c r="W26" s="722"/>
      <c r="X26" s="722"/>
      <c r="Y26" s="722"/>
    </row>
    <row r="27" spans="1:25" s="39" customFormat="1" ht="15">
      <c r="A27" s="263"/>
      <c r="B27" s="263" t="s">
        <v>903</v>
      </c>
      <c r="C27" s="263" t="s">
        <v>289</v>
      </c>
      <c r="M27" s="722"/>
      <c r="N27" s="722"/>
      <c r="O27" s="722"/>
      <c r="P27" s="722"/>
      <c r="Q27" s="722"/>
      <c r="R27" s="722"/>
      <c r="S27" s="722"/>
      <c r="T27" s="722"/>
      <c r="U27" s="722"/>
      <c r="V27" s="722"/>
      <c r="W27" s="722"/>
      <c r="X27" s="722"/>
      <c r="Y27" s="722"/>
    </row>
    <row r="28" spans="1:25" s="39" customFormat="1" ht="15">
      <c r="A28" s="263"/>
      <c r="B28" s="263"/>
      <c r="C28" s="263"/>
      <c r="M28" s="722"/>
      <c r="N28" s="722"/>
      <c r="O28" s="722"/>
      <c r="P28" s="722"/>
      <c r="Q28" s="722"/>
      <c r="R28" s="722"/>
      <c r="S28" s="722"/>
      <c r="T28" s="722"/>
      <c r="U28" s="722"/>
      <c r="V28" s="722"/>
      <c r="W28" s="722"/>
      <c r="X28" s="722"/>
      <c r="Y28" s="722"/>
    </row>
    <row r="29" spans="1:25" s="39" customFormat="1" ht="53.25" customHeight="1">
      <c r="A29" s="263"/>
      <c r="B29" s="263"/>
      <c r="C29" s="263" t="s">
        <v>290</v>
      </c>
      <c r="D29" s="903" t="s">
        <v>904</v>
      </c>
      <c r="E29" s="903"/>
      <c r="F29" s="903"/>
      <c r="G29" s="903"/>
      <c r="H29" s="903"/>
      <c r="I29" s="903"/>
      <c r="J29" s="903"/>
      <c r="K29" s="903"/>
      <c r="L29" s="903"/>
      <c r="M29" s="723"/>
      <c r="N29" s="722"/>
      <c r="O29" s="722"/>
      <c r="P29" s="722"/>
      <c r="Q29" s="722"/>
      <c r="R29" s="722"/>
      <c r="S29" s="722"/>
      <c r="T29" s="722"/>
      <c r="U29" s="722"/>
      <c r="V29" s="722"/>
      <c r="W29" s="722"/>
      <c r="X29" s="722"/>
      <c r="Y29" s="722"/>
    </row>
    <row r="30" spans="1:25" s="39" customFormat="1" ht="15">
      <c r="A30" s="263"/>
      <c r="B30" s="263"/>
      <c r="C30" s="263"/>
      <c r="M30" s="722"/>
      <c r="N30" s="722"/>
      <c r="O30" s="722"/>
      <c r="P30" s="722"/>
      <c r="Q30" s="722"/>
      <c r="R30" s="722"/>
      <c r="S30" s="722"/>
      <c r="T30" s="722"/>
      <c r="U30" s="722"/>
      <c r="V30" s="722"/>
      <c r="W30" s="722"/>
      <c r="X30" s="722"/>
      <c r="Y30" s="722"/>
    </row>
    <row r="31" spans="1:25" s="39" customFormat="1" ht="15">
      <c r="A31" s="263"/>
      <c r="B31" s="263"/>
      <c r="C31" s="263" t="s">
        <v>294</v>
      </c>
      <c r="D31" s="39" t="s">
        <v>295</v>
      </c>
      <c r="M31" s="722"/>
      <c r="N31" s="722"/>
      <c r="O31" s="722"/>
      <c r="P31" s="722"/>
      <c r="Q31" s="722"/>
      <c r="R31" s="722"/>
      <c r="S31" s="722"/>
      <c r="T31" s="722"/>
      <c r="U31" s="722"/>
      <c r="V31" s="722"/>
      <c r="W31" s="722"/>
      <c r="X31" s="722"/>
      <c r="Y31" s="722"/>
    </row>
    <row r="32" spans="1:25" s="39" customFormat="1" ht="15">
      <c r="A32" s="263"/>
      <c r="B32" s="263"/>
      <c r="C32" s="263"/>
      <c r="M32" s="722"/>
      <c r="N32" s="722"/>
      <c r="O32" s="722"/>
      <c r="P32" s="722"/>
      <c r="Q32" s="722"/>
      <c r="R32" s="722"/>
      <c r="S32" s="722"/>
      <c r="T32" s="722"/>
      <c r="U32" s="722"/>
      <c r="V32" s="722"/>
      <c r="W32" s="722"/>
      <c r="X32" s="722"/>
      <c r="Y32" s="722"/>
    </row>
    <row r="33" spans="1:25" s="39" customFormat="1" ht="32.25" customHeight="1">
      <c r="A33" s="263"/>
      <c r="B33" s="263"/>
      <c r="C33" s="263" t="s">
        <v>296</v>
      </c>
      <c r="D33" s="903" t="s">
        <v>905</v>
      </c>
      <c r="E33" s="903"/>
      <c r="F33" s="903"/>
      <c r="G33" s="903"/>
      <c r="H33" s="903"/>
      <c r="I33" s="903"/>
      <c r="J33" s="903"/>
      <c r="K33" s="903"/>
      <c r="L33" s="903"/>
      <c r="M33" s="722"/>
      <c r="N33" s="722"/>
      <c r="O33" s="722"/>
      <c r="P33" s="722"/>
      <c r="Q33" s="722"/>
      <c r="R33" s="722"/>
      <c r="S33" s="722"/>
      <c r="T33" s="722"/>
      <c r="U33" s="722"/>
      <c r="V33" s="722"/>
      <c r="W33" s="722"/>
      <c r="X33" s="722"/>
      <c r="Y33" s="722"/>
    </row>
    <row r="34" spans="1:25" s="39" customFormat="1" ht="12" customHeight="1">
      <c r="A34" s="263"/>
      <c r="B34" s="263"/>
      <c r="C34" s="263"/>
      <c r="M34" s="722"/>
      <c r="N34" s="722"/>
      <c r="O34" s="722"/>
      <c r="P34" s="722"/>
      <c r="Q34" s="722"/>
      <c r="R34" s="722"/>
      <c r="S34" s="722"/>
      <c r="T34" s="722"/>
      <c r="U34" s="722"/>
      <c r="V34" s="722"/>
      <c r="W34" s="722"/>
      <c r="X34" s="722"/>
      <c r="Y34" s="722"/>
    </row>
    <row r="35" spans="1:25" ht="45" customHeight="1">
      <c r="A35" s="263"/>
      <c r="B35" s="263" t="s">
        <v>906</v>
      </c>
      <c r="C35" s="902" t="s">
        <v>907</v>
      </c>
      <c r="D35" s="902"/>
      <c r="E35" s="902"/>
      <c r="F35" s="902"/>
      <c r="G35" s="902"/>
      <c r="H35" s="902"/>
      <c r="I35" s="902"/>
      <c r="J35" s="902"/>
      <c r="K35" s="902"/>
      <c r="L35" s="902"/>
    </row>
    <row r="36" spans="1:25" ht="13.5" customHeight="1">
      <c r="A36" s="263"/>
      <c r="B36" s="263"/>
      <c r="C36" s="263"/>
      <c r="D36" s="39"/>
      <c r="E36" s="39"/>
      <c r="F36" s="39"/>
      <c r="G36" s="39"/>
      <c r="H36" s="39"/>
      <c r="I36" s="39"/>
      <c r="J36" s="39"/>
      <c r="K36" s="39"/>
      <c r="L36" s="39"/>
    </row>
    <row r="37" spans="1:25">
      <c r="A37" s="263"/>
      <c r="B37" s="263" t="s">
        <v>908</v>
      </c>
      <c r="C37" s="263" t="s">
        <v>909</v>
      </c>
      <c r="D37" s="39"/>
      <c r="E37" s="39"/>
      <c r="F37" s="39"/>
      <c r="G37" s="39"/>
      <c r="H37" s="39"/>
      <c r="I37" s="39"/>
      <c r="J37" s="39"/>
      <c r="K37" s="39"/>
      <c r="L37" s="39"/>
    </row>
    <row r="38" spans="1:25" ht="12.75" customHeight="1">
      <c r="A38" s="271"/>
      <c r="B38" s="263"/>
      <c r="C38" s="263"/>
      <c r="D38" s="39"/>
      <c r="E38" s="39"/>
      <c r="F38" s="39"/>
      <c r="G38" s="39"/>
      <c r="H38" s="39"/>
      <c r="I38" s="39"/>
      <c r="J38" s="39"/>
      <c r="K38" s="39"/>
      <c r="L38" s="39"/>
    </row>
    <row r="39" spans="1:25">
      <c r="A39" s="263">
        <v>2.2000000000000002</v>
      </c>
      <c r="B39" s="263" t="s">
        <v>910</v>
      </c>
      <c r="C39" s="263"/>
      <c r="D39" s="39"/>
      <c r="E39" s="39"/>
      <c r="F39" s="39"/>
      <c r="G39" s="39"/>
      <c r="H39" s="39"/>
      <c r="I39" s="39"/>
      <c r="J39" s="39"/>
      <c r="K39" s="39"/>
      <c r="L39" s="39"/>
    </row>
    <row r="40" spans="1:25" ht="9.75" customHeight="1">
      <c r="A40" s="271"/>
      <c r="B40" s="263"/>
      <c r="C40" s="263"/>
      <c r="D40" s="39"/>
      <c r="E40" s="39"/>
      <c r="F40" s="39"/>
      <c r="G40" s="39"/>
      <c r="H40" s="39"/>
      <c r="I40" s="39"/>
      <c r="J40" s="39"/>
      <c r="K40" s="39"/>
      <c r="L40" s="39"/>
    </row>
    <row r="41" spans="1:25">
      <c r="L41" s="45" t="s">
        <v>299</v>
      </c>
    </row>
    <row r="42" spans="1:25">
      <c r="A42" s="900" t="str">
        <f>+CONCATENATE(M42,Control!D142)</f>
        <v>Address: Unit 402, 4/F., Fourseas Building, No. 208 Nathan Road, Kowloon</v>
      </c>
      <c r="B42" s="900"/>
      <c r="C42" s="900"/>
      <c r="D42" s="900"/>
      <c r="E42" s="900"/>
      <c r="F42" s="900"/>
      <c r="G42" s="900"/>
      <c r="H42" s="900"/>
      <c r="I42" s="900"/>
      <c r="J42" s="900"/>
      <c r="K42" s="900"/>
      <c r="L42" s="900"/>
      <c r="M42" s="594" t="s">
        <v>731</v>
      </c>
    </row>
    <row r="43" spans="1:25" ht="22.5">
      <c r="A43" s="899" t="str">
        <f>+A1</f>
        <v>Matthew S.H. Law Certified Public Accountant (Practising)</v>
      </c>
      <c r="B43" s="899"/>
      <c r="C43" s="899"/>
      <c r="D43" s="899"/>
      <c r="E43" s="899"/>
      <c r="F43" s="899"/>
      <c r="G43" s="899"/>
      <c r="H43" s="899"/>
      <c r="I43" s="899"/>
      <c r="J43" s="899"/>
      <c r="K43" s="899"/>
      <c r="L43" s="899"/>
    </row>
    <row r="45" spans="1:25" s="39" customFormat="1" ht="15">
      <c r="A45" s="272" t="s">
        <v>301</v>
      </c>
      <c r="B45" s="263"/>
      <c r="C45" s="263"/>
      <c r="M45" s="722"/>
      <c r="N45" s="722"/>
      <c r="O45" s="722"/>
      <c r="P45" s="722"/>
      <c r="Q45" s="722"/>
      <c r="R45" s="722"/>
      <c r="S45" s="722"/>
      <c r="T45" s="722"/>
      <c r="U45" s="722"/>
      <c r="V45" s="722"/>
      <c r="W45" s="722"/>
      <c r="X45" s="722"/>
      <c r="Y45" s="722"/>
    </row>
    <row r="46" spans="1:25" s="39" customFormat="1" ht="15">
      <c r="A46" s="263"/>
      <c r="B46" s="263"/>
      <c r="C46" s="263"/>
      <c r="M46" s="722"/>
      <c r="N46" s="722"/>
      <c r="O46" s="722"/>
      <c r="P46" s="722"/>
      <c r="Q46" s="722"/>
      <c r="R46" s="722"/>
      <c r="S46" s="722"/>
      <c r="T46" s="722"/>
      <c r="U46" s="722"/>
      <c r="V46" s="722"/>
      <c r="W46" s="722"/>
      <c r="X46" s="722"/>
      <c r="Y46" s="722"/>
    </row>
    <row r="47" spans="1:25" s="39" customFormat="1" ht="72.75" customHeight="1">
      <c r="A47" s="263">
        <v>3.1</v>
      </c>
      <c r="B47" s="903" t="s">
        <v>911</v>
      </c>
      <c r="C47" s="903"/>
      <c r="D47" s="903"/>
      <c r="E47" s="903"/>
      <c r="F47" s="903"/>
      <c r="G47" s="903"/>
      <c r="H47" s="903"/>
      <c r="I47" s="903"/>
      <c r="J47" s="903"/>
      <c r="K47" s="903"/>
      <c r="L47" s="903"/>
      <c r="M47" s="722"/>
      <c r="N47" s="722"/>
      <c r="O47" s="722"/>
      <c r="P47" s="722"/>
      <c r="Q47" s="722"/>
      <c r="R47" s="722"/>
      <c r="S47" s="722"/>
      <c r="T47" s="722"/>
      <c r="U47" s="722"/>
      <c r="V47" s="722"/>
      <c r="W47" s="722"/>
      <c r="X47" s="722"/>
      <c r="Y47" s="722"/>
    </row>
    <row r="48" spans="1:25" s="39" customFormat="1" ht="15">
      <c r="A48" s="263"/>
      <c r="B48" s="263" t="s">
        <v>306</v>
      </c>
      <c r="C48" s="904" t="s">
        <v>912</v>
      </c>
      <c r="D48" s="904"/>
      <c r="E48" s="904"/>
      <c r="F48" s="904"/>
      <c r="G48" s="904"/>
      <c r="H48" s="904"/>
      <c r="I48" s="904"/>
      <c r="J48" s="904"/>
      <c r="K48" s="904"/>
      <c r="L48" s="904"/>
      <c r="M48" s="722"/>
      <c r="N48" s="722"/>
      <c r="O48" s="722"/>
      <c r="P48" s="722"/>
      <c r="Q48" s="722"/>
      <c r="R48" s="722"/>
      <c r="S48" s="722"/>
      <c r="T48" s="722"/>
      <c r="U48" s="722"/>
      <c r="V48" s="722"/>
      <c r="W48" s="722"/>
      <c r="X48" s="722"/>
      <c r="Y48" s="722"/>
    </row>
    <row r="49" spans="1:25" s="39" customFormat="1" ht="15">
      <c r="A49" s="263"/>
      <c r="B49" s="263"/>
      <c r="C49" s="263"/>
      <c r="M49" s="722"/>
      <c r="N49" s="722"/>
      <c r="O49" s="722"/>
      <c r="P49" s="722"/>
      <c r="Q49" s="722"/>
      <c r="R49" s="722"/>
      <c r="S49" s="722"/>
      <c r="T49" s="722"/>
      <c r="U49" s="722"/>
      <c r="V49" s="722"/>
      <c r="W49" s="722"/>
      <c r="X49" s="722"/>
      <c r="Y49" s="722"/>
    </row>
    <row r="50" spans="1:25" s="39" customFormat="1" ht="15">
      <c r="A50" s="263"/>
      <c r="B50" s="263" t="s">
        <v>309</v>
      </c>
      <c r="C50" s="901" t="s">
        <v>913</v>
      </c>
      <c r="D50" s="901"/>
      <c r="E50" s="901"/>
      <c r="F50" s="901"/>
      <c r="G50" s="901"/>
      <c r="H50" s="901"/>
      <c r="I50" s="901"/>
      <c r="J50" s="901"/>
      <c r="K50" s="901"/>
      <c r="L50" s="901"/>
      <c r="M50" s="722"/>
      <c r="N50" s="722"/>
      <c r="O50" s="722"/>
      <c r="P50" s="722"/>
      <c r="Q50" s="722"/>
      <c r="R50" s="722"/>
      <c r="S50" s="722"/>
      <c r="T50" s="722"/>
      <c r="U50" s="722"/>
      <c r="V50" s="722"/>
      <c r="W50" s="722"/>
      <c r="X50" s="722"/>
      <c r="Y50" s="722"/>
    </row>
    <row r="51" spans="1:25" s="39" customFormat="1" ht="12" customHeight="1">
      <c r="A51" s="263"/>
      <c r="B51" s="263"/>
      <c r="C51" s="263"/>
      <c r="M51" s="722"/>
      <c r="N51" s="722"/>
      <c r="O51" s="722"/>
      <c r="P51" s="722"/>
      <c r="Q51" s="722"/>
      <c r="R51" s="722"/>
      <c r="S51" s="722"/>
      <c r="T51" s="722"/>
      <c r="U51" s="722"/>
      <c r="V51" s="722"/>
      <c r="W51" s="722"/>
      <c r="X51" s="722"/>
      <c r="Y51" s="722"/>
    </row>
    <row r="52" spans="1:25" s="39" customFormat="1" ht="42" customHeight="1">
      <c r="A52" s="263"/>
      <c r="B52" s="903" t="s">
        <v>914</v>
      </c>
      <c r="C52" s="903"/>
      <c r="D52" s="903"/>
      <c r="E52" s="903"/>
      <c r="F52" s="903"/>
      <c r="G52" s="903"/>
      <c r="H52" s="903"/>
      <c r="I52" s="903"/>
      <c r="J52" s="903"/>
      <c r="K52" s="903"/>
      <c r="L52" s="903"/>
      <c r="M52" s="722"/>
      <c r="N52" s="722"/>
      <c r="O52" s="722"/>
      <c r="P52" s="722"/>
      <c r="Q52" s="722"/>
      <c r="R52" s="722"/>
      <c r="S52" s="722"/>
      <c r="T52" s="722"/>
      <c r="U52" s="722"/>
      <c r="V52" s="722"/>
      <c r="W52" s="722"/>
      <c r="X52" s="722"/>
      <c r="Y52" s="722"/>
    </row>
    <row r="53" spans="1:25" s="39" customFormat="1" ht="54" customHeight="1">
      <c r="A53" s="263"/>
      <c r="B53" s="903" t="s">
        <v>915</v>
      </c>
      <c r="C53" s="903"/>
      <c r="D53" s="903"/>
      <c r="E53" s="903"/>
      <c r="F53" s="903"/>
      <c r="G53" s="903"/>
      <c r="H53" s="903"/>
      <c r="I53" s="903"/>
      <c r="J53" s="903"/>
      <c r="K53" s="903"/>
      <c r="L53" s="903"/>
      <c r="M53" s="722"/>
      <c r="N53" s="722"/>
      <c r="O53" s="722"/>
      <c r="P53" s="722"/>
      <c r="Q53" s="722"/>
      <c r="R53" s="722"/>
      <c r="S53" s="722"/>
      <c r="T53" s="722"/>
      <c r="U53" s="722"/>
      <c r="V53" s="722"/>
      <c r="W53" s="722"/>
      <c r="X53" s="722"/>
      <c r="Y53" s="722"/>
    </row>
    <row r="54" spans="1:25" s="39" customFormat="1" ht="57.75" customHeight="1">
      <c r="A54" s="263">
        <v>3.2</v>
      </c>
      <c r="B54" s="902" t="s">
        <v>916</v>
      </c>
      <c r="C54" s="902"/>
      <c r="D54" s="902"/>
      <c r="E54" s="902"/>
      <c r="F54" s="902"/>
      <c r="G54" s="902"/>
      <c r="H54" s="902"/>
      <c r="I54" s="902"/>
      <c r="J54" s="902"/>
      <c r="K54" s="902"/>
      <c r="L54" s="902"/>
      <c r="M54" s="722"/>
      <c r="N54" s="722"/>
      <c r="O54" s="722"/>
      <c r="P54" s="722"/>
      <c r="Q54" s="722"/>
      <c r="R54" s="722"/>
      <c r="S54" s="722"/>
      <c r="T54" s="722"/>
      <c r="U54" s="722"/>
      <c r="V54" s="722"/>
      <c r="W54" s="722"/>
      <c r="X54" s="722"/>
      <c r="Y54" s="722"/>
    </row>
    <row r="55" spans="1:25" s="39" customFormat="1" ht="30" customHeight="1">
      <c r="A55" s="263"/>
      <c r="B55" s="263" t="s">
        <v>306</v>
      </c>
      <c r="C55" s="902" t="s">
        <v>917</v>
      </c>
      <c r="D55" s="902"/>
      <c r="E55" s="902"/>
      <c r="F55" s="902"/>
      <c r="G55" s="902"/>
      <c r="H55" s="902"/>
      <c r="I55" s="902"/>
      <c r="J55" s="902"/>
      <c r="K55" s="902"/>
      <c r="L55" s="902"/>
      <c r="M55" s="722"/>
      <c r="N55" s="722"/>
      <c r="O55" s="722"/>
      <c r="P55" s="722"/>
      <c r="Q55" s="722"/>
      <c r="R55" s="722"/>
      <c r="S55" s="722"/>
      <c r="T55" s="722"/>
      <c r="U55" s="722"/>
      <c r="V55" s="722"/>
      <c r="W55" s="722"/>
      <c r="X55" s="722"/>
      <c r="Y55" s="722"/>
    </row>
    <row r="56" spans="1:25" s="39" customFormat="1" ht="15">
      <c r="A56" s="263"/>
      <c r="B56" s="263" t="s">
        <v>322</v>
      </c>
      <c r="C56" s="263" t="s">
        <v>918</v>
      </c>
      <c r="M56" s="722"/>
      <c r="N56" s="722"/>
      <c r="O56" s="722"/>
      <c r="P56" s="722"/>
      <c r="Q56" s="722"/>
      <c r="R56" s="722"/>
      <c r="S56" s="722"/>
      <c r="T56" s="722"/>
      <c r="U56" s="722"/>
      <c r="V56" s="722"/>
      <c r="W56" s="722"/>
      <c r="X56" s="722"/>
      <c r="Y56" s="722"/>
    </row>
    <row r="57" spans="1:25" s="39" customFormat="1" ht="11.25" customHeight="1">
      <c r="A57" s="263"/>
      <c r="B57" s="263"/>
      <c r="C57" s="263"/>
      <c r="M57" s="722"/>
      <c r="N57" s="722"/>
      <c r="O57" s="722"/>
      <c r="P57" s="722"/>
      <c r="Q57" s="722"/>
      <c r="R57" s="722"/>
      <c r="S57" s="722"/>
      <c r="T57" s="722"/>
      <c r="U57" s="722"/>
      <c r="V57" s="722"/>
      <c r="W57" s="722"/>
      <c r="X57" s="722"/>
      <c r="Y57" s="722"/>
    </row>
    <row r="58" spans="1:25" s="39" customFormat="1" ht="92.25" customHeight="1">
      <c r="A58" s="263">
        <v>3.3</v>
      </c>
      <c r="B58" s="902" t="s">
        <v>919</v>
      </c>
      <c r="C58" s="902"/>
      <c r="D58" s="902"/>
      <c r="E58" s="902"/>
      <c r="F58" s="902"/>
      <c r="G58" s="902"/>
      <c r="H58" s="902"/>
      <c r="I58" s="902"/>
      <c r="J58" s="902"/>
      <c r="K58" s="902"/>
      <c r="L58" s="902"/>
      <c r="M58" s="722"/>
      <c r="N58" s="722"/>
      <c r="O58" s="722"/>
      <c r="P58" s="722"/>
      <c r="Q58" s="722"/>
      <c r="R58" s="722"/>
      <c r="S58" s="722"/>
      <c r="T58" s="722"/>
      <c r="U58" s="722"/>
      <c r="V58" s="722"/>
      <c r="W58" s="722"/>
      <c r="X58" s="722"/>
      <c r="Y58" s="722"/>
    </row>
    <row r="59" spans="1:25" s="39" customFormat="1" ht="15">
      <c r="A59" s="272" t="s">
        <v>324</v>
      </c>
      <c r="B59" s="263"/>
      <c r="C59" s="263"/>
      <c r="M59" s="722"/>
      <c r="N59" s="722"/>
      <c r="O59" s="722"/>
      <c r="P59" s="722"/>
      <c r="Q59" s="722"/>
      <c r="R59" s="722"/>
      <c r="S59" s="722"/>
      <c r="T59" s="722"/>
      <c r="U59" s="722"/>
      <c r="V59" s="722"/>
      <c r="W59" s="722"/>
      <c r="X59" s="722"/>
      <c r="Y59" s="722"/>
    </row>
    <row r="60" spans="1:25" s="39" customFormat="1" ht="9.75" customHeight="1">
      <c r="A60" s="263"/>
      <c r="B60" s="263"/>
      <c r="C60" s="263"/>
      <c r="M60" s="722"/>
      <c r="N60" s="722"/>
      <c r="O60" s="722"/>
      <c r="P60" s="722"/>
      <c r="Q60" s="722"/>
      <c r="R60" s="722"/>
      <c r="S60" s="722"/>
      <c r="T60" s="722"/>
      <c r="U60" s="722"/>
      <c r="V60" s="722"/>
      <c r="W60" s="722"/>
      <c r="X60" s="722"/>
      <c r="Y60" s="722"/>
    </row>
    <row r="61" spans="1:25" s="39" customFormat="1" ht="133.5" customHeight="1">
      <c r="A61" s="263">
        <v>4.0999999999999996</v>
      </c>
      <c r="B61" s="902" t="s">
        <v>920</v>
      </c>
      <c r="C61" s="902"/>
      <c r="D61" s="902"/>
      <c r="E61" s="902"/>
      <c r="F61" s="902"/>
      <c r="G61" s="902"/>
      <c r="H61" s="902"/>
      <c r="I61" s="902"/>
      <c r="J61" s="902"/>
      <c r="K61" s="902"/>
      <c r="L61" s="902"/>
      <c r="M61" s="722"/>
      <c r="N61" s="722"/>
      <c r="O61" s="722"/>
      <c r="P61" s="722"/>
      <c r="Q61" s="722"/>
      <c r="R61" s="722"/>
      <c r="S61" s="722"/>
      <c r="T61" s="722"/>
      <c r="U61" s="722"/>
      <c r="V61" s="722"/>
      <c r="W61" s="722"/>
      <c r="X61" s="722"/>
      <c r="Y61" s="722"/>
    </row>
    <row r="62" spans="1:25" s="39" customFormat="1" ht="59.25" customHeight="1">
      <c r="A62" s="263">
        <v>4.2</v>
      </c>
      <c r="B62" s="902" t="s">
        <v>921</v>
      </c>
      <c r="C62" s="902"/>
      <c r="D62" s="902"/>
      <c r="E62" s="902"/>
      <c r="F62" s="902"/>
      <c r="G62" s="902"/>
      <c r="H62" s="902"/>
      <c r="I62" s="902"/>
      <c r="J62" s="902"/>
      <c r="K62" s="902"/>
      <c r="L62" s="902"/>
      <c r="M62" s="722"/>
      <c r="N62" s="722"/>
      <c r="O62" s="722"/>
      <c r="P62" s="722"/>
      <c r="Q62" s="722"/>
      <c r="R62" s="722"/>
      <c r="S62" s="722"/>
      <c r="T62" s="722"/>
      <c r="U62" s="722"/>
      <c r="V62" s="722"/>
      <c r="W62" s="722"/>
      <c r="X62" s="722"/>
      <c r="Y62" s="722"/>
    </row>
    <row r="63" spans="1:25" s="39" customFormat="1" ht="105" customHeight="1">
      <c r="A63" s="263">
        <v>4.3</v>
      </c>
      <c r="B63" s="902" t="s">
        <v>922</v>
      </c>
      <c r="C63" s="902"/>
      <c r="D63" s="902"/>
      <c r="E63" s="902"/>
      <c r="F63" s="902"/>
      <c r="G63" s="902"/>
      <c r="H63" s="902"/>
      <c r="I63" s="902"/>
      <c r="J63" s="902"/>
      <c r="K63" s="902"/>
      <c r="L63" s="902"/>
      <c r="M63" s="722"/>
      <c r="N63" s="722"/>
      <c r="O63" s="722"/>
      <c r="P63" s="722"/>
      <c r="Q63" s="722"/>
      <c r="R63" s="722"/>
      <c r="S63" s="722"/>
      <c r="T63" s="722"/>
      <c r="U63" s="722"/>
      <c r="V63" s="722"/>
      <c r="W63" s="722"/>
      <c r="X63" s="722"/>
      <c r="Y63" s="722"/>
    </row>
    <row r="64" spans="1:25" s="39" customFormat="1" ht="15">
      <c r="A64" s="263"/>
      <c r="B64" s="462"/>
      <c r="C64" s="462"/>
      <c r="D64" s="462"/>
      <c r="E64" s="462"/>
      <c r="F64" s="462"/>
      <c r="G64" s="462"/>
      <c r="H64" s="462"/>
      <c r="I64" s="462"/>
      <c r="J64" s="462"/>
      <c r="K64" s="462"/>
      <c r="L64" s="45" t="s">
        <v>338</v>
      </c>
      <c r="M64" s="722"/>
      <c r="N64" s="722"/>
      <c r="O64" s="722"/>
      <c r="P64" s="722"/>
      <c r="Q64" s="722"/>
      <c r="R64" s="722"/>
      <c r="S64" s="722"/>
      <c r="T64" s="722"/>
      <c r="U64" s="722"/>
      <c r="V64" s="722"/>
      <c r="W64" s="722"/>
      <c r="X64" s="722"/>
      <c r="Y64" s="722"/>
    </row>
    <row r="65" spans="1:25">
      <c r="A65" s="900" t="str">
        <f>+A42</f>
        <v>Address: Unit 402, 4/F., Fourseas Building, No. 208 Nathan Road, Kowloon</v>
      </c>
      <c r="B65" s="900"/>
      <c r="C65" s="900"/>
      <c r="D65" s="900"/>
      <c r="E65" s="900"/>
      <c r="F65" s="900"/>
      <c r="G65" s="900"/>
      <c r="H65" s="900"/>
      <c r="I65" s="900"/>
      <c r="J65" s="900"/>
      <c r="K65" s="900"/>
      <c r="L65" s="900"/>
    </row>
    <row r="66" spans="1:25" ht="22.5">
      <c r="A66" s="899" t="str">
        <f>+A1</f>
        <v>Matthew S.H. Law Certified Public Accountant (Practising)</v>
      </c>
      <c r="B66" s="899"/>
      <c r="C66" s="899"/>
      <c r="D66" s="899"/>
      <c r="E66" s="899"/>
      <c r="F66" s="899"/>
      <c r="G66" s="899"/>
      <c r="H66" s="899"/>
      <c r="I66" s="899"/>
      <c r="J66" s="899"/>
      <c r="K66" s="899"/>
      <c r="L66" s="899"/>
    </row>
    <row r="68" spans="1:25" s="39" customFormat="1" ht="98.1" customHeight="1">
      <c r="A68" s="263">
        <v>4.4000000000000004</v>
      </c>
      <c r="B68" s="902" t="s">
        <v>923</v>
      </c>
      <c r="C68" s="902"/>
      <c r="D68" s="902"/>
      <c r="E68" s="902"/>
      <c r="F68" s="902"/>
      <c r="G68" s="902"/>
      <c r="H68" s="902"/>
      <c r="I68" s="902"/>
      <c r="J68" s="902"/>
      <c r="K68" s="902"/>
      <c r="L68" s="902"/>
      <c r="M68" s="722"/>
      <c r="N68" s="722"/>
      <c r="O68" s="722"/>
      <c r="P68" s="722"/>
      <c r="Q68" s="722"/>
      <c r="R68" s="722"/>
      <c r="S68" s="722"/>
      <c r="T68" s="722"/>
      <c r="U68" s="722"/>
      <c r="V68" s="722"/>
      <c r="W68" s="722"/>
      <c r="X68" s="722"/>
      <c r="Y68" s="722"/>
    </row>
    <row r="69" spans="1:25" s="39" customFormat="1" ht="15">
      <c r="A69" s="263"/>
      <c r="B69" s="263"/>
      <c r="C69" s="263"/>
      <c r="M69" s="722"/>
      <c r="N69" s="722"/>
      <c r="O69" s="722"/>
      <c r="P69" s="722"/>
      <c r="Q69" s="722"/>
      <c r="R69" s="722"/>
      <c r="S69" s="722"/>
      <c r="T69" s="722"/>
      <c r="U69" s="722"/>
      <c r="V69" s="722"/>
      <c r="W69" s="722"/>
      <c r="X69" s="722"/>
      <c r="Y69" s="722"/>
    </row>
    <row r="70" spans="1:25" s="39" customFormat="1" ht="66" customHeight="1">
      <c r="A70" s="263">
        <v>4.5</v>
      </c>
      <c r="B70" s="902" t="s">
        <v>924</v>
      </c>
      <c r="C70" s="902"/>
      <c r="D70" s="902"/>
      <c r="E70" s="902"/>
      <c r="F70" s="902"/>
      <c r="G70" s="902"/>
      <c r="H70" s="902"/>
      <c r="I70" s="902"/>
      <c r="J70" s="902"/>
      <c r="K70" s="902"/>
      <c r="L70" s="902"/>
      <c r="M70" s="722"/>
      <c r="N70" s="722"/>
      <c r="O70" s="722"/>
      <c r="P70" s="722"/>
      <c r="Q70" s="722"/>
      <c r="R70" s="722"/>
      <c r="S70" s="722"/>
      <c r="T70" s="722"/>
      <c r="U70" s="722"/>
      <c r="V70" s="722"/>
      <c r="W70" s="722"/>
      <c r="X70" s="722"/>
      <c r="Y70" s="722"/>
    </row>
    <row r="71" spans="1:25" s="39" customFormat="1" ht="15">
      <c r="A71" s="263"/>
      <c r="B71" s="263"/>
      <c r="C71" s="263"/>
      <c r="M71" s="722"/>
      <c r="N71" s="722"/>
      <c r="O71" s="722"/>
      <c r="P71" s="722"/>
      <c r="Q71" s="722"/>
      <c r="R71" s="722"/>
      <c r="S71" s="722"/>
      <c r="T71" s="722"/>
      <c r="U71" s="722"/>
      <c r="V71" s="722"/>
      <c r="W71" s="722"/>
      <c r="X71" s="722"/>
      <c r="Y71" s="722"/>
    </row>
    <row r="72" spans="1:25" s="39" customFormat="1" ht="96.6" customHeight="1">
      <c r="A72" s="263">
        <v>4.5999999999999996</v>
      </c>
      <c r="B72" s="902" t="s">
        <v>925</v>
      </c>
      <c r="C72" s="902"/>
      <c r="D72" s="902"/>
      <c r="E72" s="902"/>
      <c r="F72" s="902"/>
      <c r="G72" s="902"/>
      <c r="H72" s="902"/>
      <c r="I72" s="902"/>
      <c r="J72" s="902"/>
      <c r="K72" s="902"/>
      <c r="L72" s="902"/>
      <c r="M72" s="722"/>
      <c r="N72" s="722"/>
      <c r="O72" s="722"/>
      <c r="P72" s="722"/>
      <c r="Q72" s="722"/>
      <c r="R72" s="722"/>
      <c r="S72" s="722"/>
      <c r="T72" s="722"/>
      <c r="U72" s="722"/>
      <c r="V72" s="722"/>
      <c r="W72" s="722"/>
      <c r="X72" s="722"/>
      <c r="Y72" s="722"/>
    </row>
    <row r="73" spans="1:25" s="39" customFormat="1" ht="15">
      <c r="A73" s="263"/>
      <c r="B73" s="263"/>
      <c r="C73" s="263"/>
      <c r="M73" s="722"/>
      <c r="N73" s="722"/>
      <c r="O73" s="722"/>
      <c r="P73" s="722"/>
      <c r="Q73" s="722"/>
      <c r="R73" s="722"/>
      <c r="S73" s="722"/>
      <c r="T73" s="722"/>
      <c r="U73" s="722"/>
      <c r="V73" s="722"/>
      <c r="W73" s="722"/>
      <c r="X73" s="722"/>
      <c r="Y73" s="722"/>
    </row>
    <row r="74" spans="1:25" s="39" customFormat="1" ht="57.75" customHeight="1">
      <c r="A74" s="263">
        <v>4.7</v>
      </c>
      <c r="B74" s="902" t="s">
        <v>926</v>
      </c>
      <c r="C74" s="902"/>
      <c r="D74" s="902"/>
      <c r="E74" s="902"/>
      <c r="F74" s="902"/>
      <c r="G74" s="902"/>
      <c r="H74" s="902"/>
      <c r="I74" s="902"/>
      <c r="J74" s="902"/>
      <c r="K74" s="902"/>
      <c r="L74" s="902"/>
      <c r="M74" s="722"/>
      <c r="N74" s="722"/>
      <c r="O74" s="722"/>
      <c r="P74" s="722"/>
      <c r="Q74" s="722"/>
      <c r="R74" s="722"/>
      <c r="S74" s="722"/>
      <c r="T74" s="722"/>
      <c r="U74" s="722"/>
      <c r="V74" s="722"/>
      <c r="W74" s="722"/>
      <c r="X74" s="722"/>
      <c r="Y74" s="722"/>
    </row>
    <row r="75" spans="1:25" s="39" customFormat="1" ht="15">
      <c r="A75" s="263"/>
      <c r="B75" s="263"/>
      <c r="C75" s="263"/>
      <c r="M75" s="722"/>
      <c r="N75" s="722"/>
      <c r="O75" s="722"/>
      <c r="P75" s="722"/>
      <c r="Q75" s="722"/>
      <c r="R75" s="722"/>
      <c r="S75" s="722"/>
      <c r="T75" s="722"/>
      <c r="U75" s="722"/>
      <c r="V75" s="722"/>
      <c r="W75" s="722"/>
      <c r="X75" s="722"/>
      <c r="Y75" s="722"/>
    </row>
    <row r="76" spans="1:25" s="39" customFormat="1" ht="60.75" customHeight="1">
      <c r="A76" s="263">
        <v>4.8</v>
      </c>
      <c r="B76" s="902" t="s">
        <v>927</v>
      </c>
      <c r="C76" s="902"/>
      <c r="D76" s="902"/>
      <c r="E76" s="902"/>
      <c r="F76" s="902"/>
      <c r="G76" s="902"/>
      <c r="H76" s="902"/>
      <c r="I76" s="902"/>
      <c r="J76" s="902"/>
      <c r="K76" s="902"/>
      <c r="L76" s="902"/>
      <c r="M76" s="722"/>
      <c r="N76" s="722"/>
      <c r="O76" s="722"/>
      <c r="P76" s="722"/>
      <c r="Q76" s="722"/>
      <c r="R76" s="722"/>
      <c r="S76" s="722"/>
      <c r="T76" s="722"/>
      <c r="U76" s="722"/>
      <c r="V76" s="722"/>
      <c r="W76" s="722"/>
      <c r="X76" s="722"/>
      <c r="Y76" s="722"/>
    </row>
    <row r="77" spans="1:25" s="39" customFormat="1" ht="15">
      <c r="A77" s="263"/>
      <c r="B77" s="263"/>
      <c r="C77" s="263"/>
      <c r="M77" s="722"/>
      <c r="N77" s="722"/>
      <c r="O77" s="722"/>
      <c r="P77" s="722"/>
      <c r="Q77" s="722"/>
      <c r="R77" s="722"/>
      <c r="S77" s="722"/>
      <c r="T77" s="722"/>
      <c r="U77" s="722"/>
      <c r="V77" s="722"/>
      <c r="W77" s="722"/>
      <c r="X77" s="722"/>
      <c r="Y77" s="722"/>
    </row>
    <row r="78" spans="1:25" s="39" customFormat="1">
      <c r="A78" s="269" t="s">
        <v>365</v>
      </c>
      <c r="B78" s="263"/>
      <c r="C78" s="263"/>
      <c r="M78" s="722"/>
      <c r="N78" s="722"/>
      <c r="O78" s="722"/>
      <c r="P78" s="722"/>
      <c r="Q78" s="722"/>
      <c r="R78" s="722"/>
      <c r="S78" s="722"/>
      <c r="T78" s="722"/>
      <c r="U78" s="722"/>
      <c r="V78" s="722"/>
      <c r="W78" s="722"/>
      <c r="X78" s="722"/>
      <c r="Y78" s="722"/>
    </row>
    <row r="79" spans="1:25" s="39" customFormat="1" ht="15">
      <c r="A79" s="263"/>
      <c r="B79" s="263"/>
      <c r="C79" s="263"/>
      <c r="M79" s="722"/>
      <c r="N79" s="722"/>
      <c r="O79" s="722"/>
      <c r="P79" s="722"/>
      <c r="Q79" s="722"/>
      <c r="R79" s="722"/>
      <c r="S79" s="722"/>
      <c r="T79" s="722"/>
      <c r="U79" s="722"/>
      <c r="V79" s="722"/>
      <c r="W79" s="722"/>
      <c r="X79" s="722"/>
      <c r="Y79" s="722"/>
    </row>
    <row r="80" spans="1:25" s="39" customFormat="1" ht="26.1" customHeight="1">
      <c r="A80" s="263">
        <v>5.0999999999999996</v>
      </c>
      <c r="B80" s="263" t="s">
        <v>366</v>
      </c>
      <c r="C80" s="263"/>
      <c r="M80" s="722"/>
      <c r="N80" s="722"/>
      <c r="O80" s="722"/>
      <c r="P80" s="722"/>
      <c r="Q80" s="722"/>
      <c r="R80" s="722"/>
      <c r="S80" s="722"/>
      <c r="T80" s="722"/>
      <c r="U80" s="722"/>
      <c r="V80" s="722"/>
      <c r="W80" s="722"/>
      <c r="X80" s="722"/>
      <c r="Y80" s="722"/>
    </row>
    <row r="81" spans="1:25" s="39" customFormat="1" ht="15">
      <c r="A81" s="263"/>
      <c r="B81" s="263"/>
      <c r="C81" s="263"/>
      <c r="M81" s="722"/>
      <c r="N81" s="722"/>
      <c r="O81" s="722"/>
      <c r="P81" s="722"/>
      <c r="Q81" s="722"/>
      <c r="R81" s="722"/>
      <c r="S81" s="722"/>
      <c r="T81" s="722"/>
      <c r="U81" s="722"/>
      <c r="V81" s="722"/>
      <c r="W81" s="722"/>
      <c r="X81" s="722"/>
      <c r="Y81" s="722"/>
    </row>
    <row r="82" spans="1:25" s="39" customFormat="1" ht="15">
      <c r="A82" s="263"/>
      <c r="B82" s="263"/>
      <c r="C82" s="263"/>
      <c r="M82" s="722"/>
      <c r="N82" s="722"/>
      <c r="O82" s="722"/>
      <c r="P82" s="722"/>
      <c r="Q82" s="722"/>
      <c r="R82" s="722"/>
      <c r="S82" s="722"/>
      <c r="T82" s="722"/>
      <c r="U82" s="722"/>
      <c r="V82" s="722"/>
      <c r="W82" s="722"/>
      <c r="X82" s="722"/>
      <c r="Y82" s="722"/>
    </row>
    <row r="83" spans="1:25" s="39" customFormat="1" ht="15">
      <c r="A83" s="263"/>
      <c r="B83" s="263"/>
      <c r="C83" s="263"/>
      <c r="M83" s="722"/>
      <c r="N83" s="722"/>
      <c r="O83" s="722"/>
      <c r="P83" s="722"/>
      <c r="Q83" s="722"/>
      <c r="R83" s="722"/>
      <c r="S83" s="722"/>
      <c r="T83" s="722"/>
      <c r="U83" s="722"/>
      <c r="V83" s="722"/>
      <c r="W83" s="722"/>
      <c r="X83" s="722"/>
      <c r="Y83" s="722"/>
    </row>
    <row r="84" spans="1:25" s="39" customFormat="1" ht="15">
      <c r="A84" s="263"/>
      <c r="B84" s="263"/>
      <c r="C84" s="263"/>
      <c r="M84" s="722"/>
      <c r="N84" s="722"/>
      <c r="O84" s="722"/>
      <c r="P84" s="722"/>
      <c r="Q84" s="722"/>
      <c r="R84" s="722"/>
      <c r="S84" s="722"/>
      <c r="T84" s="722"/>
      <c r="U84" s="722"/>
      <c r="V84" s="722"/>
      <c r="W84" s="722"/>
      <c r="X84" s="722"/>
      <c r="Y84" s="722"/>
    </row>
    <row r="85" spans="1:25" s="39" customFormat="1" ht="15">
      <c r="A85" s="263"/>
      <c r="B85" s="263"/>
      <c r="C85" s="263"/>
      <c r="M85" s="722"/>
      <c r="N85" s="722"/>
      <c r="O85" s="722"/>
      <c r="P85" s="722"/>
      <c r="Q85" s="722"/>
      <c r="R85" s="722"/>
      <c r="S85" s="722"/>
      <c r="T85" s="722"/>
      <c r="U85" s="722"/>
      <c r="V85" s="722"/>
      <c r="W85" s="722"/>
      <c r="X85" s="722"/>
      <c r="Y85" s="722"/>
    </row>
    <row r="86" spans="1:25" s="39" customFormat="1" ht="15">
      <c r="A86" s="263"/>
      <c r="B86" s="263"/>
      <c r="C86" s="263"/>
      <c r="M86" s="722"/>
      <c r="N86" s="722"/>
      <c r="O86" s="722"/>
      <c r="P86" s="722"/>
      <c r="Q86" s="722"/>
      <c r="R86" s="722"/>
      <c r="S86" s="722"/>
      <c r="T86" s="722"/>
      <c r="U86" s="722"/>
      <c r="V86" s="722"/>
      <c r="W86" s="722"/>
      <c r="X86" s="722"/>
      <c r="Y86" s="722"/>
    </row>
    <row r="87" spans="1:25" s="39" customFormat="1" ht="15">
      <c r="A87" s="263"/>
      <c r="B87" s="263"/>
      <c r="C87" s="263"/>
      <c r="M87" s="722"/>
      <c r="N87" s="722"/>
      <c r="O87" s="722"/>
      <c r="P87" s="722"/>
      <c r="Q87" s="722"/>
      <c r="R87" s="722"/>
      <c r="S87" s="722"/>
      <c r="T87" s="722"/>
      <c r="U87" s="722"/>
      <c r="V87" s="722"/>
      <c r="W87" s="722"/>
      <c r="X87" s="722"/>
      <c r="Y87" s="722"/>
    </row>
    <row r="88" spans="1:25" s="39" customFormat="1" ht="15">
      <c r="A88" s="263"/>
      <c r="B88" s="263"/>
      <c r="C88" s="263"/>
      <c r="M88" s="722"/>
      <c r="N88" s="722"/>
      <c r="O88" s="722"/>
      <c r="P88" s="722"/>
      <c r="Q88" s="722"/>
      <c r="R88" s="722"/>
      <c r="S88" s="722"/>
      <c r="T88" s="722"/>
      <c r="U88" s="722"/>
      <c r="V88" s="722"/>
      <c r="W88" s="722"/>
      <c r="X88" s="722"/>
      <c r="Y88" s="722"/>
    </row>
    <row r="89" spans="1:25" s="39" customFormat="1" ht="15">
      <c r="A89" s="263"/>
      <c r="B89" s="263"/>
      <c r="C89" s="263"/>
      <c r="M89" s="722"/>
      <c r="N89" s="722"/>
      <c r="O89" s="722"/>
      <c r="P89" s="722"/>
      <c r="Q89" s="722"/>
      <c r="R89" s="722"/>
      <c r="S89" s="722"/>
      <c r="T89" s="722"/>
      <c r="U89" s="722"/>
      <c r="V89" s="722"/>
      <c r="W89" s="722"/>
      <c r="X89" s="722"/>
      <c r="Y89" s="722"/>
    </row>
    <row r="90" spans="1:25" s="39" customFormat="1" ht="15">
      <c r="A90" s="263"/>
      <c r="B90" s="263"/>
      <c r="C90" s="263"/>
      <c r="M90" s="722"/>
      <c r="N90" s="722"/>
      <c r="O90" s="722"/>
      <c r="P90" s="722"/>
      <c r="Q90" s="722"/>
      <c r="R90" s="722"/>
      <c r="S90" s="722"/>
      <c r="T90" s="722"/>
      <c r="U90" s="722"/>
      <c r="V90" s="722"/>
      <c r="W90" s="722"/>
      <c r="X90" s="722"/>
      <c r="Y90" s="722"/>
    </row>
    <row r="91" spans="1:25" s="39" customFormat="1" ht="15">
      <c r="A91" s="263"/>
      <c r="B91" s="263"/>
      <c r="C91" s="263"/>
      <c r="M91" s="722"/>
      <c r="N91" s="722"/>
      <c r="O91" s="722"/>
      <c r="P91" s="722"/>
      <c r="Q91" s="722"/>
      <c r="R91" s="722"/>
      <c r="S91" s="722"/>
      <c r="T91" s="722"/>
      <c r="U91" s="722"/>
      <c r="V91" s="722"/>
      <c r="W91" s="722"/>
      <c r="X91" s="722"/>
      <c r="Y91" s="722"/>
    </row>
    <row r="92" spans="1:25" s="39" customFormat="1" ht="15">
      <c r="A92" s="263"/>
      <c r="B92" s="263"/>
      <c r="C92" s="263"/>
      <c r="M92" s="722"/>
      <c r="N92" s="722"/>
      <c r="O92" s="722"/>
      <c r="P92" s="722"/>
      <c r="Q92" s="722"/>
      <c r="R92" s="722"/>
      <c r="S92" s="722"/>
      <c r="T92" s="722"/>
      <c r="U92" s="722"/>
      <c r="V92" s="722"/>
      <c r="W92" s="722"/>
      <c r="X92" s="722"/>
      <c r="Y92" s="722"/>
    </row>
    <row r="93" spans="1:25" s="39" customFormat="1" ht="15">
      <c r="A93" s="263"/>
      <c r="B93" s="263"/>
      <c r="C93" s="263"/>
      <c r="M93" s="722"/>
      <c r="N93" s="722"/>
      <c r="O93" s="722"/>
      <c r="P93" s="722"/>
      <c r="Q93" s="722"/>
      <c r="R93" s="722"/>
      <c r="S93" s="722"/>
      <c r="T93" s="722"/>
      <c r="U93" s="722"/>
      <c r="V93" s="722"/>
      <c r="W93" s="722"/>
      <c r="X93" s="722"/>
      <c r="Y93" s="722"/>
    </row>
    <row r="94" spans="1:25" s="39" customFormat="1" ht="15">
      <c r="A94" s="263"/>
      <c r="B94" s="263"/>
      <c r="C94" s="263"/>
      <c r="M94" s="722"/>
      <c r="N94" s="722"/>
      <c r="O94" s="722"/>
      <c r="P94" s="722"/>
      <c r="Q94" s="722"/>
      <c r="R94" s="722"/>
      <c r="S94" s="722"/>
      <c r="T94" s="722"/>
      <c r="U94" s="722"/>
      <c r="V94" s="722"/>
      <c r="W94" s="722"/>
      <c r="X94" s="722"/>
      <c r="Y94" s="722"/>
    </row>
    <row r="95" spans="1:25" s="39" customFormat="1" ht="15">
      <c r="A95" s="263"/>
      <c r="B95" s="263"/>
      <c r="C95" s="263"/>
      <c r="M95" s="722"/>
      <c r="N95" s="722"/>
      <c r="O95" s="722"/>
      <c r="P95" s="722"/>
      <c r="Q95" s="722"/>
      <c r="R95" s="722"/>
      <c r="S95" s="722"/>
      <c r="T95" s="722"/>
      <c r="U95" s="722"/>
      <c r="V95" s="722"/>
      <c r="W95" s="722"/>
      <c r="X95" s="722"/>
      <c r="Y95" s="722"/>
    </row>
    <row r="96" spans="1:25" s="39" customFormat="1" ht="15">
      <c r="A96" s="263"/>
      <c r="B96" s="263"/>
      <c r="C96" s="263"/>
      <c r="M96" s="722"/>
      <c r="N96" s="722"/>
      <c r="O96" s="722"/>
      <c r="P96" s="722"/>
      <c r="Q96" s="722"/>
      <c r="R96" s="722"/>
      <c r="S96" s="722"/>
      <c r="T96" s="722"/>
      <c r="U96" s="722"/>
      <c r="V96" s="722"/>
      <c r="W96" s="722"/>
      <c r="X96" s="722"/>
      <c r="Y96" s="722"/>
    </row>
    <row r="97" spans="1:25" s="39" customFormat="1" ht="15">
      <c r="A97" s="263"/>
      <c r="B97" s="263"/>
      <c r="C97" s="263"/>
      <c r="M97" s="722"/>
      <c r="N97" s="722"/>
      <c r="O97" s="722"/>
      <c r="P97" s="722"/>
      <c r="Q97" s="722"/>
      <c r="R97" s="722"/>
      <c r="S97" s="722"/>
      <c r="T97" s="722"/>
      <c r="U97" s="722"/>
      <c r="V97" s="722"/>
      <c r="W97" s="722"/>
      <c r="X97" s="722"/>
      <c r="Y97" s="722"/>
    </row>
    <row r="99" spans="1:25">
      <c r="L99" s="45" t="s">
        <v>367</v>
      </c>
    </row>
    <row r="100" spans="1:25">
      <c r="A100" s="900" t="str">
        <f>+CONCATENATE(M42,Control!D142)</f>
        <v>Address: Unit 402, 4/F., Fourseas Building, No. 208 Nathan Road, Kowloon</v>
      </c>
      <c r="B100" s="900"/>
      <c r="C100" s="900"/>
      <c r="D100" s="900"/>
      <c r="E100" s="900"/>
      <c r="F100" s="900"/>
      <c r="G100" s="900"/>
      <c r="H100" s="900"/>
      <c r="I100" s="900"/>
      <c r="J100" s="900"/>
      <c r="K100" s="900"/>
      <c r="L100" s="900"/>
    </row>
    <row r="101" spans="1:25" ht="22.5">
      <c r="A101" s="899" t="str">
        <f>+A1</f>
        <v>Matthew S.H. Law Certified Public Accountant (Practising)</v>
      </c>
      <c r="B101" s="899"/>
      <c r="C101" s="899"/>
      <c r="D101" s="899"/>
      <c r="E101" s="899"/>
      <c r="F101" s="899"/>
      <c r="G101" s="899"/>
      <c r="H101" s="899"/>
      <c r="I101" s="899"/>
      <c r="J101" s="899"/>
      <c r="K101" s="899"/>
      <c r="L101" s="899"/>
    </row>
    <row r="103" spans="1:25" s="39" customFormat="1">
      <c r="A103" s="269" t="s">
        <v>368</v>
      </c>
      <c r="B103" s="263"/>
      <c r="C103" s="263"/>
      <c r="M103" s="722"/>
      <c r="N103" s="722"/>
      <c r="O103" s="722"/>
      <c r="P103" s="722"/>
      <c r="Q103" s="722"/>
      <c r="R103" s="722"/>
      <c r="S103" s="722"/>
      <c r="T103" s="722"/>
      <c r="U103" s="722"/>
      <c r="V103" s="722"/>
      <c r="W103" s="722"/>
      <c r="X103" s="722"/>
      <c r="Y103" s="722"/>
    </row>
    <row r="104" spans="1:25" s="39" customFormat="1" ht="15">
      <c r="A104" s="263"/>
      <c r="B104" s="263"/>
      <c r="C104" s="263"/>
      <c r="M104" s="722"/>
      <c r="N104" s="722"/>
      <c r="O104" s="722"/>
      <c r="P104" s="722"/>
      <c r="Q104" s="722"/>
      <c r="R104" s="722"/>
      <c r="S104" s="722"/>
      <c r="T104" s="722"/>
      <c r="U104" s="722"/>
      <c r="V104" s="722"/>
      <c r="W104" s="722"/>
      <c r="X104" s="722"/>
      <c r="Y104" s="722"/>
    </row>
    <row r="105" spans="1:25" s="39" customFormat="1" ht="57.75" customHeight="1">
      <c r="A105" s="263">
        <v>6.1</v>
      </c>
      <c r="B105" s="902" t="s">
        <v>928</v>
      </c>
      <c r="C105" s="902"/>
      <c r="D105" s="902"/>
      <c r="E105" s="902"/>
      <c r="F105" s="902"/>
      <c r="G105" s="902"/>
      <c r="H105" s="902"/>
      <c r="I105" s="902"/>
      <c r="J105" s="902"/>
      <c r="K105" s="902"/>
      <c r="L105" s="902"/>
      <c r="M105" s="722"/>
      <c r="N105" s="722"/>
      <c r="O105" s="722"/>
      <c r="P105" s="722"/>
      <c r="Q105" s="722"/>
      <c r="R105" s="722"/>
      <c r="S105" s="722"/>
      <c r="T105" s="722"/>
      <c r="U105" s="722"/>
      <c r="V105" s="722"/>
      <c r="W105" s="722"/>
      <c r="X105" s="722"/>
      <c r="Y105" s="722"/>
    </row>
    <row r="106" spans="1:25" s="39" customFormat="1" ht="15">
      <c r="A106" s="263"/>
      <c r="B106" s="263"/>
      <c r="C106" s="263"/>
      <c r="M106" s="722"/>
      <c r="N106" s="722"/>
      <c r="O106" s="722"/>
      <c r="P106" s="722"/>
      <c r="Q106" s="722"/>
      <c r="R106" s="722"/>
      <c r="S106" s="722"/>
      <c r="T106" s="722"/>
      <c r="U106" s="722"/>
      <c r="V106" s="722"/>
      <c r="W106" s="722"/>
      <c r="X106" s="722"/>
      <c r="Y106" s="722"/>
    </row>
    <row r="107" spans="1:25" s="39" customFormat="1">
      <c r="A107" s="269" t="s">
        <v>372</v>
      </c>
      <c r="B107" s="263"/>
      <c r="C107" s="263"/>
      <c r="M107" s="722"/>
      <c r="N107" s="722"/>
      <c r="O107" s="722"/>
      <c r="P107" s="722"/>
      <c r="Q107" s="722"/>
      <c r="R107" s="722"/>
      <c r="S107" s="722"/>
      <c r="T107" s="722"/>
      <c r="U107" s="722"/>
      <c r="V107" s="722"/>
      <c r="W107" s="722"/>
      <c r="X107" s="722"/>
      <c r="Y107" s="722"/>
    </row>
    <row r="108" spans="1:25" s="39" customFormat="1" ht="15">
      <c r="A108" s="263"/>
      <c r="B108" s="263"/>
      <c r="C108" s="263"/>
      <c r="M108" s="722"/>
      <c r="N108" s="722"/>
      <c r="O108" s="722"/>
      <c r="P108" s="722"/>
      <c r="Q108" s="722"/>
      <c r="R108" s="722"/>
      <c r="S108" s="722"/>
      <c r="T108" s="722"/>
      <c r="U108" s="722"/>
      <c r="V108" s="722"/>
      <c r="W108" s="722"/>
      <c r="X108" s="722"/>
      <c r="Y108" s="722"/>
    </row>
    <row r="109" spans="1:25" s="39" customFormat="1" ht="58.5" customHeight="1">
      <c r="A109" s="263">
        <v>7.1</v>
      </c>
      <c r="B109" s="902" t="s">
        <v>929</v>
      </c>
      <c r="C109" s="902"/>
      <c r="D109" s="902"/>
      <c r="E109" s="902"/>
      <c r="F109" s="902"/>
      <c r="G109" s="902"/>
      <c r="H109" s="902"/>
      <c r="I109" s="902"/>
      <c r="J109" s="902"/>
      <c r="K109" s="902"/>
      <c r="L109" s="902"/>
      <c r="M109" s="722"/>
      <c r="N109" s="722"/>
      <c r="O109" s="722"/>
      <c r="P109" s="722"/>
      <c r="Q109" s="722"/>
      <c r="R109" s="722"/>
      <c r="S109" s="722"/>
      <c r="T109" s="722"/>
      <c r="U109" s="722"/>
      <c r="V109" s="722"/>
      <c r="W109" s="722"/>
      <c r="X109" s="722"/>
      <c r="Y109" s="722"/>
    </row>
    <row r="110" spans="1:25" s="39" customFormat="1" ht="15">
      <c r="A110" s="263"/>
      <c r="B110" s="263"/>
      <c r="C110" s="263"/>
      <c r="M110" s="722"/>
      <c r="N110" s="722"/>
      <c r="O110" s="722"/>
      <c r="P110" s="722"/>
      <c r="Q110" s="722"/>
      <c r="R110" s="722"/>
      <c r="S110" s="722"/>
      <c r="T110" s="722"/>
      <c r="U110" s="722"/>
      <c r="V110" s="722"/>
      <c r="W110" s="722"/>
      <c r="X110" s="722"/>
      <c r="Y110" s="722"/>
    </row>
    <row r="111" spans="1:25" s="39" customFormat="1" ht="15">
      <c r="A111" s="263"/>
      <c r="B111" s="263"/>
      <c r="C111" s="263"/>
      <c r="M111" s="722"/>
      <c r="N111" s="722"/>
      <c r="O111" s="722"/>
      <c r="P111" s="722"/>
      <c r="Q111" s="722"/>
      <c r="R111" s="722"/>
      <c r="S111" s="722"/>
      <c r="T111" s="722"/>
      <c r="U111" s="722"/>
      <c r="V111" s="722"/>
      <c r="W111" s="722"/>
      <c r="X111" s="722"/>
      <c r="Y111" s="722"/>
    </row>
    <row r="112" spans="1:25" s="39" customFormat="1" ht="15">
      <c r="A112" s="263" t="s">
        <v>230</v>
      </c>
      <c r="B112" s="263"/>
      <c r="C112" s="263"/>
      <c r="M112" s="722"/>
      <c r="N112" s="722"/>
      <c r="O112" s="722"/>
      <c r="P112" s="722"/>
      <c r="Q112" s="722"/>
      <c r="R112" s="722"/>
      <c r="S112" s="722"/>
      <c r="T112" s="722"/>
      <c r="U112" s="722"/>
      <c r="V112" s="722"/>
      <c r="W112" s="722"/>
      <c r="X112" s="722"/>
      <c r="Y112" s="722"/>
    </row>
    <row r="113" spans="1:25" s="39" customFormat="1" ht="15">
      <c r="A113" s="263"/>
      <c r="B113" s="263"/>
      <c r="C113" s="263"/>
      <c r="M113" s="722"/>
      <c r="N113" s="722"/>
      <c r="O113" s="722"/>
      <c r="P113" s="722"/>
      <c r="Q113" s="722"/>
      <c r="R113" s="722"/>
      <c r="S113" s="722"/>
      <c r="T113" s="722"/>
      <c r="U113" s="722"/>
      <c r="V113" s="722"/>
      <c r="W113" s="722"/>
      <c r="X113" s="722"/>
      <c r="Y113" s="722"/>
    </row>
    <row r="114" spans="1:25" s="39" customFormat="1" ht="15">
      <c r="A114" s="263"/>
      <c r="B114" s="263"/>
      <c r="C114" s="263"/>
      <c r="M114" s="722"/>
      <c r="N114" s="722"/>
      <c r="O114" s="722"/>
      <c r="P114" s="722"/>
      <c r="Q114" s="722"/>
      <c r="R114" s="722"/>
      <c r="S114" s="722"/>
      <c r="T114" s="722"/>
      <c r="U114" s="722"/>
      <c r="V114" s="722"/>
      <c r="W114" s="722"/>
      <c r="X114" s="722"/>
      <c r="Y114" s="722"/>
    </row>
    <row r="115" spans="1:25" s="39" customFormat="1" ht="15">
      <c r="A115" s="263"/>
      <c r="B115" s="263"/>
      <c r="C115" s="263"/>
      <c r="M115" s="722"/>
      <c r="N115" s="722"/>
      <c r="O115" s="722"/>
      <c r="P115" s="722"/>
      <c r="Q115" s="722"/>
      <c r="R115" s="722"/>
      <c r="S115" s="722"/>
      <c r="T115" s="722"/>
      <c r="U115" s="722"/>
      <c r="V115" s="722"/>
      <c r="W115" s="722"/>
      <c r="X115" s="722"/>
      <c r="Y115" s="722"/>
    </row>
    <row r="116" spans="1:25" s="39" customFormat="1" ht="15">
      <c r="A116" s="263"/>
      <c r="B116" s="263"/>
      <c r="C116" s="263"/>
      <c r="M116" s="722"/>
      <c r="N116" s="722"/>
      <c r="O116" s="722"/>
      <c r="P116" s="722"/>
      <c r="Q116" s="722"/>
      <c r="R116" s="722"/>
      <c r="S116" s="722"/>
      <c r="T116" s="722"/>
      <c r="U116" s="722"/>
      <c r="V116" s="722"/>
      <c r="W116" s="722"/>
      <c r="X116" s="722"/>
      <c r="Y116" s="722"/>
    </row>
    <row r="117" spans="1:25" s="39" customFormat="1" ht="15">
      <c r="A117" s="263"/>
      <c r="B117" s="263"/>
      <c r="C117" s="263"/>
      <c r="M117" s="722"/>
      <c r="N117" s="722"/>
      <c r="O117" s="722"/>
      <c r="P117" s="722"/>
      <c r="Q117" s="722"/>
      <c r="R117" s="722"/>
      <c r="S117" s="722"/>
      <c r="T117" s="722"/>
      <c r="U117" s="722"/>
      <c r="V117" s="722"/>
      <c r="W117" s="722"/>
      <c r="X117" s="722"/>
      <c r="Y117" s="722"/>
    </row>
    <row r="118" spans="1:25" s="39" customFormat="1" ht="15">
      <c r="A118" s="263" t="str">
        <f>Control!D136</f>
        <v>Matthew S.H. Law</v>
      </c>
      <c r="B118" s="263"/>
      <c r="C118" s="263"/>
      <c r="M118" s="722"/>
      <c r="N118" s="722"/>
      <c r="O118" s="722"/>
      <c r="P118" s="722"/>
      <c r="Q118" s="722"/>
      <c r="R118" s="722"/>
      <c r="S118" s="722"/>
      <c r="T118" s="722"/>
      <c r="U118" s="722"/>
      <c r="V118" s="722"/>
      <c r="W118" s="722"/>
      <c r="X118" s="722"/>
      <c r="Y118" s="722"/>
    </row>
    <row r="119" spans="1:25" s="39" customFormat="1" ht="15">
      <c r="A119" s="263" t="str">
        <f>Control!D137</f>
        <v>Certified Public Accountant (Practising)</v>
      </c>
      <c r="B119" s="263"/>
      <c r="C119" s="263"/>
      <c r="M119" s="722"/>
      <c r="N119" s="722"/>
      <c r="O119" s="722"/>
      <c r="P119" s="722"/>
      <c r="Q119" s="722"/>
      <c r="R119" s="722"/>
      <c r="S119" s="722"/>
      <c r="T119" s="722"/>
      <c r="U119" s="722"/>
      <c r="V119" s="722"/>
      <c r="W119" s="722"/>
      <c r="X119" s="722"/>
      <c r="Y119" s="722"/>
    </row>
    <row r="120" spans="1:25" s="39" customFormat="1" ht="15">
      <c r="A120" s="263" t="s">
        <v>222</v>
      </c>
      <c r="B120" s="263"/>
      <c r="C120" s="263"/>
      <c r="M120" s="722"/>
      <c r="N120" s="722"/>
      <c r="O120" s="722"/>
      <c r="P120" s="722"/>
      <c r="Q120" s="722"/>
      <c r="R120" s="722"/>
      <c r="S120" s="722"/>
      <c r="T120" s="722"/>
      <c r="U120" s="722"/>
      <c r="V120" s="722"/>
      <c r="W120" s="722"/>
      <c r="X120" s="722"/>
      <c r="Y120" s="722"/>
    </row>
    <row r="121" spans="1:25" s="39" customFormat="1" ht="15">
      <c r="A121" s="263"/>
      <c r="B121" s="263"/>
      <c r="C121" s="263"/>
      <c r="M121" s="722"/>
      <c r="N121" s="722"/>
      <c r="O121" s="722"/>
      <c r="P121" s="722"/>
      <c r="Q121" s="722"/>
      <c r="R121" s="722"/>
      <c r="S121" s="722"/>
      <c r="T121" s="722"/>
      <c r="U121" s="722"/>
      <c r="V121" s="722"/>
      <c r="W121" s="722"/>
      <c r="X121" s="722"/>
      <c r="Y121" s="722"/>
    </row>
    <row r="122" spans="1:25" s="39" customFormat="1" ht="15">
      <c r="A122" s="263" t="s">
        <v>377</v>
      </c>
      <c r="B122" s="263"/>
      <c r="C122" s="263"/>
      <c r="M122" s="722"/>
      <c r="N122" s="722"/>
      <c r="O122" s="722"/>
      <c r="P122" s="722"/>
      <c r="Q122" s="722"/>
      <c r="R122" s="722"/>
      <c r="S122" s="722"/>
      <c r="T122" s="722"/>
      <c r="U122" s="722"/>
      <c r="V122" s="722"/>
      <c r="W122" s="722"/>
      <c r="X122" s="722"/>
      <c r="Y122" s="722"/>
    </row>
    <row r="123" spans="1:25" s="39" customFormat="1" ht="15">
      <c r="A123" s="263" t="s">
        <v>378</v>
      </c>
      <c r="B123" s="263"/>
      <c r="C123" s="263"/>
      <c r="M123" s="722"/>
      <c r="N123" s="722"/>
      <c r="O123" s="722"/>
      <c r="P123" s="722"/>
      <c r="Q123" s="722"/>
      <c r="R123" s="722"/>
      <c r="S123" s="722"/>
      <c r="T123" s="722"/>
      <c r="U123" s="722"/>
      <c r="V123" s="722"/>
      <c r="W123" s="722"/>
      <c r="X123" s="722"/>
      <c r="Y123" s="722"/>
    </row>
    <row r="124" spans="1:25" s="39" customFormat="1" ht="15">
      <c r="A124" s="263"/>
      <c r="B124" s="263"/>
      <c r="C124" s="263"/>
      <c r="M124" s="722"/>
      <c r="N124" s="722"/>
      <c r="O124" s="722"/>
      <c r="P124" s="722"/>
      <c r="Q124" s="722"/>
      <c r="R124" s="722"/>
      <c r="S124" s="722"/>
      <c r="T124" s="722"/>
      <c r="U124" s="722"/>
      <c r="V124" s="722"/>
      <c r="W124" s="722"/>
      <c r="X124" s="722"/>
      <c r="Y124" s="722"/>
    </row>
    <row r="125" spans="1:25" s="39" customFormat="1" ht="15">
      <c r="A125" s="263"/>
      <c r="B125" s="263"/>
      <c r="C125" s="263"/>
      <c r="M125" s="722"/>
      <c r="N125" s="722"/>
      <c r="O125" s="722"/>
      <c r="P125" s="722"/>
      <c r="Q125" s="722"/>
      <c r="R125" s="722"/>
      <c r="S125" s="722"/>
      <c r="T125" s="722"/>
      <c r="U125" s="722"/>
      <c r="V125" s="722"/>
      <c r="W125" s="722"/>
      <c r="X125" s="722"/>
      <c r="Y125" s="722"/>
    </row>
    <row r="126" spans="1:25" s="39" customFormat="1" ht="15">
      <c r="A126" s="263"/>
      <c r="B126" s="263"/>
      <c r="C126" s="263"/>
      <c r="M126" s="722"/>
      <c r="N126" s="722"/>
      <c r="O126" s="722"/>
      <c r="P126" s="722"/>
      <c r="Q126" s="722"/>
      <c r="R126" s="722"/>
      <c r="S126" s="722"/>
      <c r="T126" s="722"/>
      <c r="U126" s="722"/>
      <c r="V126" s="722"/>
      <c r="W126" s="722"/>
      <c r="X126" s="722"/>
      <c r="Y126" s="722"/>
    </row>
    <row r="127" spans="1:25" s="39" customFormat="1" ht="15">
      <c r="A127" s="263"/>
      <c r="B127" s="263"/>
      <c r="C127" s="263"/>
      <c r="M127" s="722"/>
      <c r="N127" s="722"/>
      <c r="O127" s="722"/>
      <c r="P127" s="722"/>
      <c r="Q127" s="722"/>
      <c r="R127" s="722"/>
      <c r="S127" s="722"/>
      <c r="T127" s="722"/>
      <c r="U127" s="722"/>
      <c r="V127" s="722"/>
      <c r="W127" s="722"/>
      <c r="X127" s="722"/>
      <c r="Y127" s="722"/>
    </row>
    <row r="128" spans="1:25" s="39" customFormat="1" ht="15">
      <c r="A128" s="270"/>
      <c r="B128" s="270"/>
      <c r="C128" s="270"/>
      <c r="D128" s="47"/>
      <c r="E128" s="47"/>
      <c r="F128" s="47"/>
      <c r="M128" s="722"/>
      <c r="N128" s="722"/>
      <c r="O128" s="722"/>
      <c r="P128" s="722"/>
      <c r="Q128" s="722"/>
      <c r="R128" s="722"/>
      <c r="S128" s="722"/>
      <c r="T128" s="722"/>
      <c r="U128" s="722"/>
      <c r="V128" s="722"/>
      <c r="W128" s="722"/>
      <c r="X128" s="722"/>
      <c r="Y128" s="722"/>
    </row>
    <row r="129" spans="1:25" s="39" customFormat="1" ht="15">
      <c r="A129" s="263" t="s">
        <v>379</v>
      </c>
      <c r="B129" s="263"/>
      <c r="C129" s="263"/>
      <c r="M129" s="722"/>
      <c r="N129" s="722"/>
      <c r="O129" s="722"/>
      <c r="P129" s="722"/>
      <c r="Q129" s="722"/>
      <c r="R129" s="722"/>
      <c r="S129" s="722"/>
      <c r="T129" s="722"/>
      <c r="U129" s="722"/>
      <c r="V129" s="722"/>
      <c r="W129" s="722"/>
      <c r="X129" s="722"/>
      <c r="Y129" s="722"/>
    </row>
    <row r="130" spans="1:25" s="39" customFormat="1" ht="15">
      <c r="A130" s="267" t="str">
        <f>+Control!D3</f>
        <v>MIC INCORPORATION LIMITED </v>
      </c>
      <c r="B130" s="267"/>
      <c r="C130" s="267"/>
      <c r="D130" s="51"/>
      <c r="M130" s="722"/>
      <c r="N130" s="722"/>
      <c r="O130" s="722"/>
      <c r="P130" s="722"/>
      <c r="Q130" s="722"/>
      <c r="R130" s="722"/>
      <c r="S130" s="722"/>
      <c r="T130" s="722"/>
      <c r="U130" s="722"/>
      <c r="V130" s="722"/>
      <c r="W130" s="722"/>
      <c r="X130" s="722"/>
      <c r="Y130" s="722"/>
    </row>
    <row r="131" spans="1:25" s="39" customFormat="1" ht="15">
      <c r="A131" s="263"/>
      <c r="B131" s="263"/>
      <c r="C131" s="263"/>
      <c r="M131" s="722"/>
      <c r="N131" s="722"/>
      <c r="O131" s="722"/>
      <c r="P131" s="722"/>
      <c r="Q131" s="722"/>
      <c r="R131" s="722"/>
      <c r="S131" s="722"/>
      <c r="T131" s="722"/>
      <c r="U131" s="722"/>
      <c r="V131" s="722"/>
      <c r="W131" s="722"/>
      <c r="X131" s="722"/>
      <c r="Y131" s="722"/>
    </row>
    <row r="132" spans="1:25" s="39" customFormat="1" ht="15">
      <c r="A132" s="263"/>
      <c r="B132" s="263"/>
      <c r="C132" s="263"/>
      <c r="M132" s="722"/>
      <c r="N132" s="722"/>
      <c r="O132" s="722"/>
      <c r="P132" s="722"/>
      <c r="Q132" s="722"/>
      <c r="R132" s="722"/>
      <c r="S132" s="722"/>
      <c r="T132" s="722"/>
      <c r="U132" s="722"/>
      <c r="V132" s="722"/>
      <c r="W132" s="722"/>
      <c r="X132" s="722"/>
      <c r="Y132" s="722"/>
    </row>
    <row r="133" spans="1:25" s="39" customFormat="1" ht="15">
      <c r="A133" s="263"/>
      <c r="B133" s="263"/>
      <c r="C133" s="263"/>
      <c r="M133" s="722"/>
      <c r="N133" s="722"/>
      <c r="O133" s="722"/>
      <c r="P133" s="722"/>
      <c r="Q133" s="722"/>
      <c r="R133" s="722"/>
      <c r="S133" s="722"/>
      <c r="T133" s="722"/>
      <c r="U133" s="722"/>
      <c r="V133" s="722"/>
      <c r="W133" s="722"/>
      <c r="X133" s="722"/>
      <c r="Y133" s="722"/>
    </row>
    <row r="134" spans="1:25" s="39" customFormat="1" ht="15">
      <c r="A134" s="263"/>
      <c r="B134" s="263"/>
      <c r="C134" s="263"/>
      <c r="M134" s="722"/>
      <c r="N134" s="722"/>
      <c r="O134" s="722"/>
      <c r="P134" s="722"/>
      <c r="Q134" s="722"/>
      <c r="R134" s="722"/>
      <c r="S134" s="722"/>
      <c r="T134" s="722"/>
      <c r="U134" s="722"/>
      <c r="V134" s="722"/>
      <c r="W134" s="722"/>
      <c r="X134" s="722"/>
      <c r="Y134" s="722"/>
    </row>
    <row r="135" spans="1:25" s="39" customFormat="1" ht="15">
      <c r="A135" s="263"/>
      <c r="B135" s="263"/>
      <c r="C135" s="263"/>
      <c r="M135" s="722"/>
      <c r="N135" s="722"/>
      <c r="O135" s="722"/>
      <c r="P135" s="722"/>
      <c r="Q135" s="722"/>
      <c r="R135" s="722"/>
      <c r="S135" s="722"/>
      <c r="T135" s="722"/>
      <c r="U135" s="722"/>
      <c r="V135" s="722"/>
      <c r="W135" s="722"/>
      <c r="X135" s="722"/>
      <c r="Y135" s="722"/>
    </row>
    <row r="136" spans="1:25" s="39" customFormat="1" ht="15">
      <c r="A136" s="263"/>
      <c r="B136" s="263"/>
      <c r="C136" s="263"/>
      <c r="M136" s="722"/>
      <c r="N136" s="722"/>
      <c r="O136" s="722"/>
      <c r="P136" s="722"/>
      <c r="Q136" s="722"/>
      <c r="R136" s="722"/>
      <c r="S136" s="722"/>
      <c r="T136" s="722"/>
      <c r="U136" s="722"/>
      <c r="V136" s="722"/>
      <c r="W136" s="722"/>
      <c r="X136" s="722"/>
      <c r="Y136" s="722"/>
    </row>
    <row r="137" spans="1:25" s="39" customFormat="1" ht="15">
      <c r="A137" s="263"/>
      <c r="B137" s="263"/>
      <c r="C137" s="263"/>
      <c r="M137" s="722"/>
      <c r="N137" s="722"/>
      <c r="O137" s="722"/>
      <c r="P137" s="722"/>
      <c r="Q137" s="722"/>
      <c r="R137" s="722"/>
      <c r="S137" s="722"/>
      <c r="T137" s="722"/>
      <c r="U137" s="722"/>
      <c r="V137" s="722"/>
      <c r="W137" s="722"/>
      <c r="X137" s="722"/>
      <c r="Y137" s="722"/>
    </row>
    <row r="149" spans="1:12">
      <c r="L149" s="45" t="s">
        <v>380</v>
      </c>
    </row>
    <row r="150" spans="1:12">
      <c r="A150" s="900" t="str">
        <f>+CONCATENATE(M42,Control!D142)</f>
        <v>Address: Unit 402, 4/F., Fourseas Building, No. 208 Nathan Road, Kowloon</v>
      </c>
      <c r="B150" s="900"/>
      <c r="C150" s="900"/>
      <c r="D150" s="900"/>
      <c r="E150" s="900"/>
      <c r="F150" s="900"/>
      <c r="G150" s="900"/>
      <c r="H150" s="900"/>
      <c r="I150" s="900"/>
      <c r="J150" s="900"/>
      <c r="K150" s="900"/>
      <c r="L150" s="900"/>
    </row>
    <row r="163" spans="1:25" s="50" customFormat="1">
      <c r="A163" s="268" t="s">
        <v>276</v>
      </c>
      <c r="B163" s="268"/>
      <c r="C163" s="268"/>
      <c r="M163" s="593"/>
      <c r="N163" s="593"/>
      <c r="O163" s="593"/>
      <c r="P163" s="593"/>
      <c r="Q163" s="593"/>
      <c r="R163" s="593"/>
      <c r="S163" s="593"/>
      <c r="T163" s="593"/>
      <c r="U163" s="593"/>
      <c r="V163" s="593"/>
      <c r="W163" s="593"/>
      <c r="X163" s="593"/>
      <c r="Y163" s="593"/>
    </row>
    <row r="164" spans="1:25" s="50" customFormat="1">
      <c r="A164" s="268" t="str">
        <f>+Control!D3</f>
        <v>MIC INCORPORATION LIMITED </v>
      </c>
      <c r="B164" s="268"/>
      <c r="C164" s="268"/>
      <c r="M164" s="593"/>
      <c r="N164" s="593"/>
      <c r="O164" s="593"/>
      <c r="P164" s="593"/>
      <c r="Q164" s="593"/>
      <c r="R164" s="593"/>
      <c r="S164" s="593"/>
      <c r="T164" s="593"/>
      <c r="U164" s="593"/>
      <c r="V164" s="593"/>
      <c r="W164" s="593"/>
      <c r="X164" s="593"/>
      <c r="Y164" s="593"/>
    </row>
    <row r="165" spans="1:25" s="50" customFormat="1">
      <c r="A165" s="268" t="s">
        <v>279</v>
      </c>
      <c r="B165" s="268"/>
      <c r="C165" s="268"/>
      <c r="M165" s="593"/>
      <c r="N165" s="593"/>
      <c r="O165" s="593"/>
      <c r="P165" s="593"/>
      <c r="Q165" s="593"/>
      <c r="R165" s="593"/>
      <c r="S165" s="593"/>
      <c r="T165" s="593"/>
      <c r="U165" s="593"/>
      <c r="V165" s="593"/>
      <c r="W165" s="593"/>
      <c r="X165" s="593"/>
      <c r="Y165" s="593"/>
    </row>
  </sheetData>
  <mergeCells count="36">
    <mergeCell ref="C48:L48"/>
    <mergeCell ref="A43:L43"/>
    <mergeCell ref="A1:L1"/>
    <mergeCell ref="B11:L13"/>
    <mergeCell ref="N11:W13"/>
    <mergeCell ref="B17:L17"/>
    <mergeCell ref="C21:L21"/>
    <mergeCell ref="C23:L23"/>
    <mergeCell ref="D29:L29"/>
    <mergeCell ref="C19:L19"/>
    <mergeCell ref="C25:L25"/>
    <mergeCell ref="C35:L35"/>
    <mergeCell ref="A42:L42"/>
    <mergeCell ref="D33:L33"/>
    <mergeCell ref="B47:L47"/>
    <mergeCell ref="C50:L50"/>
    <mergeCell ref="B62:L62"/>
    <mergeCell ref="B53:L53"/>
    <mergeCell ref="B54:L54"/>
    <mergeCell ref="B61:L61"/>
    <mergeCell ref="B52:L52"/>
    <mergeCell ref="B58:L58"/>
    <mergeCell ref="C55:L55"/>
    <mergeCell ref="B70:L70"/>
    <mergeCell ref="A66:L66"/>
    <mergeCell ref="B68:L68"/>
    <mergeCell ref="B63:L63"/>
    <mergeCell ref="A65:L65"/>
    <mergeCell ref="B72:L72"/>
    <mergeCell ref="B74:L74"/>
    <mergeCell ref="B76:L76"/>
    <mergeCell ref="A150:L150"/>
    <mergeCell ref="A101:L101"/>
    <mergeCell ref="B105:L105"/>
    <mergeCell ref="B109:L109"/>
    <mergeCell ref="A100:L100"/>
  </mergeCells>
  <phoneticPr fontId="13" type="noConversion"/>
  <pageMargins left="0.51181102362204722" right="0.31496062992125984" top="0.74803149606299213" bottom="0.31496062992125984" header="0.31496062992125984" footer="0.31496062992125984"/>
  <pageSetup paperSize="9" scale="94" fitToHeight="0" orientation="portrait" r:id="rId1"/>
  <rowBreaks count="3" manualBreakCount="3">
    <brk id="42" max="16383" man="1"/>
    <brk id="65" max="16383" man="1"/>
    <brk id="100"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5">
    <pageSetUpPr fitToPage="1"/>
  </sheetPr>
  <dimension ref="A1:Z169"/>
  <sheetViews>
    <sheetView workbookViewId="0">
      <selection activeCell="P16" sqref="P16"/>
    </sheetView>
  </sheetViews>
  <sheetFormatPr defaultColWidth="9" defaultRowHeight="15.75"/>
  <cols>
    <col min="1" max="1" width="5.125" style="265" customWidth="1" collapsed="1"/>
    <col min="2" max="2" width="3.125" style="265" customWidth="1" collapsed="1"/>
    <col min="3" max="3" width="4.125" style="265" customWidth="1" collapsed="1"/>
    <col min="4" max="6" width="9" style="1" collapsed="1"/>
    <col min="7" max="7" width="12.5" style="1" customWidth="1" collapsed="1"/>
    <col min="8" max="8" width="12.375" style="1" customWidth="1" collapsed="1"/>
    <col min="9" max="12" width="9" style="1" collapsed="1"/>
    <col min="13" max="26" width="9" style="594" collapsed="1"/>
    <col min="27" max="16384" width="9" style="1" collapsed="1"/>
  </cols>
  <sheetData>
    <row r="1" spans="1:26" ht="22.5">
      <c r="A1" s="899" t="str">
        <f>+CONCATENATE(Control!D136," ",Control!D137)</f>
        <v>Matthew S.H. Law Certified Public Accountant (Practising)</v>
      </c>
      <c r="B1" s="899"/>
      <c r="C1" s="899"/>
      <c r="D1" s="899"/>
      <c r="E1" s="899"/>
      <c r="F1" s="899"/>
      <c r="G1" s="899"/>
      <c r="H1" s="899"/>
      <c r="I1" s="899"/>
      <c r="J1" s="899"/>
      <c r="K1" s="899"/>
      <c r="L1" s="899"/>
      <c r="M1" s="594" t="s">
        <v>172</v>
      </c>
    </row>
    <row r="2" spans="1:26" ht="15.75" customHeight="1">
      <c r="A2" s="264"/>
    </row>
    <row r="3" spans="1:26">
      <c r="A3" s="263" t="s">
        <v>270</v>
      </c>
    </row>
    <row r="4" spans="1:26" ht="10.5" customHeight="1">
      <c r="A4" s="266"/>
    </row>
    <row r="5" spans="1:26">
      <c r="A5" s="263" t="s">
        <v>271</v>
      </c>
    </row>
    <row r="6" spans="1:26">
      <c r="A6" s="267" t="str">
        <f>+Control!D3</f>
        <v>MIC INCORPORATION LIMITED </v>
      </c>
      <c r="B6" s="268"/>
      <c r="C6" s="268"/>
      <c r="D6" s="50"/>
    </row>
    <row r="7" spans="1:26" ht="11.25" customHeight="1"/>
    <row r="8" spans="1:26">
      <c r="A8" s="263" t="s">
        <v>272</v>
      </c>
    </row>
    <row r="9" spans="1:26" ht="10.5" customHeight="1"/>
    <row r="10" spans="1:26">
      <c r="A10" s="269" t="s">
        <v>273</v>
      </c>
    </row>
    <row r="11" spans="1:26" s="39" customFormat="1">
      <c r="A11" s="263">
        <v>1.1000000000000001</v>
      </c>
      <c r="B11" s="898" t="str">
        <f>+CONCATENATE(N11,O11,P11)</f>
        <v>You have requested that we audit the financial statements of MIC INCORPORATION LIMITED  ("the Company"). We are pleased to confirm our acceptance and our understanding of this audit engagement by means of this letter.</v>
      </c>
      <c r="C11" s="898"/>
      <c r="D11" s="898"/>
      <c r="E11" s="898"/>
      <c r="F11" s="898"/>
      <c r="G11" s="898"/>
      <c r="H11" s="898"/>
      <c r="I11" s="898"/>
      <c r="J11" s="898"/>
      <c r="K11" s="898"/>
      <c r="L11" s="898"/>
      <c r="M11" s="722"/>
      <c r="N11" s="594" t="s">
        <v>276</v>
      </c>
      <c r="O11" s="594" t="str">
        <f>+Control!D3</f>
        <v>MIC INCORPORATION LIMITED </v>
      </c>
      <c r="P11" s="594" t="s">
        <v>1629</v>
      </c>
      <c r="Q11" s="594"/>
      <c r="R11" s="594"/>
      <c r="S11" s="594"/>
      <c r="T11" s="594"/>
      <c r="U11" s="594"/>
      <c r="V11" s="594"/>
      <c r="W11" s="594"/>
      <c r="X11" s="722"/>
      <c r="Y11" s="722"/>
      <c r="Z11" s="722"/>
    </row>
    <row r="12" spans="1:26" s="39" customFormat="1">
      <c r="A12" s="263"/>
      <c r="B12" s="898"/>
      <c r="C12" s="898"/>
      <c r="D12" s="898"/>
      <c r="E12" s="898"/>
      <c r="F12" s="898"/>
      <c r="G12" s="898"/>
      <c r="H12" s="898"/>
      <c r="I12" s="898"/>
      <c r="J12" s="898"/>
      <c r="K12" s="898"/>
      <c r="L12" s="898"/>
      <c r="M12" s="722"/>
      <c r="N12" s="594"/>
      <c r="O12" s="594"/>
      <c r="P12" s="594"/>
      <c r="Q12" s="594"/>
      <c r="R12" s="594"/>
      <c r="S12" s="594"/>
      <c r="T12" s="594"/>
      <c r="U12" s="594"/>
      <c r="V12" s="594"/>
      <c r="W12" s="594"/>
      <c r="X12" s="722"/>
      <c r="Y12" s="722"/>
      <c r="Z12" s="722"/>
    </row>
    <row r="13" spans="1:26" s="39" customFormat="1" ht="20.25" customHeight="1">
      <c r="A13" s="263"/>
      <c r="B13" s="898"/>
      <c r="C13" s="898"/>
      <c r="D13" s="898"/>
      <c r="E13" s="898"/>
      <c r="F13" s="898"/>
      <c r="G13" s="898"/>
      <c r="H13" s="898"/>
      <c r="I13" s="898"/>
      <c r="J13" s="898"/>
      <c r="K13" s="898"/>
      <c r="L13" s="898"/>
      <c r="M13" s="722"/>
      <c r="N13" s="594"/>
      <c r="O13" s="594"/>
      <c r="P13" s="594"/>
      <c r="Q13" s="594"/>
      <c r="R13" s="594"/>
      <c r="S13" s="594"/>
      <c r="T13" s="594"/>
      <c r="U13" s="594"/>
      <c r="V13" s="594"/>
      <c r="W13" s="594"/>
      <c r="X13" s="722"/>
      <c r="Y13" s="722"/>
      <c r="Z13" s="722"/>
    </row>
    <row r="14" spans="1:26" s="39" customFormat="1" ht="20.25" customHeight="1">
      <c r="A14" s="263"/>
      <c r="B14" s="643"/>
      <c r="C14" s="643"/>
      <c r="D14" s="643"/>
      <c r="E14" s="643"/>
      <c r="F14" s="643"/>
      <c r="G14" s="643"/>
      <c r="H14" s="643"/>
      <c r="I14" s="643"/>
      <c r="J14" s="643"/>
      <c r="K14" s="643"/>
      <c r="L14" s="643"/>
      <c r="M14" s="722"/>
      <c r="N14" s="594"/>
      <c r="O14" s="594"/>
      <c r="P14" s="594"/>
      <c r="Q14" s="594"/>
      <c r="R14" s="594"/>
      <c r="S14" s="594"/>
      <c r="T14" s="594"/>
      <c r="U14" s="594"/>
      <c r="V14" s="594"/>
      <c r="W14" s="594"/>
      <c r="X14" s="722"/>
      <c r="Y14" s="722"/>
      <c r="Z14" s="722"/>
    </row>
    <row r="15" spans="1:26" s="39" customFormat="1" ht="20.25" customHeight="1">
      <c r="A15" s="263">
        <v>1.2</v>
      </c>
      <c r="B15" s="898" t="str">
        <f>+CONCATENATE(N15,O15,P15)</f>
        <v>The objectives of our audit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Hong Kong Standards on Auditing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v>
      </c>
      <c r="C15" s="898"/>
      <c r="D15" s="898"/>
      <c r="E15" s="898"/>
      <c r="F15" s="898"/>
      <c r="G15" s="898"/>
      <c r="H15" s="898"/>
      <c r="I15" s="898"/>
      <c r="J15" s="898"/>
      <c r="K15" s="898"/>
      <c r="L15" s="898"/>
      <c r="M15" s="722"/>
      <c r="N15" s="594" t="s">
        <v>1630</v>
      </c>
      <c r="O15" s="594"/>
      <c r="P15" s="594"/>
      <c r="Q15" s="594"/>
      <c r="R15" s="594"/>
      <c r="S15" s="594"/>
      <c r="T15" s="594"/>
      <c r="U15" s="594"/>
      <c r="V15" s="594"/>
      <c r="W15" s="594"/>
      <c r="X15" s="722"/>
      <c r="Y15" s="722"/>
      <c r="Z15" s="722"/>
    </row>
    <row r="16" spans="1:26" s="39" customFormat="1" ht="20.25" customHeight="1">
      <c r="A16" s="263"/>
      <c r="B16" s="898"/>
      <c r="C16" s="898"/>
      <c r="D16" s="898"/>
      <c r="E16" s="898"/>
      <c r="F16" s="898"/>
      <c r="G16" s="898"/>
      <c r="H16" s="898"/>
      <c r="I16" s="898"/>
      <c r="J16" s="898"/>
      <c r="K16" s="898"/>
      <c r="L16" s="898"/>
      <c r="M16" s="722"/>
      <c r="N16" s="594"/>
      <c r="O16" s="594"/>
      <c r="P16" s="594"/>
      <c r="Q16" s="594"/>
      <c r="R16" s="594"/>
      <c r="S16" s="594"/>
      <c r="T16" s="594"/>
      <c r="U16" s="594"/>
      <c r="V16" s="594"/>
      <c r="W16" s="594"/>
      <c r="X16" s="722"/>
      <c r="Y16" s="722"/>
      <c r="Z16" s="722"/>
    </row>
    <row r="17" spans="1:26" s="39" customFormat="1" ht="72" customHeight="1">
      <c r="A17" s="263"/>
      <c r="B17" s="898"/>
      <c r="C17" s="898"/>
      <c r="D17" s="898"/>
      <c r="E17" s="898"/>
      <c r="F17" s="898"/>
      <c r="G17" s="898"/>
      <c r="H17" s="898"/>
      <c r="I17" s="898"/>
      <c r="J17" s="898"/>
      <c r="K17" s="898"/>
      <c r="L17" s="898"/>
      <c r="M17" s="722"/>
      <c r="N17" s="594"/>
      <c r="O17" s="594"/>
      <c r="P17" s="594"/>
      <c r="Q17" s="594"/>
      <c r="R17" s="594"/>
      <c r="S17" s="594"/>
      <c r="T17" s="594"/>
      <c r="U17" s="594"/>
      <c r="V17" s="594"/>
      <c r="W17" s="594"/>
      <c r="X17" s="722"/>
      <c r="Y17" s="722"/>
      <c r="Z17" s="722"/>
    </row>
    <row r="18" spans="1:26" s="39" customFormat="1" ht="20.25" customHeight="1">
      <c r="A18" s="263"/>
      <c r="B18" s="643"/>
      <c r="C18" s="643"/>
      <c r="D18" s="643"/>
      <c r="E18" s="643"/>
      <c r="F18" s="643"/>
      <c r="G18" s="643"/>
      <c r="H18" s="643"/>
      <c r="I18" s="643"/>
      <c r="J18" s="643"/>
      <c r="K18" s="643"/>
      <c r="L18" s="643"/>
      <c r="M18" s="722"/>
      <c r="N18" s="594"/>
      <c r="O18" s="594"/>
      <c r="P18" s="594"/>
      <c r="Q18" s="594"/>
      <c r="R18" s="594"/>
      <c r="S18" s="594"/>
      <c r="T18" s="594"/>
      <c r="U18" s="594"/>
      <c r="V18" s="594"/>
      <c r="W18" s="594"/>
      <c r="X18" s="722"/>
      <c r="Y18" s="722"/>
      <c r="Z18" s="722"/>
    </row>
    <row r="19" spans="1:26">
      <c r="A19" s="269" t="str">
        <f>+CONCATENATE(N19,O19)</f>
        <v>Responsibilities of Director</v>
      </c>
      <c r="N19" s="594" t="s">
        <v>1631</v>
      </c>
      <c r="O19" s="594" t="str">
        <f>+IF('Dir info'!C1&gt;1,"Directors","Director")</f>
        <v>Director</v>
      </c>
    </row>
    <row r="20" spans="1:26" ht="9.75" customHeight="1">
      <c r="A20" s="269"/>
    </row>
    <row r="21" spans="1:26" s="661" customFormat="1" ht="15">
      <c r="A21" s="660">
        <v>2.1</v>
      </c>
      <c r="B21" s="905" t="s">
        <v>275</v>
      </c>
      <c r="C21" s="905"/>
      <c r="D21" s="905"/>
      <c r="E21" s="905"/>
      <c r="F21" s="905"/>
      <c r="G21" s="905"/>
      <c r="H21" s="905"/>
      <c r="I21" s="905"/>
      <c r="J21" s="905"/>
      <c r="K21" s="905"/>
      <c r="L21" s="905"/>
      <c r="M21" s="724"/>
      <c r="N21" s="724"/>
      <c r="O21" s="724"/>
      <c r="P21" s="724"/>
      <c r="Q21" s="724"/>
      <c r="R21" s="724"/>
      <c r="S21" s="724"/>
      <c r="T21" s="724"/>
      <c r="U21" s="724"/>
      <c r="V21" s="724"/>
      <c r="W21" s="724"/>
      <c r="X21" s="724"/>
      <c r="Y21" s="724"/>
      <c r="Z21" s="724"/>
    </row>
    <row r="22" spans="1:26" s="39" customFormat="1" ht="15">
      <c r="A22" s="263"/>
      <c r="B22" s="263"/>
      <c r="C22" s="263"/>
      <c r="M22" s="722"/>
      <c r="N22" s="722"/>
      <c r="O22" s="722"/>
      <c r="P22" s="722"/>
      <c r="Q22" s="722"/>
      <c r="R22" s="722"/>
      <c r="S22" s="722"/>
      <c r="T22" s="722"/>
      <c r="U22" s="722"/>
      <c r="V22" s="722"/>
      <c r="W22" s="722"/>
      <c r="X22" s="722"/>
      <c r="Y22" s="722"/>
      <c r="Z22" s="722"/>
    </row>
    <row r="23" spans="1:26" s="39" customFormat="1" ht="54.75" customHeight="1">
      <c r="A23" s="263"/>
      <c r="B23" s="263" t="s">
        <v>277</v>
      </c>
      <c r="C23" s="902" t="s">
        <v>899</v>
      </c>
      <c r="D23" s="902"/>
      <c r="E23" s="902"/>
      <c r="F23" s="902"/>
      <c r="G23" s="902"/>
      <c r="H23" s="902"/>
      <c r="I23" s="902"/>
      <c r="J23" s="902"/>
      <c r="K23" s="902"/>
      <c r="L23" s="902"/>
      <c r="M23" s="722"/>
      <c r="N23" s="722"/>
      <c r="O23" s="722"/>
      <c r="P23" s="722"/>
      <c r="Q23" s="722"/>
      <c r="R23" s="722"/>
      <c r="S23" s="722"/>
      <c r="T23" s="722"/>
      <c r="U23" s="722"/>
      <c r="V23" s="722"/>
      <c r="W23" s="722"/>
      <c r="X23" s="722"/>
      <c r="Y23" s="722"/>
      <c r="Z23" s="722"/>
    </row>
    <row r="24" spans="1:26" s="39" customFormat="1" ht="15">
      <c r="A24" s="263"/>
      <c r="B24" s="263"/>
      <c r="C24" s="263"/>
      <c r="M24" s="722"/>
      <c r="N24" s="722"/>
      <c r="O24" s="722"/>
      <c r="P24" s="722"/>
      <c r="Q24" s="722"/>
      <c r="R24" s="722"/>
      <c r="S24" s="722"/>
      <c r="T24" s="722"/>
      <c r="U24" s="722"/>
      <c r="V24" s="722"/>
      <c r="W24" s="722"/>
      <c r="X24" s="722"/>
      <c r="Y24" s="722"/>
      <c r="Z24" s="722"/>
    </row>
    <row r="25" spans="1:26" s="39" customFormat="1" ht="57.75" customHeight="1">
      <c r="A25" s="263"/>
      <c r="B25" s="263" t="s">
        <v>280</v>
      </c>
      <c r="C25" s="902" t="s">
        <v>900</v>
      </c>
      <c r="D25" s="902"/>
      <c r="E25" s="902"/>
      <c r="F25" s="902"/>
      <c r="G25" s="902"/>
      <c r="H25" s="902"/>
      <c r="I25" s="902"/>
      <c r="J25" s="902"/>
      <c r="K25" s="902"/>
      <c r="L25" s="902"/>
      <c r="M25" s="722"/>
      <c r="N25" s="722"/>
      <c r="O25" s="722"/>
      <c r="P25" s="722"/>
      <c r="Q25" s="722"/>
      <c r="R25" s="722"/>
      <c r="S25" s="722"/>
      <c r="T25" s="722"/>
      <c r="U25" s="722"/>
      <c r="V25" s="722"/>
      <c r="W25" s="722"/>
      <c r="X25" s="722"/>
      <c r="Y25" s="722"/>
      <c r="Z25" s="722"/>
    </row>
    <row r="26" spans="1:26" s="39" customFormat="1" ht="15">
      <c r="A26" s="263"/>
      <c r="B26" s="263"/>
      <c r="C26" s="263"/>
      <c r="M26" s="722"/>
      <c r="N26" s="722"/>
      <c r="O26" s="722"/>
      <c r="P26" s="722"/>
      <c r="Q26" s="722"/>
      <c r="R26" s="722"/>
      <c r="S26" s="722"/>
      <c r="T26" s="722"/>
      <c r="U26" s="722"/>
      <c r="V26" s="722"/>
      <c r="W26" s="722"/>
      <c r="X26" s="722"/>
      <c r="Y26" s="722"/>
      <c r="Z26" s="722"/>
    </row>
    <row r="27" spans="1:26" s="39" customFormat="1" ht="62.25" customHeight="1">
      <c r="A27" s="263"/>
      <c r="B27" s="263" t="s">
        <v>285</v>
      </c>
      <c r="C27" s="902" t="s">
        <v>901</v>
      </c>
      <c r="D27" s="902"/>
      <c r="E27" s="902"/>
      <c r="F27" s="902"/>
      <c r="G27" s="902"/>
      <c r="H27" s="902"/>
      <c r="I27" s="902"/>
      <c r="J27" s="902"/>
      <c r="K27" s="902"/>
      <c r="L27" s="902"/>
      <c r="M27" s="722"/>
      <c r="N27" s="722"/>
      <c r="O27" s="722"/>
      <c r="P27" s="722"/>
      <c r="Q27" s="722"/>
      <c r="R27" s="722"/>
      <c r="S27" s="722"/>
      <c r="T27" s="722"/>
      <c r="U27" s="722"/>
      <c r="V27" s="722"/>
      <c r="W27" s="722"/>
      <c r="X27" s="722"/>
      <c r="Y27" s="722"/>
      <c r="Z27" s="722"/>
    </row>
    <row r="28" spans="1:26" s="39" customFormat="1" ht="12.75" customHeight="1">
      <c r="A28" s="263"/>
      <c r="B28" s="263"/>
      <c r="C28" s="263"/>
      <c r="M28" s="722"/>
      <c r="N28" s="722"/>
      <c r="O28" s="722"/>
      <c r="P28" s="722"/>
      <c r="Q28" s="722"/>
      <c r="R28" s="722"/>
      <c r="S28" s="722"/>
      <c r="T28" s="722"/>
      <c r="U28" s="722"/>
      <c r="V28" s="722"/>
      <c r="W28" s="722"/>
      <c r="X28" s="722"/>
      <c r="Y28" s="722"/>
      <c r="Z28" s="722"/>
    </row>
    <row r="29" spans="1:26" s="39" customFormat="1" ht="42.75" customHeight="1">
      <c r="A29" s="263"/>
      <c r="B29" s="263" t="s">
        <v>288</v>
      </c>
      <c r="C29" s="902" t="s">
        <v>902</v>
      </c>
      <c r="D29" s="902"/>
      <c r="E29" s="902"/>
      <c r="F29" s="902"/>
      <c r="G29" s="902"/>
      <c r="H29" s="902"/>
      <c r="I29" s="902"/>
      <c r="J29" s="902"/>
      <c r="K29" s="902"/>
      <c r="L29" s="902"/>
      <c r="M29" s="722"/>
      <c r="N29" s="722"/>
      <c r="O29" s="722"/>
      <c r="P29" s="722"/>
      <c r="Q29" s="722"/>
      <c r="R29" s="722"/>
      <c r="S29" s="722"/>
      <c r="T29" s="722"/>
      <c r="U29" s="722"/>
      <c r="V29" s="722"/>
      <c r="W29" s="722"/>
      <c r="X29" s="722"/>
      <c r="Y29" s="722"/>
      <c r="Z29" s="722"/>
    </row>
    <row r="30" spans="1:26" s="39" customFormat="1" ht="12.75" customHeight="1">
      <c r="A30" s="263"/>
      <c r="B30" s="263"/>
      <c r="C30" s="263"/>
      <c r="M30" s="722"/>
      <c r="N30" s="722"/>
      <c r="O30" s="722"/>
      <c r="P30" s="722"/>
      <c r="Q30" s="722"/>
      <c r="R30" s="722"/>
      <c r="S30" s="722"/>
      <c r="T30" s="722"/>
      <c r="U30" s="722"/>
      <c r="V30" s="722"/>
      <c r="W30" s="722"/>
      <c r="X30" s="722"/>
      <c r="Y30" s="722"/>
      <c r="Z30" s="722"/>
    </row>
    <row r="31" spans="1:26" s="39" customFormat="1" ht="15">
      <c r="A31" s="263"/>
      <c r="B31" s="263" t="s">
        <v>903</v>
      </c>
      <c r="C31" s="263" t="s">
        <v>289</v>
      </c>
      <c r="M31" s="722"/>
      <c r="N31" s="722"/>
      <c r="O31" s="722"/>
      <c r="P31" s="722"/>
      <c r="Q31" s="722"/>
      <c r="R31" s="722"/>
      <c r="S31" s="722"/>
      <c r="T31" s="722"/>
      <c r="U31" s="722"/>
      <c r="V31" s="722"/>
      <c r="W31" s="722"/>
      <c r="X31" s="722"/>
      <c r="Y31" s="722"/>
      <c r="Z31" s="722"/>
    </row>
    <row r="32" spans="1:26" s="39" customFormat="1" ht="15">
      <c r="A32" s="263"/>
      <c r="B32" s="263"/>
      <c r="C32" s="263"/>
      <c r="M32" s="722"/>
      <c r="N32" s="722"/>
      <c r="O32" s="722"/>
      <c r="P32" s="722"/>
      <c r="Q32" s="722"/>
      <c r="R32" s="722"/>
      <c r="S32" s="722"/>
      <c r="T32" s="722"/>
      <c r="U32" s="722"/>
      <c r="V32" s="722"/>
      <c r="W32" s="722"/>
      <c r="X32" s="722"/>
      <c r="Y32" s="722"/>
      <c r="Z32" s="722"/>
    </row>
    <row r="33" spans="1:26" s="39" customFormat="1" ht="53.25" customHeight="1">
      <c r="A33" s="263"/>
      <c r="B33" s="263"/>
      <c r="C33" s="263" t="s">
        <v>290</v>
      </c>
      <c r="D33" s="903" t="s">
        <v>904</v>
      </c>
      <c r="E33" s="903"/>
      <c r="F33" s="903"/>
      <c r="G33" s="903"/>
      <c r="H33" s="903"/>
      <c r="I33" s="903"/>
      <c r="J33" s="903"/>
      <c r="K33" s="903"/>
      <c r="L33" s="903"/>
      <c r="M33" s="723"/>
      <c r="N33" s="722"/>
      <c r="O33" s="722"/>
      <c r="P33" s="722"/>
      <c r="Q33" s="722"/>
      <c r="R33" s="722"/>
      <c r="S33" s="722"/>
      <c r="T33" s="722"/>
      <c r="U33" s="722"/>
      <c r="V33" s="722"/>
      <c r="W33" s="722"/>
      <c r="X33" s="722"/>
      <c r="Y33" s="722"/>
      <c r="Z33" s="722"/>
    </row>
    <row r="34" spans="1:26" s="39" customFormat="1" ht="15">
      <c r="A34" s="263"/>
      <c r="B34" s="263"/>
      <c r="C34" s="263"/>
      <c r="M34" s="722"/>
      <c r="N34" s="722"/>
      <c r="O34" s="722"/>
      <c r="P34" s="722"/>
      <c r="Q34" s="722"/>
      <c r="R34" s="722"/>
      <c r="S34" s="722"/>
      <c r="T34" s="722"/>
      <c r="U34" s="722"/>
      <c r="V34" s="722"/>
      <c r="W34" s="722"/>
      <c r="X34" s="722"/>
      <c r="Y34" s="722"/>
      <c r="Z34" s="722"/>
    </row>
    <row r="35" spans="1:26" s="39" customFormat="1" ht="15">
      <c r="A35" s="263"/>
      <c r="B35" s="263"/>
      <c r="C35" s="263" t="s">
        <v>294</v>
      </c>
      <c r="D35" s="39" t="s">
        <v>295</v>
      </c>
      <c r="M35" s="722"/>
      <c r="N35" s="722"/>
      <c r="O35" s="722"/>
      <c r="P35" s="722"/>
      <c r="Q35" s="722"/>
      <c r="R35" s="722"/>
      <c r="S35" s="722"/>
      <c r="T35" s="722"/>
      <c r="U35" s="722"/>
      <c r="V35" s="722"/>
      <c r="W35" s="722"/>
      <c r="X35" s="722"/>
      <c r="Y35" s="722"/>
      <c r="Z35" s="722"/>
    </row>
    <row r="36" spans="1:26" s="39" customFormat="1" ht="15">
      <c r="A36" s="263"/>
      <c r="B36" s="263"/>
      <c r="C36" s="263"/>
      <c r="M36" s="722"/>
      <c r="N36" s="722"/>
      <c r="O36" s="722"/>
      <c r="P36" s="722"/>
      <c r="Q36" s="722"/>
      <c r="R36" s="722"/>
      <c r="S36" s="722"/>
      <c r="T36" s="722"/>
      <c r="U36" s="722"/>
      <c r="V36" s="722"/>
      <c r="W36" s="722"/>
      <c r="X36" s="722"/>
      <c r="Y36" s="722"/>
      <c r="Z36" s="722"/>
    </row>
    <row r="37" spans="1:26" s="39" customFormat="1" ht="32.25" customHeight="1">
      <c r="A37" s="263"/>
      <c r="B37" s="263"/>
      <c r="C37" s="263" t="s">
        <v>296</v>
      </c>
      <c r="D37" s="903" t="s">
        <v>905</v>
      </c>
      <c r="E37" s="903"/>
      <c r="F37" s="903"/>
      <c r="G37" s="903"/>
      <c r="H37" s="903"/>
      <c r="I37" s="903"/>
      <c r="J37" s="903"/>
      <c r="K37" s="903"/>
      <c r="L37" s="903"/>
      <c r="M37" s="722"/>
      <c r="N37" s="722"/>
      <c r="O37" s="722"/>
      <c r="P37" s="722"/>
      <c r="Q37" s="722"/>
      <c r="R37" s="722"/>
      <c r="S37" s="722"/>
      <c r="T37" s="722"/>
      <c r="U37" s="722"/>
      <c r="V37" s="722"/>
      <c r="W37" s="722"/>
      <c r="X37" s="722"/>
      <c r="Y37" s="722"/>
      <c r="Z37" s="722"/>
    </row>
    <row r="38" spans="1:26" s="39" customFormat="1" ht="12" customHeight="1">
      <c r="A38" s="263"/>
      <c r="B38" s="263"/>
      <c r="C38" s="263"/>
      <c r="M38" s="722"/>
      <c r="N38" s="722"/>
      <c r="O38" s="722"/>
      <c r="P38" s="722"/>
      <c r="Q38" s="722"/>
      <c r="R38" s="722"/>
      <c r="S38" s="722"/>
      <c r="T38" s="722"/>
      <c r="U38" s="722"/>
      <c r="V38" s="722"/>
      <c r="W38" s="722"/>
      <c r="X38" s="722"/>
      <c r="Y38" s="722"/>
      <c r="Z38" s="722"/>
    </row>
    <row r="39" spans="1:26" ht="45" customHeight="1">
      <c r="A39" s="263"/>
      <c r="B39" s="263" t="s">
        <v>906</v>
      </c>
      <c r="C39" s="902" t="s">
        <v>907</v>
      </c>
      <c r="D39" s="902"/>
      <c r="E39" s="902"/>
      <c r="F39" s="902"/>
      <c r="G39" s="902"/>
      <c r="H39" s="902"/>
      <c r="I39" s="902"/>
      <c r="J39" s="902"/>
      <c r="K39" s="902"/>
      <c r="L39" s="902"/>
    </row>
    <row r="40" spans="1:26" ht="13.5" customHeight="1">
      <c r="A40" s="263"/>
      <c r="B40" s="263"/>
      <c r="C40" s="263"/>
      <c r="D40" s="39"/>
      <c r="E40" s="39"/>
      <c r="F40" s="39"/>
      <c r="G40" s="39"/>
      <c r="H40" s="39"/>
      <c r="I40" s="39"/>
      <c r="J40" s="39"/>
      <c r="K40" s="39"/>
      <c r="L40" s="39"/>
    </row>
    <row r="41" spans="1:26">
      <c r="A41" s="263"/>
      <c r="B41" s="263" t="s">
        <v>908</v>
      </c>
      <c r="C41" s="263" t="s">
        <v>909</v>
      </c>
      <c r="D41" s="39"/>
      <c r="E41" s="39"/>
      <c r="F41" s="39"/>
      <c r="G41" s="39"/>
      <c r="H41" s="39"/>
      <c r="I41" s="39"/>
      <c r="J41" s="39"/>
      <c r="K41" s="39"/>
      <c r="L41" s="39"/>
    </row>
    <row r="42" spans="1:26" ht="12.75" customHeight="1">
      <c r="A42" s="271"/>
      <c r="B42" s="263"/>
      <c r="C42" s="263"/>
      <c r="D42" s="39"/>
      <c r="E42" s="39"/>
      <c r="F42" s="39"/>
      <c r="G42" s="39"/>
      <c r="H42" s="39"/>
      <c r="I42" s="39"/>
      <c r="J42" s="39"/>
      <c r="K42" s="39"/>
      <c r="L42" s="39"/>
    </row>
    <row r="43" spans="1:26">
      <c r="A43" s="263">
        <v>2.2000000000000002</v>
      </c>
      <c r="B43" s="263" t="s">
        <v>910</v>
      </c>
      <c r="C43" s="263"/>
      <c r="D43" s="39"/>
      <c r="E43" s="39"/>
      <c r="F43" s="39"/>
      <c r="G43" s="39"/>
      <c r="H43" s="39"/>
      <c r="I43" s="39"/>
      <c r="J43" s="39"/>
      <c r="K43" s="39"/>
      <c r="L43" s="39"/>
    </row>
    <row r="44" spans="1:26" ht="9.75" customHeight="1">
      <c r="A44" s="271"/>
      <c r="B44" s="263"/>
      <c r="C44" s="263"/>
      <c r="D44" s="39"/>
      <c r="E44" s="39"/>
      <c r="F44" s="39"/>
      <c r="G44" s="39"/>
      <c r="H44" s="39"/>
      <c r="I44" s="39"/>
      <c r="J44" s="39"/>
      <c r="K44" s="39"/>
      <c r="L44" s="39"/>
    </row>
    <row r="45" spans="1:26">
      <c r="L45" s="45" t="s">
        <v>299</v>
      </c>
    </row>
    <row r="46" spans="1:26">
      <c r="A46" s="900" t="str">
        <f>+CONCATENATE(M46,Control!D142)</f>
        <v>Address: Unit 402, 4/F., Fourseas Building, No. 208 Nathan Road, Kowloon</v>
      </c>
      <c r="B46" s="900"/>
      <c r="C46" s="900"/>
      <c r="D46" s="900"/>
      <c r="E46" s="900"/>
      <c r="F46" s="900"/>
      <c r="G46" s="900"/>
      <c r="H46" s="900"/>
      <c r="I46" s="900"/>
      <c r="J46" s="900"/>
      <c r="K46" s="900"/>
      <c r="L46" s="900"/>
      <c r="M46" s="594" t="s">
        <v>731</v>
      </c>
    </row>
    <row r="47" spans="1:26" ht="22.5">
      <c r="A47" s="899" t="str">
        <f>+A1</f>
        <v>Matthew S.H. Law Certified Public Accountant (Practising)</v>
      </c>
      <c r="B47" s="899"/>
      <c r="C47" s="899"/>
      <c r="D47" s="899"/>
      <c r="E47" s="899"/>
      <c r="F47" s="899"/>
      <c r="G47" s="899"/>
      <c r="H47" s="899"/>
      <c r="I47" s="899"/>
      <c r="J47" s="899"/>
      <c r="K47" s="899"/>
      <c r="L47" s="899"/>
    </row>
    <row r="49" spans="1:26" s="39" customFormat="1" ht="15">
      <c r="A49" s="272" t="s">
        <v>301</v>
      </c>
      <c r="B49" s="263"/>
      <c r="C49" s="263"/>
      <c r="M49" s="722"/>
      <c r="N49" s="722"/>
      <c r="O49" s="722"/>
      <c r="P49" s="722"/>
      <c r="Q49" s="722"/>
      <c r="R49" s="722"/>
      <c r="S49" s="722"/>
      <c r="T49" s="722"/>
      <c r="U49" s="722"/>
      <c r="V49" s="722"/>
      <c r="W49" s="722"/>
      <c r="X49" s="722"/>
      <c r="Y49" s="722"/>
      <c r="Z49" s="722"/>
    </row>
    <row r="50" spans="1:26" s="39" customFormat="1" ht="15">
      <c r="A50" s="263"/>
      <c r="B50" s="263"/>
      <c r="C50" s="263"/>
      <c r="M50" s="722"/>
      <c r="N50" s="722"/>
      <c r="O50" s="722"/>
      <c r="P50" s="722"/>
      <c r="Q50" s="722"/>
      <c r="R50" s="722"/>
      <c r="S50" s="722"/>
      <c r="T50" s="722"/>
      <c r="U50" s="722"/>
      <c r="V50" s="722"/>
      <c r="W50" s="722"/>
      <c r="X50" s="722"/>
      <c r="Y50" s="722"/>
      <c r="Z50" s="722"/>
    </row>
    <row r="51" spans="1:26" s="39" customFormat="1" ht="72.75" customHeight="1">
      <c r="A51" s="263">
        <v>3.1</v>
      </c>
      <c r="B51" s="903" t="s">
        <v>911</v>
      </c>
      <c r="C51" s="903"/>
      <c r="D51" s="903"/>
      <c r="E51" s="903"/>
      <c r="F51" s="903"/>
      <c r="G51" s="903"/>
      <c r="H51" s="903"/>
      <c r="I51" s="903"/>
      <c r="J51" s="903"/>
      <c r="K51" s="903"/>
      <c r="L51" s="903"/>
      <c r="M51" s="722"/>
      <c r="N51" s="722"/>
      <c r="O51" s="722"/>
      <c r="P51" s="722"/>
      <c r="Q51" s="722"/>
      <c r="R51" s="722"/>
      <c r="S51" s="722"/>
      <c r="T51" s="722"/>
      <c r="U51" s="722"/>
      <c r="V51" s="722"/>
      <c r="W51" s="722"/>
      <c r="X51" s="722"/>
      <c r="Y51" s="722"/>
      <c r="Z51" s="722"/>
    </row>
    <row r="52" spans="1:26" s="39" customFormat="1" ht="15">
      <c r="A52" s="263"/>
      <c r="B52" s="263" t="s">
        <v>306</v>
      </c>
      <c r="C52" s="904" t="s">
        <v>912</v>
      </c>
      <c r="D52" s="904"/>
      <c r="E52" s="904"/>
      <c r="F52" s="904"/>
      <c r="G52" s="904"/>
      <c r="H52" s="904"/>
      <c r="I52" s="904"/>
      <c r="J52" s="904"/>
      <c r="K52" s="904"/>
      <c r="L52" s="904"/>
      <c r="M52" s="722"/>
      <c r="N52" s="722"/>
      <c r="O52" s="722"/>
      <c r="P52" s="722"/>
      <c r="Q52" s="722"/>
      <c r="R52" s="722"/>
      <c r="S52" s="722"/>
      <c r="T52" s="722"/>
      <c r="U52" s="722"/>
      <c r="V52" s="722"/>
      <c r="W52" s="722"/>
      <c r="X52" s="722"/>
      <c r="Y52" s="722"/>
      <c r="Z52" s="722"/>
    </row>
    <row r="53" spans="1:26" s="39" customFormat="1" ht="15">
      <c r="A53" s="263"/>
      <c r="B53" s="263"/>
      <c r="C53" s="263"/>
      <c r="M53" s="722"/>
      <c r="N53" s="722"/>
      <c r="O53" s="722"/>
      <c r="P53" s="722"/>
      <c r="Q53" s="722"/>
      <c r="R53" s="722"/>
      <c r="S53" s="722"/>
      <c r="T53" s="722"/>
      <c r="U53" s="722"/>
      <c r="V53" s="722"/>
      <c r="W53" s="722"/>
      <c r="X53" s="722"/>
      <c r="Y53" s="722"/>
      <c r="Z53" s="722"/>
    </row>
    <row r="54" spans="1:26" s="39" customFormat="1" ht="15">
      <c r="A54" s="263"/>
      <c r="B54" s="263" t="s">
        <v>309</v>
      </c>
      <c r="C54" s="901" t="s">
        <v>913</v>
      </c>
      <c r="D54" s="901"/>
      <c r="E54" s="901"/>
      <c r="F54" s="901"/>
      <c r="G54" s="901"/>
      <c r="H54" s="901"/>
      <c r="I54" s="901"/>
      <c r="J54" s="901"/>
      <c r="K54" s="901"/>
      <c r="L54" s="901"/>
      <c r="M54" s="722"/>
      <c r="N54" s="722"/>
      <c r="O54" s="722"/>
      <c r="P54" s="722"/>
      <c r="Q54" s="722"/>
      <c r="R54" s="722"/>
      <c r="S54" s="722"/>
      <c r="T54" s="722"/>
      <c r="U54" s="722"/>
      <c r="V54" s="722"/>
      <c r="W54" s="722"/>
      <c r="X54" s="722"/>
      <c r="Y54" s="722"/>
      <c r="Z54" s="722"/>
    </row>
    <row r="55" spans="1:26" s="39" customFormat="1" ht="12" customHeight="1">
      <c r="A55" s="263"/>
      <c r="B55" s="263"/>
      <c r="C55" s="263"/>
      <c r="M55" s="722"/>
      <c r="N55" s="722"/>
      <c r="O55" s="722"/>
      <c r="P55" s="722"/>
      <c r="Q55" s="722"/>
      <c r="R55" s="722"/>
      <c r="S55" s="722"/>
      <c r="T55" s="722"/>
      <c r="U55" s="722"/>
      <c r="V55" s="722"/>
      <c r="W55" s="722"/>
      <c r="X55" s="722"/>
      <c r="Y55" s="722"/>
      <c r="Z55" s="722"/>
    </row>
    <row r="56" spans="1:26" s="39" customFormat="1" ht="42" customHeight="1">
      <c r="A56" s="263"/>
      <c r="B56" s="903" t="s">
        <v>914</v>
      </c>
      <c r="C56" s="903"/>
      <c r="D56" s="903"/>
      <c r="E56" s="903"/>
      <c r="F56" s="903"/>
      <c r="G56" s="903"/>
      <c r="H56" s="903"/>
      <c r="I56" s="903"/>
      <c r="J56" s="903"/>
      <c r="K56" s="903"/>
      <c r="L56" s="903"/>
      <c r="M56" s="722"/>
      <c r="N56" s="722"/>
      <c r="O56" s="722"/>
      <c r="P56" s="722"/>
      <c r="Q56" s="722"/>
      <c r="R56" s="722"/>
      <c r="S56" s="722"/>
      <c r="T56" s="722"/>
      <c r="U56" s="722"/>
      <c r="V56" s="722"/>
      <c r="W56" s="722"/>
      <c r="X56" s="722"/>
      <c r="Y56" s="722"/>
      <c r="Z56" s="722"/>
    </row>
    <row r="57" spans="1:26" s="39" customFormat="1" ht="54" customHeight="1">
      <c r="A57" s="263"/>
      <c r="B57" s="903" t="s">
        <v>915</v>
      </c>
      <c r="C57" s="903"/>
      <c r="D57" s="903"/>
      <c r="E57" s="903"/>
      <c r="F57" s="903"/>
      <c r="G57" s="903"/>
      <c r="H57" s="903"/>
      <c r="I57" s="903"/>
      <c r="J57" s="903"/>
      <c r="K57" s="903"/>
      <c r="L57" s="903"/>
      <c r="M57" s="722"/>
      <c r="N57" s="722"/>
      <c r="O57" s="722"/>
      <c r="P57" s="722"/>
      <c r="Q57" s="722"/>
      <c r="R57" s="722"/>
      <c r="S57" s="722"/>
      <c r="T57" s="722"/>
      <c r="U57" s="722"/>
      <c r="V57" s="722"/>
      <c r="W57" s="722"/>
      <c r="X57" s="722"/>
      <c r="Y57" s="722"/>
      <c r="Z57" s="722"/>
    </row>
    <row r="58" spans="1:26" s="39" customFormat="1" ht="57.75" customHeight="1">
      <c r="A58" s="263">
        <v>3.2</v>
      </c>
      <c r="B58" s="902" t="s">
        <v>916</v>
      </c>
      <c r="C58" s="902"/>
      <c r="D58" s="902"/>
      <c r="E58" s="902"/>
      <c r="F58" s="902"/>
      <c r="G58" s="902"/>
      <c r="H58" s="902"/>
      <c r="I58" s="902"/>
      <c r="J58" s="902"/>
      <c r="K58" s="902"/>
      <c r="L58" s="902"/>
      <c r="M58" s="722"/>
      <c r="N58" s="722"/>
      <c r="O58" s="722"/>
      <c r="P58" s="722"/>
      <c r="Q58" s="722"/>
      <c r="R58" s="722"/>
      <c r="S58" s="722"/>
      <c r="T58" s="722"/>
      <c r="U58" s="722"/>
      <c r="V58" s="722"/>
      <c r="W58" s="722"/>
      <c r="X58" s="722"/>
      <c r="Y58" s="722"/>
      <c r="Z58" s="722"/>
    </row>
    <row r="59" spans="1:26" s="39" customFormat="1" ht="30" customHeight="1">
      <c r="A59" s="263"/>
      <c r="B59" s="263" t="s">
        <v>306</v>
      </c>
      <c r="C59" s="902" t="s">
        <v>917</v>
      </c>
      <c r="D59" s="902"/>
      <c r="E59" s="902"/>
      <c r="F59" s="902"/>
      <c r="G59" s="902"/>
      <c r="H59" s="902"/>
      <c r="I59" s="902"/>
      <c r="J59" s="902"/>
      <c r="K59" s="902"/>
      <c r="L59" s="902"/>
      <c r="M59" s="722"/>
      <c r="N59" s="722"/>
      <c r="O59" s="722"/>
      <c r="P59" s="722"/>
      <c r="Q59" s="722"/>
      <c r="R59" s="722"/>
      <c r="S59" s="722"/>
      <c r="T59" s="722"/>
      <c r="U59" s="722"/>
      <c r="V59" s="722"/>
      <c r="W59" s="722"/>
      <c r="X59" s="722"/>
      <c r="Y59" s="722"/>
      <c r="Z59" s="722"/>
    </row>
    <row r="60" spans="1:26" s="39" customFormat="1" ht="15">
      <c r="A60" s="263"/>
      <c r="B60" s="263" t="s">
        <v>322</v>
      </c>
      <c r="C60" s="263" t="s">
        <v>918</v>
      </c>
      <c r="M60" s="722"/>
      <c r="N60" s="722"/>
      <c r="O60" s="722"/>
      <c r="P60" s="722"/>
      <c r="Q60" s="722"/>
      <c r="R60" s="722"/>
      <c r="S60" s="722"/>
      <c r="T60" s="722"/>
      <c r="U60" s="722"/>
      <c r="V60" s="722"/>
      <c r="W60" s="722"/>
      <c r="X60" s="722"/>
      <c r="Y60" s="722"/>
      <c r="Z60" s="722"/>
    </row>
    <row r="61" spans="1:26" s="39" customFormat="1" ht="11.25" customHeight="1">
      <c r="A61" s="263"/>
      <c r="B61" s="263"/>
      <c r="C61" s="263"/>
      <c r="M61" s="722"/>
      <c r="N61" s="722"/>
      <c r="O61" s="722"/>
      <c r="P61" s="722"/>
      <c r="Q61" s="722"/>
      <c r="R61" s="722"/>
      <c r="S61" s="722"/>
      <c r="T61" s="722"/>
      <c r="U61" s="722"/>
      <c r="V61" s="722"/>
      <c r="W61" s="722"/>
      <c r="X61" s="722"/>
      <c r="Y61" s="722"/>
      <c r="Z61" s="722"/>
    </row>
    <row r="62" spans="1:26" s="39" customFormat="1" ht="92.25" customHeight="1">
      <c r="A62" s="263">
        <v>3.3</v>
      </c>
      <c r="B62" s="902" t="s">
        <v>919</v>
      </c>
      <c r="C62" s="902"/>
      <c r="D62" s="902"/>
      <c r="E62" s="902"/>
      <c r="F62" s="902"/>
      <c r="G62" s="902"/>
      <c r="H62" s="902"/>
      <c r="I62" s="902"/>
      <c r="J62" s="902"/>
      <c r="K62" s="902"/>
      <c r="L62" s="902"/>
      <c r="M62" s="722"/>
      <c r="N62" s="722"/>
      <c r="O62" s="722"/>
      <c r="P62" s="722"/>
      <c r="Q62" s="722"/>
      <c r="R62" s="722"/>
      <c r="S62" s="722"/>
      <c r="T62" s="722"/>
      <c r="U62" s="722"/>
      <c r="V62" s="722"/>
      <c r="W62" s="722"/>
      <c r="X62" s="722"/>
      <c r="Y62" s="722"/>
      <c r="Z62" s="722"/>
    </row>
    <row r="63" spans="1:26" s="39" customFormat="1" ht="15">
      <c r="A63" s="272" t="s">
        <v>324</v>
      </c>
      <c r="B63" s="263"/>
      <c r="C63" s="263"/>
      <c r="M63" s="722"/>
      <c r="N63" s="722"/>
      <c r="O63" s="722"/>
      <c r="P63" s="722"/>
      <c r="Q63" s="722"/>
      <c r="R63" s="722"/>
      <c r="S63" s="722"/>
      <c r="T63" s="722"/>
      <c r="U63" s="722"/>
      <c r="V63" s="722"/>
      <c r="W63" s="722"/>
      <c r="X63" s="722"/>
      <c r="Y63" s="722"/>
      <c r="Z63" s="722"/>
    </row>
    <row r="64" spans="1:26" s="39" customFormat="1" ht="9.75" customHeight="1">
      <c r="A64" s="263"/>
      <c r="B64" s="263"/>
      <c r="C64" s="263"/>
      <c r="M64" s="722"/>
      <c r="N64" s="722"/>
      <c r="O64" s="722"/>
      <c r="P64" s="722"/>
      <c r="Q64" s="722"/>
      <c r="R64" s="722"/>
      <c r="S64" s="722"/>
      <c r="T64" s="722"/>
      <c r="U64" s="722"/>
      <c r="V64" s="722"/>
      <c r="W64" s="722"/>
      <c r="X64" s="722"/>
      <c r="Y64" s="722"/>
      <c r="Z64" s="722"/>
    </row>
    <row r="65" spans="1:26" s="39" customFormat="1" ht="133.5" customHeight="1">
      <c r="A65" s="263">
        <v>4.0999999999999996</v>
      </c>
      <c r="B65" s="902" t="s">
        <v>920</v>
      </c>
      <c r="C65" s="902"/>
      <c r="D65" s="902"/>
      <c r="E65" s="902"/>
      <c r="F65" s="902"/>
      <c r="G65" s="902"/>
      <c r="H65" s="902"/>
      <c r="I65" s="902"/>
      <c r="J65" s="902"/>
      <c r="K65" s="902"/>
      <c r="L65" s="902"/>
      <c r="M65" s="722"/>
      <c r="N65" s="722"/>
      <c r="O65" s="722"/>
      <c r="P65" s="722"/>
      <c r="Q65" s="722"/>
      <c r="R65" s="722"/>
      <c r="S65" s="722"/>
      <c r="T65" s="722"/>
      <c r="U65" s="722"/>
      <c r="V65" s="722"/>
      <c r="W65" s="722"/>
      <c r="X65" s="722"/>
      <c r="Y65" s="722"/>
      <c r="Z65" s="722"/>
    </row>
    <row r="66" spans="1:26" s="39" customFormat="1" ht="59.25" customHeight="1">
      <c r="A66" s="263">
        <v>4.2</v>
      </c>
      <c r="B66" s="902" t="s">
        <v>921</v>
      </c>
      <c r="C66" s="902"/>
      <c r="D66" s="902"/>
      <c r="E66" s="902"/>
      <c r="F66" s="902"/>
      <c r="G66" s="902"/>
      <c r="H66" s="902"/>
      <c r="I66" s="902"/>
      <c r="J66" s="902"/>
      <c r="K66" s="902"/>
      <c r="L66" s="902"/>
      <c r="M66" s="722"/>
      <c r="N66" s="722"/>
      <c r="O66" s="722"/>
      <c r="P66" s="722"/>
      <c r="Q66" s="722"/>
      <c r="R66" s="722"/>
      <c r="S66" s="722"/>
      <c r="T66" s="722"/>
      <c r="U66" s="722"/>
      <c r="V66" s="722"/>
      <c r="W66" s="722"/>
      <c r="X66" s="722"/>
      <c r="Y66" s="722"/>
      <c r="Z66" s="722"/>
    </row>
    <row r="67" spans="1:26" s="39" customFormat="1" ht="105" customHeight="1">
      <c r="A67" s="263">
        <v>4.3</v>
      </c>
      <c r="B67" s="902" t="s">
        <v>922</v>
      </c>
      <c r="C67" s="902"/>
      <c r="D67" s="902"/>
      <c r="E67" s="902"/>
      <c r="F67" s="902"/>
      <c r="G67" s="902"/>
      <c r="H67" s="902"/>
      <c r="I67" s="902"/>
      <c r="J67" s="902"/>
      <c r="K67" s="902"/>
      <c r="L67" s="902"/>
      <c r="M67" s="722"/>
      <c r="N67" s="722"/>
      <c r="O67" s="722"/>
      <c r="P67" s="722"/>
      <c r="Q67" s="722"/>
      <c r="R67" s="722"/>
      <c r="S67" s="722"/>
      <c r="T67" s="722"/>
      <c r="U67" s="722"/>
      <c r="V67" s="722"/>
      <c r="W67" s="722"/>
      <c r="X67" s="722"/>
      <c r="Y67" s="722"/>
      <c r="Z67" s="722"/>
    </row>
    <row r="68" spans="1:26" s="39" customFormat="1" ht="15">
      <c r="A68" s="263"/>
      <c r="B68" s="644"/>
      <c r="C68" s="644"/>
      <c r="D68" s="644"/>
      <c r="E68" s="644"/>
      <c r="F68" s="644"/>
      <c r="G68" s="644"/>
      <c r="H68" s="644"/>
      <c r="I68" s="644"/>
      <c r="J68" s="644"/>
      <c r="K68" s="644"/>
      <c r="L68" s="45" t="s">
        <v>338</v>
      </c>
      <c r="M68" s="722"/>
      <c r="N68" s="722"/>
      <c r="O68" s="722"/>
      <c r="P68" s="722"/>
      <c r="Q68" s="722"/>
      <c r="R68" s="722"/>
      <c r="S68" s="722"/>
      <c r="T68" s="722"/>
      <c r="U68" s="722"/>
      <c r="V68" s="722"/>
      <c r="W68" s="722"/>
      <c r="X68" s="722"/>
      <c r="Y68" s="722"/>
      <c r="Z68" s="722"/>
    </row>
    <row r="69" spans="1:26">
      <c r="A69" s="900" t="str">
        <f>+A46</f>
        <v>Address: Unit 402, 4/F., Fourseas Building, No. 208 Nathan Road, Kowloon</v>
      </c>
      <c r="B69" s="900"/>
      <c r="C69" s="900"/>
      <c r="D69" s="900"/>
      <c r="E69" s="900"/>
      <c r="F69" s="900"/>
      <c r="G69" s="900"/>
      <c r="H69" s="900"/>
      <c r="I69" s="900"/>
      <c r="J69" s="900"/>
      <c r="K69" s="900"/>
      <c r="L69" s="900"/>
    </row>
    <row r="70" spans="1:26" ht="22.5">
      <c r="A70" s="899" t="str">
        <f>+A1</f>
        <v>Matthew S.H. Law Certified Public Accountant (Practising)</v>
      </c>
      <c r="B70" s="899"/>
      <c r="C70" s="899"/>
      <c r="D70" s="899"/>
      <c r="E70" s="899"/>
      <c r="F70" s="899"/>
      <c r="G70" s="899"/>
      <c r="H70" s="899"/>
      <c r="I70" s="899"/>
      <c r="J70" s="899"/>
      <c r="K70" s="899"/>
      <c r="L70" s="899"/>
    </row>
    <row r="72" spans="1:26" s="39" customFormat="1" ht="98.1" customHeight="1">
      <c r="A72" s="263">
        <v>4.4000000000000004</v>
      </c>
      <c r="B72" s="902" t="s">
        <v>923</v>
      </c>
      <c r="C72" s="902"/>
      <c r="D72" s="902"/>
      <c r="E72" s="902"/>
      <c r="F72" s="902"/>
      <c r="G72" s="902"/>
      <c r="H72" s="902"/>
      <c r="I72" s="902"/>
      <c r="J72" s="902"/>
      <c r="K72" s="902"/>
      <c r="L72" s="902"/>
      <c r="M72" s="722"/>
      <c r="N72" s="722"/>
      <c r="O72" s="722"/>
      <c r="P72" s="722"/>
      <c r="Q72" s="722"/>
      <c r="R72" s="722"/>
      <c r="S72" s="722"/>
      <c r="T72" s="722"/>
      <c r="U72" s="722"/>
      <c r="V72" s="722"/>
      <c r="W72" s="722"/>
      <c r="X72" s="722"/>
      <c r="Y72" s="722"/>
      <c r="Z72" s="722"/>
    </row>
    <row r="73" spans="1:26" s="39" customFormat="1" ht="15">
      <c r="A73" s="263"/>
      <c r="B73" s="263"/>
      <c r="C73" s="263"/>
      <c r="M73" s="722"/>
      <c r="N73" s="722"/>
      <c r="O73" s="722"/>
      <c r="P73" s="722"/>
      <c r="Q73" s="722"/>
      <c r="R73" s="722"/>
      <c r="S73" s="722"/>
      <c r="T73" s="722"/>
      <c r="U73" s="722"/>
      <c r="V73" s="722"/>
      <c r="W73" s="722"/>
      <c r="X73" s="722"/>
      <c r="Y73" s="722"/>
      <c r="Z73" s="722"/>
    </row>
    <row r="74" spans="1:26" s="39" customFormat="1" ht="66" customHeight="1">
      <c r="A74" s="263">
        <v>4.5</v>
      </c>
      <c r="B74" s="902" t="s">
        <v>924</v>
      </c>
      <c r="C74" s="902"/>
      <c r="D74" s="902"/>
      <c r="E74" s="902"/>
      <c r="F74" s="902"/>
      <c r="G74" s="902"/>
      <c r="H74" s="902"/>
      <c r="I74" s="902"/>
      <c r="J74" s="902"/>
      <c r="K74" s="902"/>
      <c r="L74" s="902"/>
      <c r="M74" s="722"/>
      <c r="N74" s="722"/>
      <c r="O74" s="722"/>
      <c r="P74" s="722"/>
      <c r="Q74" s="722"/>
      <c r="R74" s="722"/>
      <c r="S74" s="722"/>
      <c r="T74" s="722"/>
      <c r="U74" s="722"/>
      <c r="V74" s="722"/>
      <c r="W74" s="722"/>
      <c r="X74" s="722"/>
      <c r="Y74" s="722"/>
      <c r="Z74" s="722"/>
    </row>
    <row r="75" spans="1:26" s="39" customFormat="1" ht="15">
      <c r="A75" s="263"/>
      <c r="B75" s="263"/>
      <c r="C75" s="263"/>
      <c r="M75" s="722"/>
      <c r="N75" s="722"/>
      <c r="O75" s="722"/>
      <c r="P75" s="722"/>
      <c r="Q75" s="722"/>
      <c r="R75" s="722"/>
      <c r="S75" s="722"/>
      <c r="T75" s="722"/>
      <c r="U75" s="722"/>
      <c r="V75" s="722"/>
      <c r="W75" s="722"/>
      <c r="X75" s="722"/>
      <c r="Y75" s="722"/>
      <c r="Z75" s="722"/>
    </row>
    <row r="76" spans="1:26" s="39" customFormat="1" ht="96.6" customHeight="1">
      <c r="A76" s="263">
        <v>4.5999999999999996</v>
      </c>
      <c r="B76" s="902" t="s">
        <v>925</v>
      </c>
      <c r="C76" s="902"/>
      <c r="D76" s="902"/>
      <c r="E76" s="902"/>
      <c r="F76" s="902"/>
      <c r="G76" s="902"/>
      <c r="H76" s="902"/>
      <c r="I76" s="902"/>
      <c r="J76" s="902"/>
      <c r="K76" s="902"/>
      <c r="L76" s="902"/>
      <c r="M76" s="722"/>
      <c r="N76" s="722"/>
      <c r="O76" s="722"/>
      <c r="P76" s="722"/>
      <c r="Q76" s="722"/>
      <c r="R76" s="722"/>
      <c r="S76" s="722"/>
      <c r="T76" s="722"/>
      <c r="U76" s="722"/>
      <c r="V76" s="722"/>
      <c r="W76" s="722"/>
      <c r="X76" s="722"/>
      <c r="Y76" s="722"/>
      <c r="Z76" s="722"/>
    </row>
    <row r="77" spans="1:26" s="39" customFormat="1" ht="15">
      <c r="A77" s="263"/>
      <c r="B77" s="263"/>
      <c r="C77" s="263"/>
      <c r="M77" s="722"/>
      <c r="N77" s="722"/>
      <c r="O77" s="722"/>
      <c r="P77" s="722"/>
      <c r="Q77" s="722"/>
      <c r="R77" s="722"/>
      <c r="S77" s="722"/>
      <c r="T77" s="722"/>
      <c r="U77" s="722"/>
      <c r="V77" s="722"/>
      <c r="W77" s="722"/>
      <c r="X77" s="722"/>
      <c r="Y77" s="722"/>
      <c r="Z77" s="722"/>
    </row>
    <row r="78" spans="1:26" s="39" customFormat="1" ht="57.75" customHeight="1">
      <c r="A78" s="263">
        <v>4.7</v>
      </c>
      <c r="B78" s="902" t="s">
        <v>926</v>
      </c>
      <c r="C78" s="902"/>
      <c r="D78" s="902"/>
      <c r="E78" s="902"/>
      <c r="F78" s="902"/>
      <c r="G78" s="902"/>
      <c r="H78" s="902"/>
      <c r="I78" s="902"/>
      <c r="J78" s="902"/>
      <c r="K78" s="902"/>
      <c r="L78" s="902"/>
      <c r="M78" s="722"/>
      <c r="N78" s="722"/>
      <c r="O78" s="722"/>
      <c r="P78" s="722"/>
      <c r="Q78" s="722"/>
      <c r="R78" s="722"/>
      <c r="S78" s="722"/>
      <c r="T78" s="722"/>
      <c r="U78" s="722"/>
      <c r="V78" s="722"/>
      <c r="W78" s="722"/>
      <c r="X78" s="722"/>
      <c r="Y78" s="722"/>
      <c r="Z78" s="722"/>
    </row>
    <row r="79" spans="1:26" s="39" customFormat="1" ht="15">
      <c r="A79" s="263"/>
      <c r="B79" s="263"/>
      <c r="C79" s="263"/>
      <c r="M79" s="722"/>
      <c r="N79" s="722"/>
      <c r="O79" s="722"/>
      <c r="P79" s="722"/>
      <c r="Q79" s="722"/>
      <c r="R79" s="722"/>
      <c r="S79" s="722"/>
      <c r="T79" s="722"/>
      <c r="U79" s="722"/>
      <c r="V79" s="722"/>
      <c r="W79" s="722"/>
      <c r="X79" s="722"/>
      <c r="Y79" s="722"/>
      <c r="Z79" s="722"/>
    </row>
    <row r="80" spans="1:26" s="39" customFormat="1" ht="60.75" customHeight="1">
      <c r="A80" s="263">
        <v>4.8</v>
      </c>
      <c r="B80" s="902" t="s">
        <v>927</v>
      </c>
      <c r="C80" s="902"/>
      <c r="D80" s="902"/>
      <c r="E80" s="902"/>
      <c r="F80" s="902"/>
      <c r="G80" s="902"/>
      <c r="H80" s="902"/>
      <c r="I80" s="902"/>
      <c r="J80" s="902"/>
      <c r="K80" s="902"/>
      <c r="L80" s="902"/>
      <c r="M80" s="722"/>
      <c r="N80" s="722"/>
      <c r="O80" s="722"/>
      <c r="P80" s="722"/>
      <c r="Q80" s="722"/>
      <c r="R80" s="722"/>
      <c r="S80" s="722"/>
      <c r="T80" s="722"/>
      <c r="U80" s="722"/>
      <c r="V80" s="722"/>
      <c r="W80" s="722"/>
      <c r="X80" s="722"/>
      <c r="Y80" s="722"/>
      <c r="Z80" s="722"/>
    </row>
    <row r="81" spans="1:26" s="39" customFormat="1" ht="15">
      <c r="A81" s="263"/>
      <c r="B81" s="263"/>
      <c r="C81" s="263"/>
      <c r="M81" s="722"/>
      <c r="N81" s="722"/>
      <c r="O81" s="722"/>
      <c r="P81" s="722"/>
      <c r="Q81" s="722"/>
      <c r="R81" s="722"/>
      <c r="S81" s="722"/>
      <c r="T81" s="722"/>
      <c r="U81" s="722"/>
      <c r="V81" s="722"/>
      <c r="W81" s="722"/>
      <c r="X81" s="722"/>
      <c r="Y81" s="722"/>
      <c r="Z81" s="722"/>
    </row>
    <row r="82" spans="1:26" s="39" customFormat="1">
      <c r="A82" s="269" t="s">
        <v>365</v>
      </c>
      <c r="B82" s="263"/>
      <c r="C82" s="263"/>
      <c r="M82" s="722"/>
      <c r="N82" s="722"/>
      <c r="O82" s="722"/>
      <c r="P82" s="722"/>
      <c r="Q82" s="722"/>
      <c r="R82" s="722"/>
      <c r="S82" s="722"/>
      <c r="T82" s="722"/>
      <c r="U82" s="722"/>
      <c r="V82" s="722"/>
      <c r="W82" s="722"/>
      <c r="X82" s="722"/>
      <c r="Y82" s="722"/>
      <c r="Z82" s="722"/>
    </row>
    <row r="83" spans="1:26" s="39" customFormat="1" ht="15">
      <c r="A83" s="263"/>
      <c r="B83" s="263"/>
      <c r="C83" s="263"/>
      <c r="M83" s="722"/>
      <c r="N83" s="722"/>
      <c r="O83" s="722"/>
      <c r="P83" s="722"/>
      <c r="Q83" s="722"/>
      <c r="R83" s="722"/>
      <c r="S83" s="722"/>
      <c r="T83" s="722"/>
      <c r="U83" s="722"/>
      <c r="V83" s="722"/>
      <c r="W83" s="722"/>
      <c r="X83" s="722"/>
      <c r="Y83" s="722"/>
      <c r="Z83" s="722"/>
    </row>
    <row r="84" spans="1:26" s="39" customFormat="1" ht="26.1" customHeight="1">
      <c r="A84" s="263">
        <v>5.0999999999999996</v>
      </c>
      <c r="B84" s="263" t="s">
        <v>366</v>
      </c>
      <c r="C84" s="263"/>
      <c r="M84" s="722"/>
      <c r="N84" s="722"/>
      <c r="O84" s="722"/>
      <c r="P84" s="722"/>
      <c r="Q84" s="722"/>
      <c r="R84" s="722"/>
      <c r="S84" s="722"/>
      <c r="T84" s="722"/>
      <c r="U84" s="722"/>
      <c r="V84" s="722"/>
      <c r="W84" s="722"/>
      <c r="X84" s="722"/>
      <c r="Y84" s="722"/>
      <c r="Z84" s="722"/>
    </row>
    <row r="85" spans="1:26" s="39" customFormat="1" ht="15">
      <c r="A85" s="263"/>
      <c r="B85" s="263"/>
      <c r="C85" s="263"/>
      <c r="M85" s="722"/>
      <c r="N85" s="722"/>
      <c r="O85" s="722"/>
      <c r="P85" s="722"/>
      <c r="Q85" s="722"/>
      <c r="R85" s="722"/>
      <c r="S85" s="722"/>
      <c r="T85" s="722"/>
      <c r="U85" s="722"/>
      <c r="V85" s="722"/>
      <c r="W85" s="722"/>
      <c r="X85" s="722"/>
      <c r="Y85" s="722"/>
      <c r="Z85" s="722"/>
    </row>
    <row r="86" spans="1:26" s="39" customFormat="1" ht="15">
      <c r="A86" s="263"/>
      <c r="B86" s="263"/>
      <c r="C86" s="263"/>
      <c r="M86" s="722"/>
      <c r="N86" s="722"/>
      <c r="O86" s="722"/>
      <c r="P86" s="722"/>
      <c r="Q86" s="722"/>
      <c r="R86" s="722"/>
      <c r="S86" s="722"/>
      <c r="T86" s="722"/>
      <c r="U86" s="722"/>
      <c r="V86" s="722"/>
      <c r="W86" s="722"/>
      <c r="X86" s="722"/>
      <c r="Y86" s="722"/>
      <c r="Z86" s="722"/>
    </row>
    <row r="87" spans="1:26" s="39" customFormat="1" ht="15">
      <c r="A87" s="263"/>
      <c r="B87" s="263"/>
      <c r="C87" s="263"/>
      <c r="M87" s="722"/>
      <c r="N87" s="722"/>
      <c r="O87" s="722"/>
      <c r="P87" s="722"/>
      <c r="Q87" s="722"/>
      <c r="R87" s="722"/>
      <c r="S87" s="722"/>
      <c r="T87" s="722"/>
      <c r="U87" s="722"/>
      <c r="V87" s="722"/>
      <c r="W87" s="722"/>
      <c r="X87" s="722"/>
      <c r="Y87" s="722"/>
      <c r="Z87" s="722"/>
    </row>
    <row r="88" spans="1:26" s="39" customFormat="1" ht="15">
      <c r="A88" s="263"/>
      <c r="B88" s="263"/>
      <c r="C88" s="263"/>
      <c r="M88" s="722"/>
      <c r="N88" s="722"/>
      <c r="O88" s="722"/>
      <c r="P88" s="722"/>
      <c r="Q88" s="722"/>
      <c r="R88" s="722"/>
      <c r="S88" s="722"/>
      <c r="T88" s="722"/>
      <c r="U88" s="722"/>
      <c r="V88" s="722"/>
      <c r="W88" s="722"/>
      <c r="X88" s="722"/>
      <c r="Y88" s="722"/>
      <c r="Z88" s="722"/>
    </row>
    <row r="89" spans="1:26" s="39" customFormat="1" ht="15">
      <c r="A89" s="263"/>
      <c r="B89" s="263"/>
      <c r="C89" s="263"/>
      <c r="M89" s="722"/>
      <c r="N89" s="722"/>
      <c r="O89" s="722"/>
      <c r="P89" s="722"/>
      <c r="Q89" s="722"/>
      <c r="R89" s="722"/>
      <c r="S89" s="722"/>
      <c r="T89" s="722"/>
      <c r="U89" s="722"/>
      <c r="V89" s="722"/>
      <c r="W89" s="722"/>
      <c r="X89" s="722"/>
      <c r="Y89" s="722"/>
      <c r="Z89" s="722"/>
    </row>
    <row r="90" spans="1:26" s="39" customFormat="1" ht="15">
      <c r="A90" s="263"/>
      <c r="B90" s="263"/>
      <c r="C90" s="263"/>
      <c r="M90" s="722"/>
      <c r="N90" s="722"/>
      <c r="O90" s="722"/>
      <c r="P90" s="722"/>
      <c r="Q90" s="722"/>
      <c r="R90" s="722"/>
      <c r="S90" s="722"/>
      <c r="T90" s="722"/>
      <c r="U90" s="722"/>
      <c r="V90" s="722"/>
      <c r="W90" s="722"/>
      <c r="X90" s="722"/>
      <c r="Y90" s="722"/>
      <c r="Z90" s="722"/>
    </row>
    <row r="91" spans="1:26" s="39" customFormat="1" ht="15">
      <c r="A91" s="263"/>
      <c r="B91" s="263"/>
      <c r="C91" s="263"/>
      <c r="M91" s="722"/>
      <c r="N91" s="722"/>
      <c r="O91" s="722"/>
      <c r="P91" s="722"/>
      <c r="Q91" s="722"/>
      <c r="R91" s="722"/>
      <c r="S91" s="722"/>
      <c r="T91" s="722"/>
      <c r="U91" s="722"/>
      <c r="V91" s="722"/>
      <c r="W91" s="722"/>
      <c r="X91" s="722"/>
      <c r="Y91" s="722"/>
      <c r="Z91" s="722"/>
    </row>
    <row r="92" spans="1:26" s="39" customFormat="1" ht="15">
      <c r="A92" s="263"/>
      <c r="B92" s="263"/>
      <c r="C92" s="263"/>
      <c r="M92" s="722"/>
      <c r="N92" s="722"/>
      <c r="O92" s="722"/>
      <c r="P92" s="722"/>
      <c r="Q92" s="722"/>
      <c r="R92" s="722"/>
      <c r="S92" s="722"/>
      <c r="T92" s="722"/>
      <c r="U92" s="722"/>
      <c r="V92" s="722"/>
      <c r="W92" s="722"/>
      <c r="X92" s="722"/>
      <c r="Y92" s="722"/>
      <c r="Z92" s="722"/>
    </row>
    <row r="93" spans="1:26" s="39" customFormat="1" ht="15">
      <c r="A93" s="263"/>
      <c r="B93" s="263"/>
      <c r="C93" s="263"/>
      <c r="M93" s="722"/>
      <c r="N93" s="722"/>
      <c r="O93" s="722"/>
      <c r="P93" s="722"/>
      <c r="Q93" s="722"/>
      <c r="R93" s="722"/>
      <c r="S93" s="722"/>
      <c r="T93" s="722"/>
      <c r="U93" s="722"/>
      <c r="V93" s="722"/>
      <c r="W93" s="722"/>
      <c r="X93" s="722"/>
      <c r="Y93" s="722"/>
      <c r="Z93" s="722"/>
    </row>
    <row r="94" spans="1:26" s="39" customFormat="1" ht="15">
      <c r="A94" s="263"/>
      <c r="B94" s="263"/>
      <c r="C94" s="263"/>
      <c r="M94" s="722"/>
      <c r="N94" s="722"/>
      <c r="O94" s="722"/>
      <c r="P94" s="722"/>
      <c r="Q94" s="722"/>
      <c r="R94" s="722"/>
      <c r="S94" s="722"/>
      <c r="T94" s="722"/>
      <c r="U94" s="722"/>
      <c r="V94" s="722"/>
      <c r="W94" s="722"/>
      <c r="X94" s="722"/>
      <c r="Y94" s="722"/>
      <c r="Z94" s="722"/>
    </row>
    <row r="95" spans="1:26" s="39" customFormat="1" ht="15">
      <c r="A95" s="263"/>
      <c r="B95" s="263"/>
      <c r="C95" s="263"/>
      <c r="M95" s="722"/>
      <c r="N95" s="722"/>
      <c r="O95" s="722"/>
      <c r="P95" s="722"/>
      <c r="Q95" s="722"/>
      <c r="R95" s="722"/>
      <c r="S95" s="722"/>
      <c r="T95" s="722"/>
      <c r="U95" s="722"/>
      <c r="V95" s="722"/>
      <c r="W95" s="722"/>
      <c r="X95" s="722"/>
      <c r="Y95" s="722"/>
      <c r="Z95" s="722"/>
    </row>
    <row r="96" spans="1:26" s="39" customFormat="1" ht="15">
      <c r="A96" s="263"/>
      <c r="B96" s="263"/>
      <c r="C96" s="263"/>
      <c r="M96" s="722"/>
      <c r="N96" s="722"/>
      <c r="O96" s="722"/>
      <c r="P96" s="722"/>
      <c r="Q96" s="722"/>
      <c r="R96" s="722"/>
      <c r="S96" s="722"/>
      <c r="T96" s="722"/>
      <c r="U96" s="722"/>
      <c r="V96" s="722"/>
      <c r="W96" s="722"/>
      <c r="X96" s="722"/>
      <c r="Y96" s="722"/>
      <c r="Z96" s="722"/>
    </row>
    <row r="97" spans="1:26" s="39" customFormat="1" ht="15">
      <c r="A97" s="263"/>
      <c r="B97" s="263"/>
      <c r="C97" s="263"/>
      <c r="M97" s="722"/>
      <c r="N97" s="722"/>
      <c r="O97" s="722"/>
      <c r="P97" s="722"/>
      <c r="Q97" s="722"/>
      <c r="R97" s="722"/>
      <c r="S97" s="722"/>
      <c r="T97" s="722"/>
      <c r="U97" s="722"/>
      <c r="V97" s="722"/>
      <c r="W97" s="722"/>
      <c r="X97" s="722"/>
      <c r="Y97" s="722"/>
      <c r="Z97" s="722"/>
    </row>
    <row r="98" spans="1:26" s="39" customFormat="1" ht="15">
      <c r="A98" s="263"/>
      <c r="B98" s="263"/>
      <c r="C98" s="263"/>
      <c r="M98" s="722"/>
      <c r="N98" s="722"/>
      <c r="O98" s="722"/>
      <c r="P98" s="722"/>
      <c r="Q98" s="722"/>
      <c r="R98" s="722"/>
      <c r="S98" s="722"/>
      <c r="T98" s="722"/>
      <c r="U98" s="722"/>
      <c r="V98" s="722"/>
      <c r="W98" s="722"/>
      <c r="X98" s="722"/>
      <c r="Y98" s="722"/>
      <c r="Z98" s="722"/>
    </row>
    <row r="99" spans="1:26" s="39" customFormat="1" ht="15">
      <c r="A99" s="263"/>
      <c r="B99" s="263"/>
      <c r="C99" s="263"/>
      <c r="M99" s="722"/>
      <c r="N99" s="722"/>
      <c r="O99" s="722"/>
      <c r="P99" s="722"/>
      <c r="Q99" s="722"/>
      <c r="R99" s="722"/>
      <c r="S99" s="722"/>
      <c r="T99" s="722"/>
      <c r="U99" s="722"/>
      <c r="V99" s="722"/>
      <c r="W99" s="722"/>
      <c r="X99" s="722"/>
      <c r="Y99" s="722"/>
      <c r="Z99" s="722"/>
    </row>
    <row r="100" spans="1:26" s="39" customFormat="1" ht="15">
      <c r="A100" s="263"/>
      <c r="B100" s="263"/>
      <c r="C100" s="263"/>
      <c r="M100" s="722"/>
      <c r="N100" s="722"/>
      <c r="O100" s="722"/>
      <c r="P100" s="722"/>
      <c r="Q100" s="722"/>
      <c r="R100" s="722"/>
      <c r="S100" s="722"/>
      <c r="T100" s="722"/>
      <c r="U100" s="722"/>
      <c r="V100" s="722"/>
      <c r="W100" s="722"/>
      <c r="X100" s="722"/>
      <c r="Y100" s="722"/>
      <c r="Z100" s="722"/>
    </row>
    <row r="101" spans="1:26" s="39" customFormat="1" ht="15">
      <c r="A101" s="263"/>
      <c r="B101" s="263"/>
      <c r="C101" s="263"/>
      <c r="M101" s="722"/>
      <c r="N101" s="722"/>
      <c r="O101" s="722"/>
      <c r="P101" s="722"/>
      <c r="Q101" s="722"/>
      <c r="R101" s="722"/>
      <c r="S101" s="722"/>
      <c r="T101" s="722"/>
      <c r="U101" s="722"/>
      <c r="V101" s="722"/>
      <c r="W101" s="722"/>
      <c r="X101" s="722"/>
      <c r="Y101" s="722"/>
      <c r="Z101" s="722"/>
    </row>
    <row r="103" spans="1:26">
      <c r="L103" s="45" t="s">
        <v>367</v>
      </c>
    </row>
    <row r="104" spans="1:26">
      <c r="A104" s="900" t="str">
        <f>+CONCATENATE(M46,Control!D142)</f>
        <v>Address: Unit 402, 4/F., Fourseas Building, No. 208 Nathan Road, Kowloon</v>
      </c>
      <c r="B104" s="900"/>
      <c r="C104" s="900"/>
      <c r="D104" s="900"/>
      <c r="E104" s="900"/>
      <c r="F104" s="900"/>
      <c r="G104" s="900"/>
      <c r="H104" s="900"/>
      <c r="I104" s="900"/>
      <c r="J104" s="900"/>
      <c r="K104" s="900"/>
      <c r="L104" s="900"/>
    </row>
    <row r="105" spans="1:26" ht="22.5">
      <c r="A105" s="899" t="str">
        <f>+A1</f>
        <v>Matthew S.H. Law Certified Public Accountant (Practising)</v>
      </c>
      <c r="B105" s="899"/>
      <c r="C105" s="899"/>
      <c r="D105" s="899"/>
      <c r="E105" s="899"/>
      <c r="F105" s="899"/>
      <c r="G105" s="899"/>
      <c r="H105" s="899"/>
      <c r="I105" s="899"/>
      <c r="J105" s="899"/>
      <c r="K105" s="899"/>
      <c r="L105" s="899"/>
    </row>
    <row r="107" spans="1:26" s="39" customFormat="1">
      <c r="A107" s="269" t="s">
        <v>368</v>
      </c>
      <c r="B107" s="263"/>
      <c r="C107" s="263"/>
      <c r="M107" s="722"/>
      <c r="N107" s="722"/>
      <c r="O107" s="722"/>
      <c r="P107" s="722"/>
      <c r="Q107" s="722"/>
      <c r="R107" s="722"/>
      <c r="S107" s="722"/>
      <c r="T107" s="722"/>
      <c r="U107" s="722"/>
      <c r="V107" s="722"/>
      <c r="W107" s="722"/>
      <c r="X107" s="722"/>
      <c r="Y107" s="722"/>
      <c r="Z107" s="722"/>
    </row>
    <row r="108" spans="1:26" s="39" customFormat="1" ht="15">
      <c r="A108" s="263"/>
      <c r="B108" s="263"/>
      <c r="C108" s="263"/>
      <c r="M108" s="722"/>
      <c r="N108" s="722"/>
      <c r="O108" s="722"/>
      <c r="P108" s="722"/>
      <c r="Q108" s="722"/>
      <c r="R108" s="722"/>
      <c r="S108" s="722"/>
      <c r="T108" s="722"/>
      <c r="U108" s="722"/>
      <c r="V108" s="722"/>
      <c r="W108" s="722"/>
      <c r="X108" s="722"/>
      <c r="Y108" s="722"/>
      <c r="Z108" s="722"/>
    </row>
    <row r="109" spans="1:26" s="39" customFormat="1" ht="57.75" customHeight="1">
      <c r="A109" s="263">
        <v>6.1</v>
      </c>
      <c r="B109" s="902" t="s">
        <v>928</v>
      </c>
      <c r="C109" s="902"/>
      <c r="D109" s="902"/>
      <c r="E109" s="902"/>
      <c r="F109" s="902"/>
      <c r="G109" s="902"/>
      <c r="H109" s="902"/>
      <c r="I109" s="902"/>
      <c r="J109" s="902"/>
      <c r="K109" s="902"/>
      <c r="L109" s="902"/>
      <c r="M109" s="722"/>
      <c r="N109" s="722"/>
      <c r="O109" s="722"/>
      <c r="P109" s="722"/>
      <c r="Q109" s="722"/>
      <c r="R109" s="722"/>
      <c r="S109" s="722"/>
      <c r="T109" s="722"/>
      <c r="U109" s="722"/>
      <c r="V109" s="722"/>
      <c r="W109" s="722"/>
      <c r="X109" s="722"/>
      <c r="Y109" s="722"/>
      <c r="Z109" s="722"/>
    </row>
    <row r="110" spans="1:26" s="39" customFormat="1" ht="15">
      <c r="A110" s="263"/>
      <c r="B110" s="263"/>
      <c r="C110" s="263"/>
      <c r="M110" s="722"/>
      <c r="N110" s="722"/>
      <c r="O110" s="722"/>
      <c r="P110" s="722"/>
      <c r="Q110" s="722"/>
      <c r="R110" s="722"/>
      <c r="S110" s="722"/>
      <c r="T110" s="722"/>
      <c r="U110" s="722"/>
      <c r="V110" s="722"/>
      <c r="W110" s="722"/>
      <c r="X110" s="722"/>
      <c r="Y110" s="722"/>
      <c r="Z110" s="722"/>
    </row>
    <row r="111" spans="1:26" s="39" customFormat="1">
      <c r="A111" s="269" t="s">
        <v>372</v>
      </c>
      <c r="B111" s="263"/>
      <c r="C111" s="263"/>
      <c r="M111" s="722"/>
      <c r="N111" s="722"/>
      <c r="O111" s="722"/>
      <c r="P111" s="722"/>
      <c r="Q111" s="722"/>
      <c r="R111" s="722"/>
      <c r="S111" s="722"/>
      <c r="T111" s="722"/>
      <c r="U111" s="722"/>
      <c r="V111" s="722"/>
      <c r="W111" s="722"/>
      <c r="X111" s="722"/>
      <c r="Y111" s="722"/>
      <c r="Z111" s="722"/>
    </row>
    <row r="112" spans="1:26" s="39" customFormat="1" ht="15">
      <c r="A112" s="263"/>
      <c r="B112" s="263"/>
      <c r="C112" s="263"/>
      <c r="M112" s="722"/>
      <c r="N112" s="722"/>
      <c r="O112" s="722"/>
      <c r="P112" s="722"/>
      <c r="Q112" s="722"/>
      <c r="R112" s="722"/>
      <c r="S112" s="722"/>
      <c r="T112" s="722"/>
      <c r="U112" s="722"/>
      <c r="V112" s="722"/>
      <c r="W112" s="722"/>
      <c r="X112" s="722"/>
      <c r="Y112" s="722"/>
      <c r="Z112" s="722"/>
    </row>
    <row r="113" spans="1:26" s="39" customFormat="1" ht="58.5" customHeight="1">
      <c r="A113" s="263">
        <v>7.1</v>
      </c>
      <c r="B113" s="902" t="s">
        <v>929</v>
      </c>
      <c r="C113" s="902"/>
      <c r="D113" s="902"/>
      <c r="E113" s="902"/>
      <c r="F113" s="902"/>
      <c r="G113" s="902"/>
      <c r="H113" s="902"/>
      <c r="I113" s="902"/>
      <c r="J113" s="902"/>
      <c r="K113" s="902"/>
      <c r="L113" s="902"/>
      <c r="M113" s="722"/>
      <c r="N113" s="722"/>
      <c r="O113" s="722"/>
      <c r="P113" s="722"/>
      <c r="Q113" s="722"/>
      <c r="R113" s="722"/>
      <c r="S113" s="722"/>
      <c r="T113" s="722"/>
      <c r="U113" s="722"/>
      <c r="V113" s="722"/>
      <c r="W113" s="722"/>
      <c r="X113" s="722"/>
      <c r="Y113" s="722"/>
      <c r="Z113" s="722"/>
    </row>
    <row r="114" spans="1:26" s="39" customFormat="1" ht="15">
      <c r="A114" s="263"/>
      <c r="B114" s="263"/>
      <c r="C114" s="263"/>
      <c r="M114" s="722"/>
      <c r="N114" s="722"/>
      <c r="O114" s="722"/>
      <c r="P114" s="722"/>
      <c r="Q114" s="722"/>
      <c r="R114" s="722"/>
      <c r="S114" s="722"/>
      <c r="T114" s="722"/>
      <c r="U114" s="722"/>
      <c r="V114" s="722"/>
      <c r="W114" s="722"/>
      <c r="X114" s="722"/>
      <c r="Y114" s="722"/>
      <c r="Z114" s="722"/>
    </row>
    <row r="115" spans="1:26" s="39" customFormat="1" ht="15">
      <c r="A115" s="263"/>
      <c r="B115" s="263"/>
      <c r="C115" s="263"/>
      <c r="M115" s="722"/>
      <c r="N115" s="722"/>
      <c r="O115" s="722"/>
      <c r="P115" s="722"/>
      <c r="Q115" s="722"/>
      <c r="R115" s="722"/>
      <c r="S115" s="722"/>
      <c r="T115" s="722"/>
      <c r="U115" s="722"/>
      <c r="V115" s="722"/>
      <c r="W115" s="722"/>
      <c r="X115" s="722"/>
      <c r="Y115" s="722"/>
      <c r="Z115" s="722"/>
    </row>
    <row r="116" spans="1:26" s="39" customFormat="1" ht="15">
      <c r="A116" s="263" t="s">
        <v>230</v>
      </c>
      <c r="B116" s="263"/>
      <c r="C116" s="263"/>
      <c r="M116" s="722"/>
      <c r="N116" s="722"/>
      <c r="O116" s="722"/>
      <c r="P116" s="722"/>
      <c r="Q116" s="722"/>
      <c r="R116" s="722"/>
      <c r="S116" s="722"/>
      <c r="T116" s="722"/>
      <c r="U116" s="722"/>
      <c r="V116" s="722"/>
      <c r="W116" s="722"/>
      <c r="X116" s="722"/>
      <c r="Y116" s="722"/>
      <c r="Z116" s="722"/>
    </row>
    <row r="117" spans="1:26" s="39" customFormat="1" ht="15">
      <c r="A117" s="263"/>
      <c r="B117" s="263"/>
      <c r="C117" s="263"/>
      <c r="M117" s="722"/>
      <c r="N117" s="722"/>
      <c r="O117" s="722"/>
      <c r="P117" s="722"/>
      <c r="Q117" s="722"/>
      <c r="R117" s="722"/>
      <c r="S117" s="722"/>
      <c r="T117" s="722"/>
      <c r="U117" s="722"/>
      <c r="V117" s="722"/>
      <c r="W117" s="722"/>
      <c r="X117" s="722"/>
      <c r="Y117" s="722"/>
      <c r="Z117" s="722"/>
    </row>
    <row r="118" spans="1:26" s="39" customFormat="1" ht="15">
      <c r="A118" s="263"/>
      <c r="B118" s="263"/>
      <c r="C118" s="263"/>
      <c r="M118" s="722"/>
      <c r="N118" s="722"/>
      <c r="O118" s="722"/>
      <c r="P118" s="722"/>
      <c r="Q118" s="722"/>
      <c r="R118" s="722"/>
      <c r="S118" s="722"/>
      <c r="T118" s="722"/>
      <c r="U118" s="722"/>
      <c r="V118" s="722"/>
      <c r="W118" s="722"/>
      <c r="X118" s="722"/>
      <c r="Y118" s="722"/>
      <c r="Z118" s="722"/>
    </row>
    <row r="119" spans="1:26" s="39" customFormat="1" ht="15">
      <c r="A119" s="263"/>
      <c r="B119" s="263"/>
      <c r="C119" s="263"/>
      <c r="M119" s="722"/>
      <c r="N119" s="722"/>
      <c r="O119" s="722"/>
      <c r="P119" s="722"/>
      <c r="Q119" s="722"/>
      <c r="R119" s="722"/>
      <c r="S119" s="722"/>
      <c r="T119" s="722"/>
      <c r="U119" s="722"/>
      <c r="V119" s="722"/>
      <c r="W119" s="722"/>
      <c r="X119" s="722"/>
      <c r="Y119" s="722"/>
      <c r="Z119" s="722"/>
    </row>
    <row r="120" spans="1:26" s="39" customFormat="1" ht="15">
      <c r="A120" s="263"/>
      <c r="B120" s="263"/>
      <c r="C120" s="263"/>
      <c r="M120" s="722"/>
      <c r="N120" s="722"/>
      <c r="O120" s="722"/>
      <c r="P120" s="722"/>
      <c r="Q120" s="722"/>
      <c r="R120" s="722"/>
      <c r="S120" s="722"/>
      <c r="T120" s="722"/>
      <c r="U120" s="722"/>
      <c r="V120" s="722"/>
      <c r="W120" s="722"/>
      <c r="X120" s="722"/>
      <c r="Y120" s="722"/>
      <c r="Z120" s="722"/>
    </row>
    <row r="121" spans="1:26" s="39" customFormat="1" ht="15">
      <c r="A121" s="263"/>
      <c r="B121" s="263"/>
      <c r="C121" s="263"/>
      <c r="M121" s="722"/>
      <c r="N121" s="722"/>
      <c r="O121" s="722"/>
      <c r="P121" s="722"/>
      <c r="Q121" s="722"/>
      <c r="R121" s="722"/>
      <c r="S121" s="722"/>
      <c r="T121" s="722"/>
      <c r="U121" s="722"/>
      <c r="V121" s="722"/>
      <c r="W121" s="722"/>
      <c r="X121" s="722"/>
      <c r="Y121" s="722"/>
      <c r="Z121" s="722"/>
    </row>
    <row r="122" spans="1:26" s="39" customFormat="1" ht="15">
      <c r="A122" s="263" t="str">
        <f>Control!D136</f>
        <v>Matthew S.H. Law</v>
      </c>
      <c r="B122" s="263"/>
      <c r="C122" s="263"/>
      <c r="M122" s="722"/>
      <c r="N122" s="722"/>
      <c r="O122" s="722"/>
      <c r="P122" s="722"/>
      <c r="Q122" s="722"/>
      <c r="R122" s="722"/>
      <c r="S122" s="722"/>
      <c r="T122" s="722"/>
      <c r="U122" s="722"/>
      <c r="V122" s="722"/>
      <c r="W122" s="722"/>
      <c r="X122" s="722"/>
      <c r="Y122" s="722"/>
      <c r="Z122" s="722"/>
    </row>
    <row r="123" spans="1:26" s="39" customFormat="1" ht="15">
      <c r="A123" s="263" t="str">
        <f>Control!D137</f>
        <v>Certified Public Accountant (Practising)</v>
      </c>
      <c r="B123" s="263"/>
      <c r="C123" s="263"/>
      <c r="M123" s="722"/>
      <c r="N123" s="722"/>
      <c r="O123" s="722"/>
      <c r="P123" s="722"/>
      <c r="Q123" s="722"/>
      <c r="R123" s="722"/>
      <c r="S123" s="722"/>
      <c r="T123" s="722"/>
      <c r="U123" s="722"/>
      <c r="V123" s="722"/>
      <c r="W123" s="722"/>
      <c r="X123" s="722"/>
      <c r="Y123" s="722"/>
      <c r="Z123" s="722"/>
    </row>
    <row r="124" spans="1:26" s="39" customFormat="1" ht="15">
      <c r="A124" s="263" t="s">
        <v>222</v>
      </c>
      <c r="B124" s="263"/>
      <c r="C124" s="263"/>
      <c r="M124" s="722"/>
      <c r="N124" s="722"/>
      <c r="O124" s="722"/>
      <c r="P124" s="722"/>
      <c r="Q124" s="722"/>
      <c r="R124" s="722"/>
      <c r="S124" s="722"/>
      <c r="T124" s="722"/>
      <c r="U124" s="722"/>
      <c r="V124" s="722"/>
      <c r="W124" s="722"/>
      <c r="X124" s="722"/>
      <c r="Y124" s="722"/>
      <c r="Z124" s="722"/>
    </row>
    <row r="125" spans="1:26" s="39" customFormat="1" ht="15">
      <c r="A125" s="263"/>
      <c r="B125" s="263"/>
      <c r="C125" s="263"/>
      <c r="M125" s="722"/>
      <c r="N125" s="722"/>
      <c r="O125" s="722"/>
      <c r="P125" s="722"/>
      <c r="Q125" s="722"/>
      <c r="R125" s="722"/>
      <c r="S125" s="722"/>
      <c r="T125" s="722"/>
      <c r="U125" s="722"/>
      <c r="V125" s="722"/>
      <c r="W125" s="722"/>
      <c r="X125" s="722"/>
      <c r="Y125" s="722"/>
      <c r="Z125" s="722"/>
    </row>
    <row r="126" spans="1:26" s="39" customFormat="1" ht="15">
      <c r="A126" s="263" t="s">
        <v>377</v>
      </c>
      <c r="B126" s="263"/>
      <c r="C126" s="263"/>
      <c r="M126" s="722"/>
      <c r="N126" s="722"/>
      <c r="O126" s="722"/>
      <c r="P126" s="722"/>
      <c r="Q126" s="722"/>
      <c r="R126" s="722"/>
      <c r="S126" s="722"/>
      <c r="T126" s="722"/>
      <c r="U126" s="722"/>
      <c r="V126" s="722"/>
      <c r="W126" s="722"/>
      <c r="X126" s="722"/>
      <c r="Y126" s="722"/>
      <c r="Z126" s="722"/>
    </row>
    <row r="127" spans="1:26" s="39" customFormat="1" ht="15">
      <c r="A127" s="263" t="s">
        <v>378</v>
      </c>
      <c r="B127" s="263"/>
      <c r="C127" s="263"/>
      <c r="M127" s="722"/>
      <c r="N127" s="722"/>
      <c r="O127" s="722"/>
      <c r="P127" s="722"/>
      <c r="Q127" s="722"/>
      <c r="R127" s="722"/>
      <c r="S127" s="722"/>
      <c r="T127" s="722"/>
      <c r="U127" s="722"/>
      <c r="V127" s="722"/>
      <c r="W127" s="722"/>
      <c r="X127" s="722"/>
      <c r="Y127" s="722"/>
      <c r="Z127" s="722"/>
    </row>
    <row r="128" spans="1:26" s="39" customFormat="1" ht="15">
      <c r="A128" s="263"/>
      <c r="B128" s="263"/>
      <c r="C128" s="263"/>
      <c r="M128" s="722"/>
      <c r="N128" s="722"/>
      <c r="O128" s="722"/>
      <c r="P128" s="722"/>
      <c r="Q128" s="722"/>
      <c r="R128" s="722"/>
      <c r="S128" s="722"/>
      <c r="T128" s="722"/>
      <c r="U128" s="722"/>
      <c r="V128" s="722"/>
      <c r="W128" s="722"/>
      <c r="X128" s="722"/>
      <c r="Y128" s="722"/>
      <c r="Z128" s="722"/>
    </row>
    <row r="129" spans="1:26" s="39" customFormat="1" ht="15">
      <c r="A129" s="263"/>
      <c r="B129" s="263"/>
      <c r="C129" s="263"/>
      <c r="M129" s="722"/>
      <c r="N129" s="722"/>
      <c r="O129" s="722"/>
      <c r="P129" s="722"/>
      <c r="Q129" s="722"/>
      <c r="R129" s="722"/>
      <c r="S129" s="722"/>
      <c r="T129" s="722"/>
      <c r="U129" s="722"/>
      <c r="V129" s="722"/>
      <c r="W129" s="722"/>
      <c r="X129" s="722"/>
      <c r="Y129" s="722"/>
      <c r="Z129" s="722"/>
    </row>
    <row r="130" spans="1:26" s="39" customFormat="1" ht="15">
      <c r="A130" s="263"/>
      <c r="B130" s="263"/>
      <c r="C130" s="263"/>
      <c r="M130" s="722"/>
      <c r="N130" s="722"/>
      <c r="O130" s="722"/>
      <c r="P130" s="722"/>
      <c r="Q130" s="722"/>
      <c r="R130" s="722"/>
      <c r="S130" s="722"/>
      <c r="T130" s="722"/>
      <c r="U130" s="722"/>
      <c r="V130" s="722"/>
      <c r="W130" s="722"/>
      <c r="X130" s="722"/>
      <c r="Y130" s="722"/>
      <c r="Z130" s="722"/>
    </row>
    <row r="131" spans="1:26" s="39" customFormat="1" ht="15">
      <c r="A131" s="263"/>
      <c r="B131" s="263"/>
      <c r="C131" s="263"/>
      <c r="M131" s="722"/>
      <c r="N131" s="722"/>
      <c r="O131" s="722"/>
      <c r="P131" s="722"/>
      <c r="Q131" s="722"/>
      <c r="R131" s="722"/>
      <c r="S131" s="722"/>
      <c r="T131" s="722"/>
      <c r="U131" s="722"/>
      <c r="V131" s="722"/>
      <c r="W131" s="722"/>
      <c r="X131" s="722"/>
      <c r="Y131" s="722"/>
      <c r="Z131" s="722"/>
    </row>
    <row r="132" spans="1:26" s="39" customFormat="1" ht="15">
      <c r="A132" s="270"/>
      <c r="B132" s="270"/>
      <c r="C132" s="270"/>
      <c r="D132" s="47"/>
      <c r="E132" s="47"/>
      <c r="F132" s="47"/>
      <c r="M132" s="722"/>
      <c r="N132" s="722"/>
      <c r="O132" s="722"/>
      <c r="P132" s="722"/>
      <c r="Q132" s="722"/>
      <c r="R132" s="722"/>
      <c r="S132" s="722"/>
      <c r="T132" s="722"/>
      <c r="U132" s="722"/>
      <c r="V132" s="722"/>
      <c r="W132" s="722"/>
      <c r="X132" s="722"/>
      <c r="Y132" s="722"/>
      <c r="Z132" s="722"/>
    </row>
    <row r="133" spans="1:26" s="39" customFormat="1" ht="15">
      <c r="A133" s="263" t="s">
        <v>379</v>
      </c>
      <c r="B133" s="263"/>
      <c r="C133" s="263"/>
      <c r="M133" s="722"/>
      <c r="N133" s="722"/>
      <c r="O133" s="722"/>
      <c r="P133" s="722"/>
      <c r="Q133" s="722"/>
      <c r="R133" s="722"/>
      <c r="S133" s="722"/>
      <c r="T133" s="722"/>
      <c r="U133" s="722"/>
      <c r="V133" s="722"/>
      <c r="W133" s="722"/>
      <c r="X133" s="722"/>
      <c r="Y133" s="722"/>
      <c r="Z133" s="722"/>
    </row>
    <row r="134" spans="1:26" s="39" customFormat="1" ht="15">
      <c r="A134" s="267" t="str">
        <f>+Control!D3</f>
        <v>MIC INCORPORATION LIMITED </v>
      </c>
      <c r="B134" s="267"/>
      <c r="C134" s="267"/>
      <c r="D134" s="51"/>
      <c r="M134" s="722"/>
      <c r="N134" s="722"/>
      <c r="O134" s="722"/>
      <c r="P134" s="722"/>
      <c r="Q134" s="722"/>
      <c r="R134" s="722"/>
      <c r="S134" s="722"/>
      <c r="T134" s="722"/>
      <c r="U134" s="722"/>
      <c r="V134" s="722"/>
      <c r="W134" s="722"/>
      <c r="X134" s="722"/>
      <c r="Y134" s="722"/>
      <c r="Z134" s="722"/>
    </row>
    <row r="135" spans="1:26" s="39" customFormat="1" ht="15">
      <c r="A135" s="263"/>
      <c r="B135" s="263"/>
      <c r="C135" s="263"/>
      <c r="M135" s="722"/>
      <c r="N135" s="722"/>
      <c r="O135" s="722"/>
      <c r="P135" s="722"/>
      <c r="Q135" s="722"/>
      <c r="R135" s="722"/>
      <c r="S135" s="722"/>
      <c r="T135" s="722"/>
      <c r="U135" s="722"/>
      <c r="V135" s="722"/>
      <c r="W135" s="722"/>
      <c r="X135" s="722"/>
      <c r="Y135" s="722"/>
      <c r="Z135" s="722"/>
    </row>
    <row r="136" spans="1:26" s="39" customFormat="1" ht="15">
      <c r="A136" s="263"/>
      <c r="B136" s="263"/>
      <c r="C136" s="263"/>
      <c r="M136" s="722"/>
      <c r="N136" s="722"/>
      <c r="O136" s="722"/>
      <c r="P136" s="722"/>
      <c r="Q136" s="722"/>
      <c r="R136" s="722"/>
      <c r="S136" s="722"/>
      <c r="T136" s="722"/>
      <c r="U136" s="722"/>
      <c r="V136" s="722"/>
      <c r="W136" s="722"/>
      <c r="X136" s="722"/>
      <c r="Y136" s="722"/>
      <c r="Z136" s="722"/>
    </row>
    <row r="137" spans="1:26" s="39" customFormat="1" ht="15">
      <c r="A137" s="263"/>
      <c r="B137" s="263"/>
      <c r="C137" s="263"/>
      <c r="M137" s="722"/>
      <c r="N137" s="722"/>
      <c r="O137" s="722"/>
      <c r="P137" s="722"/>
      <c r="Q137" s="722"/>
      <c r="R137" s="722"/>
      <c r="S137" s="722"/>
      <c r="T137" s="722"/>
      <c r="U137" s="722"/>
      <c r="V137" s="722"/>
      <c r="W137" s="722"/>
      <c r="X137" s="722"/>
      <c r="Y137" s="722"/>
      <c r="Z137" s="722"/>
    </row>
    <row r="138" spans="1:26" s="39" customFormat="1" ht="15">
      <c r="A138" s="263"/>
      <c r="B138" s="263"/>
      <c r="C138" s="263"/>
      <c r="M138" s="722"/>
      <c r="N138" s="722"/>
      <c r="O138" s="722"/>
      <c r="P138" s="722"/>
      <c r="Q138" s="722"/>
      <c r="R138" s="722"/>
      <c r="S138" s="722"/>
      <c r="T138" s="722"/>
      <c r="U138" s="722"/>
      <c r="V138" s="722"/>
      <c r="W138" s="722"/>
      <c r="X138" s="722"/>
      <c r="Y138" s="722"/>
      <c r="Z138" s="722"/>
    </row>
    <row r="139" spans="1:26" s="39" customFormat="1" ht="15">
      <c r="A139" s="263"/>
      <c r="B139" s="263"/>
      <c r="C139" s="263"/>
      <c r="M139" s="722"/>
      <c r="N139" s="722"/>
      <c r="O139" s="722"/>
      <c r="P139" s="722"/>
      <c r="Q139" s="722"/>
      <c r="R139" s="722"/>
      <c r="S139" s="722"/>
      <c r="T139" s="722"/>
      <c r="U139" s="722"/>
      <c r="V139" s="722"/>
      <c r="W139" s="722"/>
      <c r="X139" s="722"/>
      <c r="Y139" s="722"/>
      <c r="Z139" s="722"/>
    </row>
    <row r="140" spans="1:26" s="39" customFormat="1" ht="15">
      <c r="A140" s="263"/>
      <c r="B140" s="263"/>
      <c r="C140" s="263"/>
      <c r="M140" s="722"/>
      <c r="N140" s="722"/>
      <c r="O140" s="722"/>
      <c r="P140" s="722"/>
      <c r="Q140" s="722"/>
      <c r="R140" s="722"/>
      <c r="S140" s="722"/>
      <c r="T140" s="722"/>
      <c r="U140" s="722"/>
      <c r="V140" s="722"/>
      <c r="W140" s="722"/>
      <c r="X140" s="722"/>
      <c r="Y140" s="722"/>
      <c r="Z140" s="722"/>
    </row>
    <row r="141" spans="1:26" s="39" customFormat="1" ht="15">
      <c r="A141" s="263"/>
      <c r="B141" s="263"/>
      <c r="C141" s="263"/>
      <c r="M141" s="722"/>
      <c r="N141" s="722"/>
      <c r="O141" s="722"/>
      <c r="P141" s="722"/>
      <c r="Q141" s="722"/>
      <c r="R141" s="722"/>
      <c r="S141" s="722"/>
      <c r="T141" s="722"/>
      <c r="U141" s="722"/>
      <c r="V141" s="722"/>
      <c r="W141" s="722"/>
      <c r="X141" s="722"/>
      <c r="Y141" s="722"/>
      <c r="Z141" s="722"/>
    </row>
    <row r="153" spans="1:12">
      <c r="L153" s="45" t="s">
        <v>380</v>
      </c>
    </row>
    <row r="154" spans="1:12">
      <c r="A154" s="900" t="str">
        <f>+CONCATENATE(M46,Control!D142)</f>
        <v>Address: Unit 402, 4/F., Fourseas Building, No. 208 Nathan Road, Kowloon</v>
      </c>
      <c r="B154" s="900"/>
      <c r="C154" s="900"/>
      <c r="D154" s="900"/>
      <c r="E154" s="900"/>
      <c r="F154" s="900"/>
      <c r="G154" s="900"/>
      <c r="H154" s="900"/>
      <c r="I154" s="900"/>
      <c r="J154" s="900"/>
      <c r="K154" s="900"/>
      <c r="L154" s="900"/>
    </row>
    <row r="167" spans="1:26" s="50" customFormat="1">
      <c r="A167" s="268" t="s">
        <v>276</v>
      </c>
      <c r="B167" s="268"/>
      <c r="C167" s="268"/>
      <c r="M167" s="593"/>
      <c r="N167" s="593"/>
      <c r="O167" s="593"/>
      <c r="P167" s="593"/>
      <c r="Q167" s="593"/>
      <c r="R167" s="593"/>
      <c r="S167" s="593"/>
      <c r="T167" s="593"/>
      <c r="U167" s="593"/>
      <c r="V167" s="593"/>
      <c r="W167" s="593"/>
      <c r="X167" s="593"/>
      <c r="Y167" s="593"/>
      <c r="Z167" s="593"/>
    </row>
    <row r="168" spans="1:26" s="50" customFormat="1">
      <c r="A168" s="268" t="str">
        <f>+Control!D3</f>
        <v>MIC INCORPORATION LIMITED </v>
      </c>
      <c r="B168" s="268"/>
      <c r="C168" s="268"/>
      <c r="M168" s="593"/>
      <c r="N168" s="593"/>
      <c r="O168" s="593"/>
      <c r="P168" s="593"/>
      <c r="Q168" s="593"/>
      <c r="R168" s="593"/>
      <c r="S168" s="593"/>
      <c r="T168" s="593"/>
      <c r="U168" s="593"/>
      <c r="V168" s="593"/>
      <c r="W168" s="593"/>
      <c r="X168" s="593"/>
      <c r="Y168" s="593"/>
      <c r="Z168" s="593"/>
    </row>
    <row r="169" spans="1:26" s="50" customFormat="1">
      <c r="A169" s="268" t="s">
        <v>279</v>
      </c>
      <c r="B169" s="268"/>
      <c r="C169" s="268"/>
      <c r="M169" s="593"/>
      <c r="N169" s="593"/>
      <c r="O169" s="593"/>
      <c r="P169" s="593"/>
      <c r="Q169" s="593"/>
      <c r="R169" s="593"/>
      <c r="S169" s="593"/>
      <c r="T169" s="593"/>
      <c r="U169" s="593"/>
      <c r="V169" s="593"/>
      <c r="W169" s="593"/>
      <c r="X169" s="593"/>
      <c r="Y169" s="593"/>
      <c r="Z169" s="593"/>
    </row>
  </sheetData>
  <mergeCells count="36">
    <mergeCell ref="A154:L154"/>
    <mergeCell ref="A69:L69"/>
    <mergeCell ref="A70:L70"/>
    <mergeCell ref="B72:L72"/>
    <mergeCell ref="B74:L74"/>
    <mergeCell ref="B76:L76"/>
    <mergeCell ref="B78:L78"/>
    <mergeCell ref="B80:L80"/>
    <mergeCell ref="A104:L104"/>
    <mergeCell ref="A105:L105"/>
    <mergeCell ref="B109:L109"/>
    <mergeCell ref="B113:L113"/>
    <mergeCell ref="B67:L67"/>
    <mergeCell ref="A47:L47"/>
    <mergeCell ref="B51:L51"/>
    <mergeCell ref="C52:L52"/>
    <mergeCell ref="C54:L54"/>
    <mergeCell ref="B56:L56"/>
    <mergeCell ref="B57:L57"/>
    <mergeCell ref="B58:L58"/>
    <mergeCell ref="C59:L59"/>
    <mergeCell ref="B62:L62"/>
    <mergeCell ref="B65:L65"/>
    <mergeCell ref="B66:L66"/>
    <mergeCell ref="A46:L46"/>
    <mergeCell ref="A1:L1"/>
    <mergeCell ref="B11:L13"/>
    <mergeCell ref="B21:L21"/>
    <mergeCell ref="C23:L23"/>
    <mergeCell ref="C25:L25"/>
    <mergeCell ref="B15:L17"/>
    <mergeCell ref="C27:L27"/>
    <mergeCell ref="C29:L29"/>
    <mergeCell ref="D33:L33"/>
    <mergeCell ref="D37:L37"/>
    <mergeCell ref="C39:L39"/>
  </mergeCells>
  <phoneticPr fontId="13" type="noConversion"/>
  <pageMargins left="0.51181102362204722" right="0.31496062992125984" top="0.74803149606299213" bottom="0.31496062992125984" header="0.31496062992125984" footer="0.31496062992125984"/>
  <pageSetup paperSize="9" scale="94" fitToHeight="0" orientation="portrait" r:id="rId1"/>
  <rowBreaks count="3" manualBreakCount="3">
    <brk id="46" max="16383" man="1"/>
    <brk id="69" max="16383" man="1"/>
    <brk id="10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pageSetUpPr fitToPage="1"/>
  </sheetPr>
  <dimension ref="A1:J93"/>
  <sheetViews>
    <sheetView workbookViewId="0">
      <selection activeCell="A54" sqref="A54:XFD92"/>
    </sheetView>
  </sheetViews>
  <sheetFormatPr defaultColWidth="9" defaultRowHeight="15.75"/>
  <cols>
    <col min="1" max="1" width="10.25" style="1" bestFit="1" customWidth="1" collapsed="1"/>
    <col min="2" max="6" width="9" style="1" collapsed="1"/>
    <col min="7" max="7" width="11.125" style="1" customWidth="1" collapsed="1"/>
    <col min="8" max="8" width="9" style="1" collapsed="1"/>
    <col min="9" max="9" width="14.625" style="1" customWidth="1" collapsed="1"/>
    <col min="10" max="10" width="9.5" style="594" bestFit="1" customWidth="1" collapsed="1"/>
    <col min="11" max="16384" width="9" style="1" collapsed="1"/>
  </cols>
  <sheetData>
    <row r="1" spans="1:10">
      <c r="A1" s="1" t="s">
        <v>222</v>
      </c>
    </row>
    <row r="4" spans="1:10">
      <c r="A4" s="1" t="s">
        <v>381</v>
      </c>
    </row>
    <row r="5" spans="1:10">
      <c r="A5" s="1" t="str">
        <f>+Control!D3</f>
        <v>MIC INCORPORATION LIMITED </v>
      </c>
    </row>
    <row r="9" spans="1:10">
      <c r="A9" s="1" t="s">
        <v>382</v>
      </c>
    </row>
    <row r="11" spans="1:10" s="46" customFormat="1">
      <c r="A11" s="46" t="s">
        <v>383</v>
      </c>
      <c r="J11" s="597"/>
    </row>
    <row r="13" spans="1:10">
      <c r="A13" s="896" t="str">
        <f>+CONCATENATE(A54,A55,A56,A57,A58,A59,A60,A61,TEXT(-A62,"###,###,###,###,###,###,###,###"),A63)</f>
        <v>I recognise that as at 31 December, 2016, MIC INCORPORATION LIMITED  (the "Company") had net liabilities of US$-9,849.</v>
      </c>
      <c r="B13" s="896"/>
      <c r="C13" s="896"/>
      <c r="D13" s="896"/>
      <c r="E13" s="896"/>
      <c r="F13" s="896"/>
      <c r="G13" s="896"/>
      <c r="H13" s="896"/>
      <c r="I13" s="896"/>
    </row>
    <row r="14" spans="1:10">
      <c r="A14" s="896"/>
      <c r="B14" s="896"/>
      <c r="C14" s="896"/>
      <c r="D14" s="896"/>
      <c r="E14" s="896"/>
      <c r="F14" s="896"/>
      <c r="G14" s="896"/>
      <c r="H14" s="896"/>
      <c r="I14" s="896"/>
    </row>
    <row r="15" spans="1:10">
      <c r="J15" s="594" t="s">
        <v>384</v>
      </c>
    </row>
    <row r="16" spans="1:10">
      <c r="A16" s="896" t="str">
        <f>+CONCATENATE(A67,A68,A69,A70)</f>
        <v>I hereby confirm that I will make available to the Company whatever financial support is required to enable the Company to meet in full its financial obligations.</v>
      </c>
      <c r="B16" s="896"/>
      <c r="C16" s="896"/>
      <c r="D16" s="896"/>
      <c r="E16" s="896"/>
      <c r="F16" s="896"/>
      <c r="G16" s="896"/>
      <c r="H16" s="896"/>
      <c r="I16" s="896"/>
      <c r="J16" s="594" t="s">
        <v>385</v>
      </c>
    </row>
    <row r="17" spans="1:9">
      <c r="A17" s="896"/>
      <c r="B17" s="896"/>
      <c r="C17" s="896"/>
      <c r="D17" s="896"/>
      <c r="E17" s="896"/>
      <c r="F17" s="896"/>
      <c r="G17" s="896"/>
      <c r="H17" s="896"/>
      <c r="I17" s="896"/>
    </row>
    <row r="19" spans="1:9">
      <c r="A19" s="1" t="s">
        <v>230</v>
      </c>
    </row>
    <row r="23" spans="1:9">
      <c r="A23" s="157" t="s">
        <v>386</v>
      </c>
      <c r="B23" s="157"/>
      <c r="C23" s="157"/>
      <c r="E23" s="157" t="str">
        <f>+IF(Control!D95&gt;=3,"____________________________"," ")</f>
        <v xml:space="preserve"> </v>
      </c>
      <c r="F23" s="157"/>
      <c r="G23" s="157"/>
    </row>
    <row r="24" spans="1:9" ht="15.75" customHeight="1">
      <c r="A24" s="906" t="str">
        <f>+CONCATENATE(A73,CHAR(10),A74)</f>
        <v>Zhou Qianwei
Shareholder</v>
      </c>
      <c r="B24" s="906"/>
      <c r="C24" s="906"/>
      <c r="E24" s="906" t="str">
        <f>+CONCATENATE(A76,CHAR(10),A77)</f>
        <v xml:space="preserve"> 
 </v>
      </c>
      <c r="F24" s="906"/>
      <c r="G24" s="906"/>
    </row>
    <row r="25" spans="1:9">
      <c r="A25" s="906"/>
      <c r="B25" s="906"/>
      <c r="C25" s="906"/>
      <c r="E25" s="906"/>
      <c r="F25" s="906"/>
      <c r="G25" s="906"/>
    </row>
    <row r="26" spans="1:9">
      <c r="A26" s="906"/>
      <c r="B26" s="906"/>
      <c r="C26" s="906"/>
      <c r="E26" s="906"/>
      <c r="F26" s="906"/>
      <c r="G26" s="906"/>
    </row>
    <row r="27" spans="1:9">
      <c r="A27" s="906"/>
      <c r="B27" s="906"/>
      <c r="C27" s="906"/>
      <c r="E27" s="906"/>
      <c r="F27" s="906"/>
      <c r="G27" s="906"/>
    </row>
    <row r="28" spans="1:9">
      <c r="A28" s="906"/>
      <c r="B28" s="906"/>
      <c r="C28" s="906"/>
      <c r="E28" s="906"/>
      <c r="F28" s="906"/>
      <c r="G28" s="906"/>
    </row>
    <row r="32" spans="1:9">
      <c r="A32" s="157"/>
      <c r="B32" s="157"/>
      <c r="C32" s="157"/>
      <c r="D32" s="157"/>
      <c r="E32" s="157"/>
      <c r="F32" s="157"/>
      <c r="G32" s="157"/>
    </row>
    <row r="33" spans="1:7">
      <c r="A33" s="907" t="str">
        <f>+IF(Control!D95&gt;=2,"____________________________"," ")</f>
        <v xml:space="preserve"> </v>
      </c>
      <c r="B33" s="907"/>
      <c r="C33" s="907"/>
      <c r="E33" s="907" t="str">
        <f>+IF(Control!D95&gt;=4,"____________________________"," ")</f>
        <v xml:space="preserve"> </v>
      </c>
      <c r="F33" s="907"/>
      <c r="G33" s="907"/>
    </row>
    <row r="34" spans="1:7" ht="15.75" customHeight="1">
      <c r="A34" s="906" t="str">
        <f>+CONCATENATE(A80,CHAR(10),A81)</f>
        <v xml:space="preserve"> 
 </v>
      </c>
      <c r="B34" s="906"/>
      <c r="C34" s="906"/>
      <c r="E34" s="906" t="str">
        <f>+CONCATENATE(A83,CHAR(10),A84)</f>
        <v xml:space="preserve"> 
 </v>
      </c>
      <c r="F34" s="906"/>
      <c r="G34" s="906"/>
    </row>
    <row r="35" spans="1:7">
      <c r="A35" s="906"/>
      <c r="B35" s="906"/>
      <c r="C35" s="906"/>
      <c r="E35" s="906"/>
      <c r="F35" s="906"/>
      <c r="G35" s="906"/>
    </row>
    <row r="36" spans="1:7">
      <c r="A36" s="906"/>
      <c r="B36" s="906"/>
      <c r="C36" s="906"/>
      <c r="E36" s="906"/>
      <c r="F36" s="906"/>
      <c r="G36" s="906"/>
    </row>
    <row r="37" spans="1:7">
      <c r="A37" s="906"/>
      <c r="B37" s="906"/>
      <c r="C37" s="906"/>
      <c r="E37" s="906"/>
      <c r="F37" s="906"/>
      <c r="G37" s="906"/>
    </row>
    <row r="38" spans="1:7">
      <c r="A38" s="906"/>
      <c r="B38" s="906"/>
      <c r="C38" s="906"/>
      <c r="E38" s="906"/>
      <c r="F38" s="906"/>
      <c r="G38" s="906"/>
    </row>
    <row r="39" spans="1:7">
      <c r="A39" s="444"/>
      <c r="B39" s="444"/>
      <c r="C39" s="444"/>
    </row>
    <row r="40" spans="1:7">
      <c r="A40" s="444"/>
      <c r="B40" s="444"/>
      <c r="C40" s="444"/>
    </row>
    <row r="43" spans="1:7">
      <c r="A43" s="907" t="str">
        <f>+IF(Control!D95&gt;=5,"____________________________"," ")</f>
        <v xml:space="preserve"> </v>
      </c>
      <c r="B43" s="907"/>
      <c r="C43" s="907"/>
      <c r="E43" s="907" t="str">
        <f>+IF(Control!D95&gt;=6,"____________________________"," ")</f>
        <v xml:space="preserve"> </v>
      </c>
      <c r="F43" s="907"/>
      <c r="G43" s="907"/>
    </row>
    <row r="44" spans="1:7" ht="15.75" customHeight="1">
      <c r="A44" s="906" t="str">
        <f>+CONCATENATE(A87,CHAR(10),A88)</f>
        <v xml:space="preserve"> 
 </v>
      </c>
      <c r="B44" s="906"/>
      <c r="C44" s="906"/>
      <c r="E44" s="906" t="str">
        <f>+CONCATENATE(A91,CHAR(10),A92)</f>
        <v xml:space="preserve"> 
 </v>
      </c>
      <c r="F44" s="906"/>
      <c r="G44" s="906"/>
    </row>
    <row r="45" spans="1:7">
      <c r="A45" s="906"/>
      <c r="B45" s="906"/>
      <c r="C45" s="906"/>
      <c r="E45" s="906"/>
      <c r="F45" s="906"/>
      <c r="G45" s="906"/>
    </row>
    <row r="46" spans="1:7">
      <c r="A46" s="906"/>
      <c r="B46" s="906"/>
      <c r="C46" s="906"/>
      <c r="E46" s="906"/>
      <c r="F46" s="906"/>
      <c r="G46" s="906"/>
    </row>
    <row r="47" spans="1:7">
      <c r="A47" s="906"/>
      <c r="B47" s="906"/>
      <c r="C47" s="906"/>
      <c r="E47" s="906"/>
      <c r="F47" s="906"/>
      <c r="G47" s="906"/>
    </row>
    <row r="48" spans="1:7">
      <c r="A48" s="906"/>
      <c r="B48" s="906"/>
      <c r="C48" s="906"/>
      <c r="E48" s="906"/>
      <c r="F48" s="906"/>
      <c r="G48" s="906"/>
    </row>
    <row r="54" spans="1:1" s="603" customFormat="1">
      <c r="A54" s="603" t="str">
        <f>+Control!D98</f>
        <v>I</v>
      </c>
    </row>
    <row r="55" spans="1:1" s="603" customFormat="1">
      <c r="A55" s="603" t="s">
        <v>387</v>
      </c>
    </row>
    <row r="56" spans="1:1" s="603" customFormat="1">
      <c r="A56" s="603" t="str">
        <f>+Control!D6</f>
        <v>31 December, 2016</v>
      </c>
    </row>
    <row r="57" spans="1:1" s="603" customFormat="1">
      <c r="A57" s="603" t="s">
        <v>388</v>
      </c>
    </row>
    <row r="58" spans="1:1" s="603" customFormat="1">
      <c r="A58" s="603" t="str">
        <f>+Control!D3</f>
        <v>MIC INCORPORATION LIMITED </v>
      </c>
    </row>
    <row r="59" spans="1:1" s="603" customFormat="1">
      <c r="A59" s="603" t="s">
        <v>389</v>
      </c>
    </row>
    <row r="60" spans="1:1" s="603" customFormat="1">
      <c r="A60" s="603" t="s">
        <v>390</v>
      </c>
    </row>
    <row r="61" spans="1:1" s="603" customFormat="1">
      <c r="A61" s="603" t="str">
        <f>+Control!D68</f>
        <v>US$</v>
      </c>
    </row>
    <row r="62" spans="1:1" s="603" customFormat="1">
      <c r="A62" s="604">
        <f>+Control!D106</f>
        <v>9849</v>
      </c>
    </row>
    <row r="63" spans="1:1" s="603" customFormat="1">
      <c r="A63" s="603" t="s">
        <v>239</v>
      </c>
    </row>
    <row r="64" spans="1:1" s="594" customFormat="1"/>
    <row r="65" spans="1:1" s="594" customFormat="1"/>
    <row r="66" spans="1:1" s="594" customFormat="1"/>
    <row r="67" spans="1:1" s="603" customFormat="1">
      <c r="A67" s="603" t="str">
        <f>+Control!D98</f>
        <v>I</v>
      </c>
    </row>
    <row r="68" spans="1:1" s="603" customFormat="1">
      <c r="A68" s="603" t="s">
        <v>391</v>
      </c>
    </row>
    <row r="69" spans="1:1" s="603" customFormat="1">
      <c r="A69" s="603" t="str">
        <f>+Control!E98</f>
        <v>I</v>
      </c>
    </row>
    <row r="70" spans="1:1" s="603" customFormat="1">
      <c r="A70" s="603" t="s">
        <v>392</v>
      </c>
    </row>
    <row r="71" spans="1:1" s="594" customFormat="1"/>
    <row r="72" spans="1:1" s="594" customFormat="1"/>
    <row r="73" spans="1:1" s="603" customFormat="1">
      <c r="A73" s="603" t="str">
        <f>+Control!D100</f>
        <v>Zhou Qianwei</v>
      </c>
    </row>
    <row r="74" spans="1:1" s="603" customFormat="1">
      <c r="A74" s="603" t="s">
        <v>393</v>
      </c>
    </row>
    <row r="75" spans="1:1" s="594" customFormat="1"/>
    <row r="76" spans="1:1" s="603" customFormat="1">
      <c r="A76" s="603" t="str">
        <f>+IF(Control!D95&gt;=3,Control!D101," ")</f>
        <v xml:space="preserve"> </v>
      </c>
    </row>
    <row r="77" spans="1:1" s="603" customFormat="1">
      <c r="A77" s="603" t="str">
        <f>+IF(Control!D95&gt;=3,"Shareholder"," ")</f>
        <v xml:space="preserve"> </v>
      </c>
    </row>
    <row r="78" spans="1:1" s="594" customFormat="1">
      <c r="A78" s="594" t="str">
        <f>+IF(Control!D89&gt;=3,"Shareholder"," ")</f>
        <v xml:space="preserve"> </v>
      </c>
    </row>
    <row r="79" spans="1:1" s="594" customFormat="1"/>
    <row r="80" spans="1:1" s="603" customFormat="1">
      <c r="A80" s="603" t="str">
        <f>+IF(Control!D95&gt;=2,Control!G100," ")</f>
        <v xml:space="preserve"> </v>
      </c>
    </row>
    <row r="81" spans="1:1" s="603" customFormat="1">
      <c r="A81" s="603" t="str">
        <f>+IF(Control!D95&gt;=2,"Shareholder"," ")</f>
        <v xml:space="preserve"> </v>
      </c>
    </row>
    <row r="82" spans="1:1" s="594" customFormat="1">
      <c r="A82" s="594" t="str">
        <f>+IF(Control!D89&gt;=2,"Shareholder"," ")</f>
        <v xml:space="preserve"> </v>
      </c>
    </row>
    <row r="83" spans="1:1" s="603" customFormat="1">
      <c r="A83" s="603" t="str">
        <f>+IF(Control!D95&gt;=4,Control!G101," ")</f>
        <v xml:space="preserve"> </v>
      </c>
    </row>
    <row r="84" spans="1:1" s="603" customFormat="1">
      <c r="A84" s="603" t="str">
        <f>+IF(Control!D95&gt;=4,"Shareholder"," ")</f>
        <v xml:space="preserve"> </v>
      </c>
    </row>
    <row r="85" spans="1:1" s="594" customFormat="1">
      <c r="A85" s="594" t="str">
        <f>+IF(Control!D89&gt;=4,Control!G95," ")</f>
        <v xml:space="preserve"> </v>
      </c>
    </row>
    <row r="86" spans="1:1" s="594" customFormat="1">
      <c r="A86" s="594" t="str">
        <f>+IF(Control!D89&gt;=4,"Shareholder"," ")</f>
        <v xml:space="preserve"> </v>
      </c>
    </row>
    <row r="87" spans="1:1" s="603" customFormat="1">
      <c r="A87" s="603" t="str">
        <f>+IF(Control!D95&gt;=5,Control!D102," ")</f>
        <v xml:space="preserve"> </v>
      </c>
    </row>
    <row r="88" spans="1:1" s="603" customFormat="1">
      <c r="A88" s="603" t="str">
        <f>+IF(Control!D95&gt;=5,"Shareholder"," ")</f>
        <v xml:space="preserve"> </v>
      </c>
    </row>
    <row r="89" spans="1:1" s="594" customFormat="1">
      <c r="A89" s="594" t="str">
        <f>+IF(Control!D89&gt;=5,Control!D96," ")</f>
        <v xml:space="preserve"> </v>
      </c>
    </row>
    <row r="90" spans="1:1" s="594" customFormat="1">
      <c r="A90" s="594" t="str">
        <f>+IF(Control!D89&gt;=5,"Shareholder"," ")</f>
        <v xml:space="preserve"> </v>
      </c>
    </row>
    <row r="91" spans="1:1" s="603" customFormat="1">
      <c r="A91" s="603" t="str">
        <f>+IF(Control!D95&gt;=6,Control!G102," ")</f>
        <v xml:space="preserve"> </v>
      </c>
    </row>
    <row r="92" spans="1:1" s="603" customFormat="1">
      <c r="A92" s="603" t="str">
        <f>+IF(Control!D95&gt;=6,"Shareholder"," ")</f>
        <v xml:space="preserve"> </v>
      </c>
    </row>
    <row r="93" spans="1:1">
      <c r="A93" s="1" t="str">
        <f>+IF(Control!D89&gt;=6,"Shareholder"," ")</f>
        <v xml:space="preserve"> </v>
      </c>
    </row>
  </sheetData>
  <mergeCells count="12">
    <mergeCell ref="A34:C38"/>
    <mergeCell ref="E34:G38"/>
    <mergeCell ref="A43:C43"/>
    <mergeCell ref="E43:G43"/>
    <mergeCell ref="A44:C48"/>
    <mergeCell ref="E44:G48"/>
    <mergeCell ref="A13:I14"/>
    <mergeCell ref="A16:I17"/>
    <mergeCell ref="A24:C28"/>
    <mergeCell ref="E24:G28"/>
    <mergeCell ref="A33:C33"/>
    <mergeCell ref="E33:G33"/>
  </mergeCells>
  <phoneticPr fontId="13" type="noConversion"/>
  <pageMargins left="0.7" right="0.7" top="0.75" bottom="0.75" header="0.3" footer="0.3"/>
  <pageSetup paperSize="9" scale="97"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R48"/>
  <sheetViews>
    <sheetView topLeftCell="A28" workbookViewId="0">
      <selection activeCell="I46" sqref="I46"/>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 min="6" max="18" width="9" style="605" collapsed="1"/>
  </cols>
  <sheetData>
    <row r="1" spans="1:6">
      <c r="A1" s="913" t="s">
        <v>402</v>
      </c>
      <c r="B1" s="913"/>
      <c r="C1" s="913"/>
      <c r="D1" s="913"/>
      <c r="E1" s="55"/>
    </row>
    <row r="2" spans="1:6">
      <c r="A2" s="918" t="s">
        <v>403</v>
      </c>
      <c r="B2" s="918"/>
      <c r="C2" s="918"/>
      <c r="D2" s="918"/>
      <c r="E2" s="56"/>
    </row>
    <row r="3" spans="1:6">
      <c r="A3" s="2"/>
    </row>
    <row r="4" spans="1:6">
      <c r="A4" s="446" t="s">
        <v>404</v>
      </c>
      <c r="B4" s="446"/>
      <c r="C4" s="917" t="str">
        <f>+'Dir info'!C4</f>
        <v>Zhou Qianwei</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conf.'!F15)</f>
        <v>In the course of our regular examination of the account of the above company for the period ended</v>
      </c>
      <c r="B11" s="915"/>
      <c r="C11" s="915"/>
      <c r="D11" s="915"/>
      <c r="E11" s="60"/>
    </row>
    <row r="12" spans="1:6">
      <c r="A12" s="448" t="str">
        <f>+Control!D6</f>
        <v>31 December, 2016</v>
      </c>
      <c r="B12" s="4" t="s">
        <v>407</v>
      </c>
      <c r="C12" s="5"/>
      <c r="D12" s="5"/>
      <c r="E12" s="61"/>
    </row>
    <row r="13" spans="1:6">
      <c r="A13" s="2"/>
    </row>
    <row r="14" spans="1:6">
      <c r="A14" s="2">
        <v>1</v>
      </c>
      <c r="F14" s="605" t="s">
        <v>408</v>
      </c>
    </row>
    <row r="15" spans="1:6">
      <c r="A15" s="6"/>
      <c r="B15" s="919" t="s">
        <v>2056</v>
      </c>
      <c r="C15" s="6"/>
      <c r="D15" s="6" t="s">
        <v>409</v>
      </c>
      <c r="E15" s="62"/>
      <c r="F15" s="605" t="s">
        <v>410</v>
      </c>
    </row>
    <row r="16" spans="1:6">
      <c r="A16" s="7"/>
      <c r="B16" s="920"/>
      <c r="C16" s="7" t="s">
        <v>412</v>
      </c>
      <c r="D16" s="7" t="s">
        <v>413</v>
      </c>
      <c r="E16" s="54"/>
      <c r="F16" s="606" t="s">
        <v>172</v>
      </c>
    </row>
    <row r="17" spans="1:6">
      <c r="A17" s="7" t="s">
        <v>414</v>
      </c>
      <c r="B17" s="920"/>
      <c r="C17" s="7" t="s">
        <v>416</v>
      </c>
      <c r="D17" s="7" t="s">
        <v>417</v>
      </c>
      <c r="E17" s="62"/>
    </row>
    <row r="18" spans="1:6">
      <c r="A18" s="8"/>
      <c r="B18" s="920"/>
      <c r="C18" s="20" t="str">
        <f>+IF(C22&gt;=0,F18,F20)</f>
        <v>Due to a director</v>
      </c>
      <c r="D18" s="7" t="s">
        <v>418</v>
      </c>
      <c r="E18" s="62"/>
      <c r="F18" s="605" t="s">
        <v>1167</v>
      </c>
    </row>
    <row r="19" spans="1:6" ht="6" customHeight="1">
      <c r="A19" s="9"/>
      <c r="B19" s="15"/>
      <c r="C19" s="9"/>
      <c r="D19" s="15"/>
      <c r="E19" s="63"/>
    </row>
    <row r="20" spans="1:6">
      <c r="A20" s="8"/>
      <c r="B20" s="7" t="str">
        <f>+Control!D68</f>
        <v>US$</v>
      </c>
      <c r="C20" s="17" t="str">
        <f>+Control!D68</f>
        <v>US$</v>
      </c>
      <c r="D20" s="18"/>
      <c r="E20" s="64"/>
      <c r="F20" s="605" t="s">
        <v>1168</v>
      </c>
    </row>
    <row r="21" spans="1:6">
      <c r="A21" s="10"/>
      <c r="B21" s="7"/>
      <c r="C21" s="7"/>
      <c r="D21" s="910" t="str">
        <f>+Control!D88</f>
        <v>Unsecured, interest free and repayable on demand</v>
      </c>
      <c r="E21" s="65"/>
    </row>
    <row r="22" spans="1:6">
      <c r="A22" s="8" t="s">
        <v>82</v>
      </c>
      <c r="B22" s="7" t="s">
        <v>419</v>
      </c>
      <c r="C22" s="26">
        <f>+'Dir info'!K4</f>
        <v>-316165</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46"/>
      <c r="B39" s="446"/>
      <c r="C39" s="446"/>
      <c r="D39" s="446"/>
      <c r="E39" s="70"/>
    </row>
    <row r="40" spans="1:15" ht="33.7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725" t="s">
        <v>430</v>
      </c>
      <c r="O47" s="726" t="s">
        <v>431</v>
      </c>
    </row>
    <row r="48" spans="1:15">
      <c r="A48" s="447"/>
    </row>
  </sheetData>
  <mergeCells count="14">
    <mergeCell ref="A45:B45"/>
    <mergeCell ref="A46:B46"/>
    <mergeCell ref="D21:D22"/>
    <mergeCell ref="C6:D7"/>
    <mergeCell ref="A1:D1"/>
    <mergeCell ref="A40:D40"/>
    <mergeCell ref="A37:D37"/>
    <mergeCell ref="A35:D35"/>
    <mergeCell ref="C4:D4"/>
    <mergeCell ref="C9:D9"/>
    <mergeCell ref="A38:D38"/>
    <mergeCell ref="A11:D11"/>
    <mergeCell ref="A2:D2"/>
    <mergeCell ref="B15:B18"/>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dimension ref="A1:P48"/>
  <sheetViews>
    <sheetView topLeftCell="A16" workbookViewId="0">
      <selection activeCell="A40" sqref="A40:D40"/>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 min="6" max="16" width="9" style="605"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info'!C5</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(2)'!F15)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s="605" t="s">
        <v>408</v>
      </c>
    </row>
    <row r="15" spans="1:6">
      <c r="A15" s="6"/>
      <c r="B15" s="919" t="s">
        <v>2056</v>
      </c>
      <c r="C15" s="6"/>
      <c r="D15" s="6" t="s">
        <v>409</v>
      </c>
      <c r="E15" s="62"/>
      <c r="F15" s="605" t="s">
        <v>410</v>
      </c>
    </row>
    <row r="16" spans="1:6">
      <c r="A16" s="7"/>
      <c r="B16" s="920"/>
      <c r="C16" s="7" t="s">
        <v>412</v>
      </c>
      <c r="D16" s="7" t="s">
        <v>413</v>
      </c>
      <c r="E16" s="54"/>
      <c r="F16" s="606" t="s">
        <v>172</v>
      </c>
    </row>
    <row r="17" spans="1:6">
      <c r="A17" s="7" t="s">
        <v>414</v>
      </c>
      <c r="B17" s="920"/>
      <c r="C17" s="7" t="s">
        <v>416</v>
      </c>
      <c r="D17" s="7" t="s">
        <v>417</v>
      </c>
      <c r="E17" s="62"/>
    </row>
    <row r="18" spans="1:6">
      <c r="A18" s="8"/>
      <c r="B18" s="920"/>
      <c r="C18" s="20" t="str">
        <f>+IF(C22&gt;=0,F18,F20)</f>
        <v>Due from a director</v>
      </c>
      <c r="D18" s="7" t="s">
        <v>418</v>
      </c>
      <c r="E18" s="62"/>
      <c r="F18" s="605" t="s">
        <v>1167</v>
      </c>
    </row>
    <row r="19" spans="1:6" ht="6" customHeight="1">
      <c r="A19" s="9"/>
      <c r="B19" s="15"/>
      <c r="C19" s="9"/>
      <c r="D19" s="15"/>
      <c r="E19" s="63"/>
    </row>
    <row r="20" spans="1:6">
      <c r="A20" s="8"/>
      <c r="B20" s="7" t="str">
        <f>+Control!D68</f>
        <v>US$</v>
      </c>
      <c r="C20" s="17" t="str">
        <f>+Control!D68</f>
        <v>US$</v>
      </c>
      <c r="D20" s="18"/>
      <c r="E20" s="64"/>
      <c r="F20" s="605" t="s">
        <v>1168</v>
      </c>
    </row>
    <row r="21" spans="1:6">
      <c r="A21" s="10"/>
      <c r="B21" s="7"/>
      <c r="C21" s="7"/>
      <c r="D21" s="910" t="str">
        <f>+Control!D88</f>
        <v>Unsecured, interest free and repayable on demand</v>
      </c>
      <c r="E21" s="65"/>
    </row>
    <row r="22" spans="1:6">
      <c r="A22" s="8" t="s">
        <v>82</v>
      </c>
      <c r="B22" s="7" t="s">
        <v>419</v>
      </c>
      <c r="C22" s="26">
        <f>+'Dir info'!K5</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6"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725" t="s">
        <v>430</v>
      </c>
      <c r="O47" s="726"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9"/>
  <dimension ref="A1:O48"/>
  <sheetViews>
    <sheetView topLeftCell="A25"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info'!C5</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(3)'!F15)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info'!K5</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9"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0"/>
  <dimension ref="A1:O48"/>
  <sheetViews>
    <sheetView topLeftCell="A16"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info'!C6</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(4)'!F15)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info'!K6</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44.2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1"/>
  <dimension ref="A1:O48"/>
  <sheetViews>
    <sheetView topLeftCell="A19"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info'!C7</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(5)'!F15)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info'!K7</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8.2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2"/>
  <dimension ref="A1:O48"/>
  <sheetViews>
    <sheetView topLeftCell="A10"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info'!C8</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(6)'!F15)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info'!K8</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9.7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A46:B46"/>
    <mergeCell ref="D21:D22"/>
    <mergeCell ref="A35:D35"/>
    <mergeCell ref="A37:D37"/>
    <mergeCell ref="A38:D38"/>
    <mergeCell ref="A40:D40"/>
    <mergeCell ref="A45:B45"/>
    <mergeCell ref="B15:B18"/>
    <mergeCell ref="A11:D11"/>
    <mergeCell ref="A1:D1"/>
    <mergeCell ref="A2:D2"/>
    <mergeCell ref="C4:D4"/>
    <mergeCell ref="C6:D7"/>
    <mergeCell ref="C9:D9"/>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pageSetUpPr fitToPage="1"/>
  </sheetPr>
  <dimension ref="A1:N50"/>
  <sheetViews>
    <sheetView view="pageBreakPreview" zoomScale="75" zoomScaleNormal="75" zoomScaleSheetLayoutView="75" workbookViewId="0">
      <selection activeCell="AC36" sqref="AC36"/>
    </sheetView>
  </sheetViews>
  <sheetFormatPr defaultColWidth="9" defaultRowHeight="15.75"/>
  <cols>
    <col min="1" max="2" width="9" style="696" collapsed="1"/>
    <col min="3" max="3" width="15.375" style="696" customWidth="1" collapsed="1"/>
    <col min="4" max="4" width="12.625" style="696" customWidth="1" collapsed="1"/>
    <col min="5" max="5" width="4.125" style="696" customWidth="1" collapsed="1"/>
    <col min="6" max="6" width="3.125" style="696" customWidth="1" collapsed="1"/>
    <col min="7" max="7" width="15.125" style="696" customWidth="1" collapsed="1"/>
    <col min="8" max="8" width="12.625" style="696" customWidth="1" collapsed="1"/>
    <col min="9" max="10" width="11.875" style="696" customWidth="1" collapsed="1"/>
    <col min="11" max="26" width="0" style="696" hidden="1" customWidth="1" collapsed="1"/>
    <col min="27" max="16384" width="9" style="696" collapsed="1"/>
  </cols>
  <sheetData>
    <row r="1" spans="1:14">
      <c r="A1" s="922" t="str">
        <f>+Control!D2</f>
        <v>MIC INCORPORATION LIMITED </v>
      </c>
      <c r="B1" s="923"/>
      <c r="C1" s="923"/>
      <c r="D1" s="923"/>
      <c r="E1" s="923"/>
      <c r="F1" s="923"/>
      <c r="G1" s="923"/>
      <c r="H1" s="923"/>
      <c r="I1" s="923"/>
      <c r="J1" s="924"/>
    </row>
    <row r="2" spans="1:14">
      <c r="A2" s="925"/>
      <c r="B2" s="926"/>
      <c r="C2" s="926"/>
      <c r="D2" s="926"/>
      <c r="E2" s="926"/>
      <c r="F2" s="926"/>
      <c r="G2" s="926"/>
      <c r="H2" s="926"/>
      <c r="I2" s="926"/>
      <c r="J2" s="927"/>
    </row>
    <row r="3" spans="1:14">
      <c r="A3" s="697" t="s">
        <v>1198</v>
      </c>
    </row>
    <row r="4" spans="1:14" ht="21">
      <c r="A4" s="928" t="s">
        <v>1776</v>
      </c>
      <c r="B4" s="929"/>
      <c r="C4" s="929"/>
      <c r="D4" s="929"/>
      <c r="E4" s="929"/>
      <c r="F4" s="929"/>
      <c r="G4" s="929"/>
      <c r="H4" s="929"/>
      <c r="I4" s="929"/>
      <c r="J4" s="929"/>
    </row>
    <row r="5" spans="1:14" ht="20.25">
      <c r="A5" s="929" t="s">
        <v>402</v>
      </c>
      <c r="B5" s="929"/>
      <c r="C5" s="929"/>
      <c r="D5" s="929"/>
      <c r="E5" s="929"/>
      <c r="F5" s="929"/>
      <c r="G5" s="929"/>
      <c r="H5" s="929"/>
      <c r="I5" s="929"/>
      <c r="J5" s="929"/>
    </row>
    <row r="6" spans="1:14">
      <c r="A6" s="698"/>
    </row>
    <row r="7" spans="1:14" ht="16.5">
      <c r="A7" s="930"/>
      <c r="B7" s="931"/>
      <c r="C7" s="931"/>
      <c r="D7" s="932"/>
      <c r="G7" s="699" t="s">
        <v>1199</v>
      </c>
      <c r="H7" s="700"/>
      <c r="I7" s="700"/>
      <c r="J7" s="700"/>
    </row>
    <row r="8" spans="1:14">
      <c r="A8" s="933"/>
      <c r="B8" s="934"/>
      <c r="C8" s="934"/>
      <c r="D8" s="935"/>
      <c r="G8" s="696" t="s">
        <v>430</v>
      </c>
      <c r="H8" s="701"/>
      <c r="I8" s="700"/>
      <c r="J8" s="700"/>
    </row>
    <row r="9" spans="1:14">
      <c r="A9" s="933"/>
      <c r="B9" s="934"/>
      <c r="C9" s="934"/>
      <c r="D9" s="935"/>
    </row>
    <row r="10" spans="1:14" ht="16.5">
      <c r="A10" s="933"/>
      <c r="B10" s="934"/>
      <c r="C10" s="934"/>
      <c r="D10" s="935"/>
      <c r="G10" s="699" t="s">
        <v>1200</v>
      </c>
      <c r="H10" s="922"/>
      <c r="I10" s="923"/>
      <c r="J10" s="924"/>
    </row>
    <row r="11" spans="1:14">
      <c r="A11" s="936"/>
      <c r="B11" s="937"/>
      <c r="C11" s="937"/>
      <c r="D11" s="938"/>
      <c r="G11" s="696" t="s">
        <v>1201</v>
      </c>
      <c r="H11" s="925"/>
      <c r="I11" s="926"/>
      <c r="J11" s="927"/>
    </row>
    <row r="12" spans="1:14">
      <c r="E12" s="702"/>
    </row>
    <row r="13" spans="1:14" ht="16.5">
      <c r="A13" s="696" t="s">
        <v>1202</v>
      </c>
      <c r="E13" s="702"/>
      <c r="G13" s="699" t="s">
        <v>1203</v>
      </c>
    </row>
    <row r="14" spans="1:14">
      <c r="E14" s="702"/>
    </row>
    <row r="15" spans="1:14" ht="16.5">
      <c r="A15" s="921" t="str">
        <f>+CONCATENATE(K15,K16,K17,K18,K19,K20,K21)</f>
        <v>As  part  of  our  auditors'  regular  examination of  our Accounts, Matthew S.H. Law, Certified Public Accountant (Practising) of Unit 402, 4/F., Fourseas Building, No. 208 Nathan Road, Kowloon, wish to confirm  the  balance  of  your  account with us as follows:</v>
      </c>
      <c r="B15" s="921"/>
      <c r="C15" s="921"/>
      <c r="D15" s="921"/>
      <c r="E15" s="702"/>
      <c r="G15" s="921" t="str">
        <f>+CONCATENATE(N15,N16,N17,N18)</f>
        <v>羅城熙執業會計師，地址為九龍彌敦道208號四海大廈4樓402室，為敝公司之審計師；在其定期性查核敝公司賬目之過程中，欲證明敝公司下列所結存或結欠    貴行之紀錄：</v>
      </c>
      <c r="H15" s="921"/>
      <c r="I15" s="921"/>
      <c r="J15" s="921"/>
      <c r="K15" s="696" t="s">
        <v>1775</v>
      </c>
      <c r="N15" s="699" t="str">
        <f>Control!D138</f>
        <v>羅城熙執業會計師</v>
      </c>
    </row>
    <row r="16" spans="1:14" ht="16.5">
      <c r="A16" s="921"/>
      <c r="B16" s="921"/>
      <c r="C16" s="921"/>
      <c r="D16" s="921"/>
      <c r="E16" s="702"/>
      <c r="G16" s="921"/>
      <c r="H16" s="921"/>
      <c r="I16" s="921"/>
      <c r="J16" s="921"/>
      <c r="K16" s="696" t="str">
        <f>Control!D136</f>
        <v>Matthew S.H. Law</v>
      </c>
      <c r="N16" s="699" t="s">
        <v>1774</v>
      </c>
    </row>
    <row r="17" spans="1:14" ht="16.5">
      <c r="A17" s="921"/>
      <c r="B17" s="921"/>
      <c r="C17" s="921"/>
      <c r="D17" s="921"/>
      <c r="E17" s="702"/>
      <c r="G17" s="921"/>
      <c r="H17" s="921"/>
      <c r="I17" s="921"/>
      <c r="J17" s="921"/>
      <c r="K17" s="696" t="s">
        <v>1773</v>
      </c>
      <c r="N17" s="699" t="str">
        <f>Control!D143</f>
        <v>九龍彌敦道208號四海大廈4樓402室</v>
      </c>
    </row>
    <row r="18" spans="1:14" ht="16.5">
      <c r="A18" s="921"/>
      <c r="B18" s="921"/>
      <c r="C18" s="921"/>
      <c r="D18" s="921"/>
      <c r="E18" s="702"/>
      <c r="G18" s="921"/>
      <c r="H18" s="921"/>
      <c r="I18" s="921"/>
      <c r="J18" s="921"/>
      <c r="K18" s="696" t="str">
        <f>Control!D137</f>
        <v>Certified Public Accountant (Practising)</v>
      </c>
      <c r="N18" s="699" t="s">
        <v>1204</v>
      </c>
    </row>
    <row r="19" spans="1:14" ht="16.5">
      <c r="A19" s="921"/>
      <c r="B19" s="921"/>
      <c r="C19" s="921"/>
      <c r="D19" s="921"/>
      <c r="E19" s="702"/>
      <c r="G19" s="921"/>
      <c r="H19" s="921"/>
      <c r="I19" s="921"/>
      <c r="J19" s="921"/>
      <c r="K19" s="696" t="s">
        <v>1772</v>
      </c>
      <c r="N19" s="699"/>
    </row>
    <row r="20" spans="1:14" ht="16.5">
      <c r="A20" s="921"/>
      <c r="B20" s="921"/>
      <c r="C20" s="921"/>
      <c r="D20" s="921"/>
      <c r="E20" s="702"/>
      <c r="G20" s="921"/>
      <c r="H20" s="921"/>
      <c r="I20" s="921"/>
      <c r="J20" s="921"/>
      <c r="K20" s="696" t="str">
        <f>Control!D142</f>
        <v>Unit 402, 4/F., Fourseas Building, No. 208 Nathan Road, Kowloon</v>
      </c>
      <c r="N20" s="699"/>
    </row>
    <row r="21" spans="1:14" ht="16.5">
      <c r="A21" s="703"/>
      <c r="B21" s="703"/>
      <c r="C21" s="703"/>
      <c r="D21" s="703"/>
      <c r="E21" s="704"/>
      <c r="F21" s="703"/>
      <c r="G21" s="703"/>
      <c r="H21" s="703"/>
      <c r="I21" s="703"/>
      <c r="J21" s="703"/>
      <c r="K21" s="696" t="s">
        <v>1771</v>
      </c>
      <c r="N21" s="699"/>
    </row>
    <row r="22" spans="1:14" ht="16.5">
      <c r="A22" s="705" t="s">
        <v>1205</v>
      </c>
      <c r="D22" s="706" t="s">
        <v>1770</v>
      </c>
      <c r="E22" s="923" t="str">
        <f>+CONCATENATE(K22,K23,K24)</f>
        <v>US$ 美元</v>
      </c>
      <c r="F22" s="923"/>
      <c r="G22" s="924"/>
      <c r="H22" s="707" t="s">
        <v>1206</v>
      </c>
      <c r="I22" s="923" t="str">
        <f>+CONCATENATE(K22,K23,K24)</f>
        <v>US$ 美元</v>
      </c>
      <c r="J22" s="923"/>
      <c r="K22" s="696" t="str">
        <f>Control!D68</f>
        <v>US$</v>
      </c>
      <c r="N22" s="699"/>
    </row>
    <row r="23" spans="1:14" ht="16.5">
      <c r="A23" s="699" t="s">
        <v>1207</v>
      </c>
      <c r="B23" s="940" t="str">
        <f>Control!D6</f>
        <v>31 December, 2016</v>
      </c>
      <c r="C23" s="941"/>
      <c r="D23" s="708" t="s">
        <v>1769</v>
      </c>
      <c r="E23" s="942" t="s">
        <v>1768</v>
      </c>
      <c r="F23" s="942"/>
      <c r="G23" s="943"/>
      <c r="H23" s="699" t="s">
        <v>1767</v>
      </c>
      <c r="I23" s="942">
        <v>215635</v>
      </c>
      <c r="J23" s="942"/>
      <c r="K23" s="696" t="s">
        <v>1766</v>
      </c>
      <c r="N23" s="699"/>
    </row>
    <row r="24" spans="1:14">
      <c r="A24" s="703"/>
      <c r="B24" s="703"/>
      <c r="C24" s="703"/>
      <c r="D24" s="709"/>
      <c r="E24" s="703"/>
      <c r="F24" s="703"/>
      <c r="G24" s="704"/>
      <c r="H24" s="703"/>
      <c r="I24" s="703"/>
      <c r="J24" s="703"/>
      <c r="K24" s="696" t="str">
        <f>Control!D69</f>
        <v>美元</v>
      </c>
    </row>
    <row r="25" spans="1:14">
      <c r="F25" s="710"/>
    </row>
    <row r="26" spans="1:14" ht="16.5">
      <c r="A26" s="711" t="s">
        <v>1208</v>
      </c>
      <c r="F26" s="712"/>
      <c r="G26" s="713" t="s">
        <v>1209</v>
      </c>
    </row>
    <row r="27" spans="1:14">
      <c r="F27" s="712"/>
    </row>
    <row r="28" spans="1:14" ht="16.5">
      <c r="A28" s="714" t="s">
        <v>1210</v>
      </c>
      <c r="F28" s="712"/>
      <c r="G28" s="699" t="s">
        <v>1777</v>
      </c>
    </row>
    <row r="29" spans="1:14" ht="16.5">
      <c r="A29" s="714" t="s">
        <v>1211</v>
      </c>
      <c r="F29" s="712"/>
      <c r="G29" s="699" t="s">
        <v>1212</v>
      </c>
    </row>
    <row r="30" spans="1:14" ht="16.5">
      <c r="A30" s="714" t="s">
        <v>1213</v>
      </c>
      <c r="F30" s="712"/>
      <c r="G30" s="699" t="s">
        <v>1214</v>
      </c>
    </row>
    <row r="31" spans="1:14" ht="16.5">
      <c r="A31" s="944" t="str">
        <f>Control!D145</f>
        <v>(852)35823310</v>
      </c>
      <c r="B31" s="944"/>
      <c r="C31" s="944"/>
      <c r="D31" s="944"/>
      <c r="F31" s="712"/>
      <c r="G31" s="699" t="s">
        <v>1215</v>
      </c>
    </row>
    <row r="32" spans="1:14">
      <c r="F32" s="712"/>
    </row>
    <row r="33" spans="1:12" ht="16.5">
      <c r="A33" s="714" t="s">
        <v>1216</v>
      </c>
      <c r="F33" s="712"/>
      <c r="G33" s="699" t="s">
        <v>1765</v>
      </c>
    </row>
    <row r="34" spans="1:12" ht="16.5">
      <c r="A34" s="714" t="s">
        <v>1778</v>
      </c>
      <c r="F34" s="712"/>
      <c r="G34" s="699" t="s">
        <v>1779</v>
      </c>
    </row>
    <row r="35" spans="1:12">
      <c r="A35" s="707" t="s">
        <v>1217</v>
      </c>
      <c r="F35" s="712"/>
      <c r="G35" s="711" t="str">
        <f>+CONCATENATE(L35,L36)</f>
        <v>(852)35823310]，作為其審核敝公司賬目之用。</v>
      </c>
      <c r="L35" s="696" t="str">
        <f>Control!D145</f>
        <v>(852)35823310</v>
      </c>
    </row>
    <row r="36" spans="1:12" ht="16.5">
      <c r="F36" s="712"/>
      <c r="L36" s="696" t="s">
        <v>1780</v>
      </c>
    </row>
    <row r="37" spans="1:12">
      <c r="A37" s="714" t="s">
        <v>1218</v>
      </c>
      <c r="F37" s="712"/>
    </row>
    <row r="38" spans="1:12">
      <c r="A38" s="714" t="s">
        <v>1219</v>
      </c>
      <c r="F38" s="712"/>
    </row>
    <row r="39" spans="1:12">
      <c r="A39" s="714" t="s">
        <v>1220</v>
      </c>
      <c r="F39" s="712"/>
    </row>
    <row r="40" spans="1:12">
      <c r="A40" s="714"/>
      <c r="F40" s="712"/>
      <c r="H40" s="715"/>
      <c r="I40" s="716"/>
    </row>
    <row r="41" spans="1:12">
      <c r="A41" s="714" t="s">
        <v>428</v>
      </c>
      <c r="F41" s="712"/>
    </row>
    <row r="42" spans="1:12">
      <c r="F42" s="712"/>
    </row>
    <row r="43" spans="1:12">
      <c r="F43" s="712"/>
    </row>
    <row r="44" spans="1:12" ht="16.5">
      <c r="A44" s="717"/>
      <c r="B44" s="717"/>
      <c r="C44" s="717"/>
      <c r="D44" s="717"/>
      <c r="F44" s="712"/>
      <c r="G44" s="717"/>
      <c r="H44" s="717"/>
      <c r="I44" s="717"/>
      <c r="J44" s="718" t="s">
        <v>1221</v>
      </c>
    </row>
    <row r="45" spans="1:12" ht="6" customHeight="1">
      <c r="A45" s="703"/>
      <c r="B45" s="703"/>
      <c r="C45" s="703"/>
      <c r="D45" s="703"/>
      <c r="E45" s="703"/>
      <c r="F45" s="709"/>
      <c r="G45" s="703"/>
      <c r="H45" s="703"/>
      <c r="I45" s="703"/>
      <c r="J45" s="703"/>
    </row>
    <row r="46" spans="1:12" ht="16.5">
      <c r="A46" s="714" t="s">
        <v>1222</v>
      </c>
      <c r="F46" s="712"/>
      <c r="G46" s="699" t="s">
        <v>1223</v>
      </c>
    </row>
    <row r="47" spans="1:12">
      <c r="F47" s="712"/>
    </row>
    <row r="48" spans="1:12">
      <c r="F48" s="712"/>
    </row>
    <row r="49" spans="1:10" ht="16.5">
      <c r="A49" s="714" t="s">
        <v>1224</v>
      </c>
      <c r="B49" s="717"/>
      <c r="C49" s="717"/>
      <c r="D49" s="717"/>
      <c r="F49" s="712"/>
      <c r="G49" s="699" t="s">
        <v>1225</v>
      </c>
      <c r="H49" s="717"/>
      <c r="I49" s="717"/>
      <c r="J49" s="717"/>
    </row>
    <row r="50" spans="1:10">
      <c r="B50" s="939" t="s">
        <v>1226</v>
      </c>
      <c r="C50" s="939"/>
      <c r="D50" s="939"/>
      <c r="F50" s="712"/>
      <c r="H50" s="939" t="s">
        <v>1781</v>
      </c>
      <c r="I50" s="939"/>
      <c r="J50" s="939"/>
    </row>
  </sheetData>
  <mergeCells count="15">
    <mergeCell ref="B50:D50"/>
    <mergeCell ref="H50:J50"/>
    <mergeCell ref="E22:G22"/>
    <mergeCell ref="I22:J22"/>
    <mergeCell ref="B23:C23"/>
    <mergeCell ref="E23:G23"/>
    <mergeCell ref="I23:J23"/>
    <mergeCell ref="A31:D31"/>
    <mergeCell ref="A15:D20"/>
    <mergeCell ref="G15:J20"/>
    <mergeCell ref="A1:J2"/>
    <mergeCell ref="A4:J4"/>
    <mergeCell ref="A5:J5"/>
    <mergeCell ref="A7:D11"/>
    <mergeCell ref="H10:J11"/>
  </mergeCells>
  <phoneticPr fontId="13" type="noConversion"/>
  <printOptions horizontalCentered="1"/>
  <pageMargins left="0.39370078740157483" right="0.39370078740157483" top="0.51181102362204722" bottom="0.51181102362204722" header="0.51181102362204722" footer="0.51181102362204722"/>
  <pageSetup paperSize="9" scale="83"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V34"/>
  <sheetViews>
    <sheetView workbookViewId="0">
      <selection activeCell="P29" sqref="P29"/>
    </sheetView>
  </sheetViews>
  <sheetFormatPr defaultColWidth="8.875" defaultRowHeight="15.75"/>
  <cols>
    <col min="1" max="1" width="6.75" style="816" customWidth="1" collapsed="1"/>
    <col min="2" max="2" width="3.75" style="816" customWidth="1" collapsed="1"/>
    <col min="3" max="3" width="6.75" style="816" customWidth="1" collapsed="1"/>
    <col min="4" max="4" width="8.875" style="816" collapsed="1"/>
    <col min="5" max="6" width="6.75" style="816" customWidth="1" collapsed="1"/>
    <col min="7" max="7" width="3.75" style="816" customWidth="1" collapsed="1"/>
    <col min="8" max="8" width="6.75" style="816" customWidth="1" collapsed="1"/>
    <col min="9" max="9" width="8.875" style="816" collapsed="1"/>
    <col min="10" max="10" width="6.75" style="816" customWidth="1" collapsed="1"/>
    <col min="11" max="14" width="8.875" style="816" collapsed="1"/>
    <col min="15" max="15" width="10.125" style="816" bestFit="1" customWidth="1" collapsed="1"/>
    <col min="16" max="16" width="12.25" style="816" bestFit="1" customWidth="1" collapsed="1"/>
    <col min="17" max="16384" width="8.875" style="816" collapsed="1"/>
  </cols>
  <sheetData>
    <row r="2" spans="1:22">
      <c r="A2" s="947" t="str">
        <f>Control!D2</f>
        <v>MIC INCORPORATION LIMITED </v>
      </c>
      <c r="B2" s="947"/>
      <c r="C2" s="947"/>
      <c r="D2" s="947"/>
      <c r="E2" s="947"/>
      <c r="F2" s="947"/>
      <c r="G2" s="947"/>
      <c r="H2" s="947"/>
      <c r="I2" s="947"/>
      <c r="J2" s="947"/>
      <c r="K2" s="947"/>
      <c r="L2" s="947"/>
    </row>
    <row r="4" spans="1:22" s="817" customFormat="1">
      <c r="A4" s="946" t="s">
        <v>2014</v>
      </c>
      <c r="B4" s="946"/>
      <c r="C4" s="946"/>
      <c r="D4" s="946"/>
      <c r="E4" s="946"/>
      <c r="F4" s="946"/>
      <c r="G4" s="946"/>
      <c r="H4" s="946"/>
      <c r="I4" s="946"/>
      <c r="J4" s="946"/>
      <c r="K4" s="946"/>
      <c r="L4" s="946"/>
    </row>
    <row r="8" spans="1:22" ht="15.6" customHeight="1">
      <c r="A8" s="816" t="s">
        <v>2015</v>
      </c>
      <c r="B8" s="945" t="str">
        <f>+CONCATENATE(N8,O8)</f>
        <v>I hereby certify that the cash on hand at close of business on 31 December, 2016</v>
      </c>
      <c r="C8" s="945"/>
      <c r="D8" s="945"/>
      <c r="E8" s="945"/>
      <c r="F8" s="945"/>
      <c r="G8" s="945"/>
      <c r="H8" s="945"/>
      <c r="I8" s="945"/>
      <c r="J8" s="945"/>
      <c r="K8" s="945"/>
      <c r="L8" s="945"/>
      <c r="N8" s="816" t="s">
        <v>2033</v>
      </c>
      <c r="O8" s="821" t="str">
        <f>+Control!D6</f>
        <v>31 December, 2016</v>
      </c>
    </row>
    <row r="9" spans="1:22" ht="15.6" customHeight="1">
      <c r="A9" s="818"/>
      <c r="B9" s="948" t="str">
        <f>+CONCATENATE(N9,O9,P9,Q9)</f>
        <v>standing in the books of account of the Company is US$Nil.</v>
      </c>
      <c r="C9" s="948"/>
      <c r="D9" s="948"/>
      <c r="E9" s="948"/>
      <c r="F9" s="948"/>
      <c r="G9" s="948"/>
      <c r="H9" s="948"/>
      <c r="I9" s="948"/>
      <c r="J9" s="948"/>
      <c r="K9" s="948"/>
      <c r="L9" s="948"/>
      <c r="N9" s="816" t="s">
        <v>2034</v>
      </c>
      <c r="O9" s="816" t="str">
        <f>+Control!D68</f>
        <v>US$</v>
      </c>
      <c r="P9" s="816" t="str">
        <f>IF(Control!D110=0,"Nil",TEXT(Control!D110,"###,###,###,###,###,###,###,###"))</f>
        <v>Nil</v>
      </c>
      <c r="Q9" s="816" t="s">
        <v>239</v>
      </c>
    </row>
    <row r="11" spans="1:22" ht="15.6" customHeight="1">
      <c r="A11" s="816" t="s">
        <v>2016</v>
      </c>
      <c r="B11" s="945" t="s">
        <v>2017</v>
      </c>
      <c r="C11" s="945"/>
      <c r="D11" s="945"/>
      <c r="E11" s="945"/>
      <c r="F11" s="945"/>
      <c r="G11" s="945"/>
      <c r="H11" s="945"/>
      <c r="I11" s="945"/>
      <c r="J11" s="945"/>
      <c r="K11" s="945"/>
      <c r="L11" s="945"/>
    </row>
    <row r="12" spans="1:22" ht="15.6" customHeight="1">
      <c r="B12" s="945" t="str">
        <f>+CONCATENATE(N12,O12,P12)</f>
        <v>appearing in the Statement of Financial Position as at 31 December, 2016 at the net</v>
      </c>
      <c r="C12" s="945"/>
      <c r="D12" s="945"/>
      <c r="E12" s="945"/>
      <c r="F12" s="945"/>
      <c r="G12" s="945"/>
      <c r="H12" s="945"/>
      <c r="I12" s="945"/>
      <c r="J12" s="945"/>
      <c r="K12" s="945"/>
      <c r="L12" s="945"/>
      <c r="N12" s="816" t="s">
        <v>2035</v>
      </c>
      <c r="O12" s="821" t="str">
        <f>+Control!D6</f>
        <v>31 December, 2016</v>
      </c>
      <c r="P12" s="816" t="s">
        <v>2036</v>
      </c>
      <c r="T12" s="816" t="s">
        <v>2041</v>
      </c>
      <c r="V12" s="816" t="s">
        <v>2042</v>
      </c>
    </row>
    <row r="13" spans="1:22" ht="15.6" customHeight="1">
      <c r="B13" s="948" t="str">
        <f>+CONCATENATE(N13,O13,P13,Q13)</f>
        <v>book value of US$Nil.</v>
      </c>
      <c r="C13" s="948"/>
      <c r="D13" s="948"/>
      <c r="E13" s="948"/>
      <c r="F13" s="948"/>
      <c r="G13" s="948"/>
      <c r="H13" s="948"/>
      <c r="I13" s="948"/>
      <c r="J13" s="948"/>
      <c r="K13" s="948"/>
      <c r="L13" s="948"/>
      <c r="N13" s="816" t="s">
        <v>2037</v>
      </c>
      <c r="O13" s="816" t="str">
        <f>+Control!D68</f>
        <v>US$</v>
      </c>
      <c r="P13" s="822" t="str">
        <f>+IF(Control!D32=0,"Nil",IF(Control!D30=1,V13,T13))</f>
        <v>Nil</v>
      </c>
      <c r="Q13" s="816" t="s">
        <v>239</v>
      </c>
      <c r="S13" s="823"/>
      <c r="T13" s="824" t="str">
        <f>IF(Section4!C11=0,"Nil",TEXT(Section4!C11,"###,###,###,###,###,###,###,###"))</f>
        <v>Nil</v>
      </c>
      <c r="V13" s="824" t="str">
        <f>IF(Section4!E11=0,"Nil",TEXT(Section4!E11,"###,###,###,###,###,###,###,###"))</f>
        <v>Nil</v>
      </c>
    </row>
    <row r="15" spans="1:22" ht="15.6" customHeight="1">
      <c r="B15" s="816" t="s">
        <v>2018</v>
      </c>
      <c r="C15" s="945" t="s">
        <v>2019</v>
      </c>
      <c r="D15" s="945"/>
      <c r="E15" s="945"/>
      <c r="F15" s="945"/>
      <c r="G15" s="945"/>
      <c r="H15" s="945"/>
      <c r="I15" s="945"/>
      <c r="J15" s="945"/>
      <c r="K15" s="945"/>
      <c r="L15" s="945"/>
    </row>
    <row r="16" spans="1:22">
      <c r="C16" s="948" t="s">
        <v>2020</v>
      </c>
      <c r="D16" s="948"/>
      <c r="E16" s="948"/>
      <c r="F16" s="948"/>
      <c r="G16" s="948"/>
      <c r="H16" s="948"/>
      <c r="I16" s="948"/>
      <c r="J16" s="948"/>
      <c r="K16" s="948"/>
    </row>
    <row r="18" spans="2:16" ht="15.6" customHeight="1">
      <c r="B18" s="816" t="s">
        <v>2021</v>
      </c>
      <c r="C18" s="945" t="s">
        <v>2022</v>
      </c>
      <c r="D18" s="945"/>
      <c r="E18" s="945"/>
      <c r="F18" s="945"/>
      <c r="G18" s="945"/>
      <c r="H18" s="945"/>
      <c r="I18" s="945"/>
      <c r="J18" s="945"/>
      <c r="K18" s="945"/>
      <c r="L18" s="945"/>
    </row>
    <row r="19" spans="2:16" ht="15.6" customHeight="1">
      <c r="C19" s="945" t="str">
        <f>+CONCATENATE(N19,O19,P19)</f>
        <v>Company's control at 31 December, 2016, were free from encumbrances, and</v>
      </c>
      <c r="D19" s="945"/>
      <c r="E19" s="945"/>
      <c r="F19" s="945"/>
      <c r="G19" s="945"/>
      <c r="H19" s="945"/>
      <c r="I19" s="945"/>
      <c r="J19" s="945"/>
      <c r="K19" s="945"/>
      <c r="L19" s="945"/>
      <c r="N19" s="816" t="s">
        <v>2038</v>
      </c>
      <c r="O19" s="821" t="str">
        <f>+Control!D6</f>
        <v>31 December, 2016</v>
      </c>
      <c r="P19" s="816" t="s">
        <v>2039</v>
      </c>
    </row>
    <row r="20" spans="2:16" ht="15.6" customHeight="1">
      <c r="C20" s="945" t="s">
        <v>2023</v>
      </c>
      <c r="D20" s="945"/>
      <c r="E20" s="945"/>
      <c r="F20" s="945"/>
      <c r="G20" s="945"/>
      <c r="H20" s="945"/>
      <c r="I20" s="945"/>
      <c r="J20" s="945"/>
      <c r="K20" s="945"/>
      <c r="L20" s="945"/>
    </row>
    <row r="21" spans="2:16">
      <c r="C21" s="950" t="s">
        <v>2024</v>
      </c>
      <c r="D21" s="950"/>
      <c r="E21" s="950"/>
      <c r="F21" s="950"/>
      <c r="G21" s="950"/>
      <c r="H21" s="950"/>
      <c r="I21" s="950"/>
      <c r="J21" s="950"/>
      <c r="K21" s="950"/>
      <c r="L21" s="950"/>
    </row>
    <row r="23" spans="2:16" ht="15.6" customHeight="1">
      <c r="B23" s="816" t="s">
        <v>2025</v>
      </c>
      <c r="C23" s="945" t="s">
        <v>2026</v>
      </c>
      <c r="D23" s="945"/>
      <c r="E23" s="945"/>
      <c r="F23" s="945"/>
      <c r="G23" s="945"/>
      <c r="H23" s="945"/>
      <c r="I23" s="945"/>
      <c r="J23" s="945"/>
      <c r="K23" s="945"/>
      <c r="L23" s="945"/>
    </row>
    <row r="24" spans="2:16">
      <c r="C24" s="948" t="str">
        <f>+CONCATENATE(N24,O24,P24)</f>
        <v>been made or provided for in the accounts of the Company at 31 December, 2016.</v>
      </c>
      <c r="D24" s="948"/>
      <c r="E24" s="948"/>
      <c r="F24" s="948"/>
      <c r="G24" s="948"/>
      <c r="H24" s="948"/>
      <c r="I24" s="948"/>
      <c r="J24" s="948"/>
      <c r="K24" s="948"/>
      <c r="L24" s="948"/>
      <c r="N24" s="816" t="s">
        <v>2040</v>
      </c>
      <c r="O24" s="821" t="str">
        <f>+Control!D6</f>
        <v>31 December, 2016</v>
      </c>
      <c r="P24" s="816" t="s">
        <v>239</v>
      </c>
    </row>
    <row r="26" spans="2:16" ht="15.6" customHeight="1">
      <c r="B26" s="816" t="s">
        <v>2027</v>
      </c>
      <c r="C26" s="945" t="s">
        <v>2028</v>
      </c>
      <c r="D26" s="945"/>
      <c r="E26" s="945"/>
      <c r="F26" s="945"/>
      <c r="G26" s="945"/>
      <c r="H26" s="945"/>
      <c r="I26" s="945"/>
      <c r="J26" s="945"/>
      <c r="K26" s="945"/>
      <c r="L26" s="945"/>
    </row>
    <row r="27" spans="2:16">
      <c r="C27" s="948" t="s">
        <v>2029</v>
      </c>
      <c r="D27" s="948"/>
      <c r="E27" s="948"/>
      <c r="F27" s="948"/>
      <c r="G27" s="948"/>
      <c r="H27" s="948"/>
      <c r="I27" s="948"/>
      <c r="J27" s="948"/>
      <c r="K27" s="948"/>
      <c r="L27" s="948"/>
    </row>
    <row r="33" spans="1:12">
      <c r="A33" s="816" t="s">
        <v>2030</v>
      </c>
      <c r="B33" s="819"/>
      <c r="C33" s="820"/>
      <c r="D33" s="820"/>
      <c r="E33" s="820"/>
      <c r="F33" s="820"/>
      <c r="I33" s="816" t="s">
        <v>2031</v>
      </c>
      <c r="J33" s="820"/>
      <c r="K33" s="820"/>
      <c r="L33" s="820"/>
    </row>
    <row r="34" spans="1:12">
      <c r="C34" s="949" t="s">
        <v>2032</v>
      </c>
      <c r="D34" s="949"/>
      <c r="E34" s="949"/>
      <c r="F34" s="949"/>
    </row>
  </sheetData>
  <mergeCells count="18">
    <mergeCell ref="C34:F34"/>
    <mergeCell ref="B13:L13"/>
    <mergeCell ref="C15:L15"/>
    <mergeCell ref="C16:K16"/>
    <mergeCell ref="C18:L18"/>
    <mergeCell ref="C19:L19"/>
    <mergeCell ref="C20:L20"/>
    <mergeCell ref="C21:L21"/>
    <mergeCell ref="C23:L23"/>
    <mergeCell ref="C24:L24"/>
    <mergeCell ref="C26:L26"/>
    <mergeCell ref="C27:L27"/>
    <mergeCell ref="B12:L12"/>
    <mergeCell ref="A4:L4"/>
    <mergeCell ref="A2:L2"/>
    <mergeCell ref="B8:L8"/>
    <mergeCell ref="B9:L9"/>
    <mergeCell ref="B11:L11"/>
  </mergeCells>
  <phoneticPr fontId="13" type="noConversion"/>
  <printOptions horizontalCentered="1"/>
  <pageMargins left="0.59055118110236227" right="0.59055118110236227" top="0.59055118110236227" bottom="0.59055118110236227" header="0.31496062992125984" footer="0.31496062992125984"/>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pageSetUpPr fitToPage="1"/>
  </sheetPr>
  <dimension ref="A1:V110"/>
  <sheetViews>
    <sheetView workbookViewId="0">
      <selection activeCell="R31" sqref="R31"/>
    </sheetView>
  </sheetViews>
  <sheetFormatPr defaultColWidth="9" defaultRowHeight="15.75"/>
  <cols>
    <col min="1" max="1" width="11.5" style="1" bestFit="1" customWidth="1" collapsed="1"/>
    <col min="2" max="2" width="11" style="1" customWidth="1" collapsed="1"/>
    <col min="3" max="9" width="9" style="1" collapsed="1"/>
    <col min="10" max="22" width="9" style="594" collapsed="1"/>
    <col min="23" max="16384" width="9" style="1" collapsed="1"/>
  </cols>
  <sheetData>
    <row r="1" spans="1:10">
      <c r="A1" s="951" t="str">
        <f>+Control!D3</f>
        <v>MIC INCORPORATION LIMITED </v>
      </c>
      <c r="B1" s="951"/>
      <c r="C1" s="951"/>
      <c r="D1" s="951"/>
      <c r="E1" s="951"/>
      <c r="F1" s="951"/>
      <c r="G1" s="951"/>
      <c r="H1" s="951"/>
    </row>
    <row r="3" spans="1:10">
      <c r="A3" s="1" t="s">
        <v>270</v>
      </c>
    </row>
    <row r="5" spans="1:10">
      <c r="A5" s="1" t="str">
        <f>+CONCATENATE(A55,Control!D136)</f>
        <v>Messrs. Matthew S.H. Law</v>
      </c>
    </row>
    <row r="6" spans="1:10">
      <c r="A6" s="1" t="str">
        <f>+Control!D137</f>
        <v>Certified Public Accountant (Practising)</v>
      </c>
    </row>
    <row r="8" spans="1:10">
      <c r="A8" s="1" t="s">
        <v>382</v>
      </c>
    </row>
    <row r="11" spans="1:10">
      <c r="A11" s="952" t="str">
        <f>+CONCATENATE(A58,A59,A60,A61)</f>
        <v>Accounts for the period ended 31 December, 2016</v>
      </c>
      <c r="B11" s="952"/>
      <c r="C11" s="952"/>
      <c r="D11" s="952"/>
      <c r="E11" s="952"/>
      <c r="F11" s="952"/>
      <c r="G11" s="952"/>
      <c r="H11" s="952"/>
    </row>
    <row r="14" spans="1:10" ht="16.5" customHeight="1">
      <c r="A14" s="896" t="str">
        <f>+CONCATENATE(A64,A65,A66,A67,A68,A69,A70,A71,A73,A74,A75,A76)</f>
        <v>I, being the shareholder of MIC INCORPORATION LIMITED  hereby agree to prepare the Company's accounts and the director's report for the captioned period in accordance with the provisions of S141D of the Companies Ordinance.</v>
      </c>
      <c r="B14" s="896"/>
      <c r="C14" s="896"/>
      <c r="D14" s="896"/>
      <c r="E14" s="896"/>
      <c r="F14" s="896"/>
      <c r="G14" s="896"/>
      <c r="H14" s="896"/>
    </row>
    <row r="15" spans="1:10">
      <c r="A15" s="896"/>
      <c r="B15" s="896"/>
      <c r="C15" s="896"/>
      <c r="D15" s="896"/>
      <c r="E15" s="896"/>
      <c r="F15" s="896"/>
      <c r="G15" s="896"/>
      <c r="H15" s="896"/>
      <c r="J15" s="594" t="s">
        <v>447</v>
      </c>
    </row>
    <row r="16" spans="1:10">
      <c r="A16" s="896"/>
      <c r="B16" s="896"/>
      <c r="C16" s="896"/>
      <c r="D16" s="896"/>
      <c r="E16" s="896"/>
      <c r="F16" s="896"/>
      <c r="G16" s="896"/>
      <c r="H16" s="896"/>
    </row>
    <row r="17" spans="1:10">
      <c r="A17" s="896"/>
      <c r="B17" s="896"/>
      <c r="C17" s="896"/>
      <c r="D17" s="896"/>
      <c r="E17" s="896"/>
      <c r="F17" s="896"/>
      <c r="G17" s="896"/>
      <c r="H17" s="896"/>
    </row>
    <row r="18" spans="1:10">
      <c r="J18" s="594" t="s">
        <v>172</v>
      </c>
    </row>
    <row r="19" spans="1:10" ht="17.25" customHeight="1">
      <c r="A19" s="1" t="str">
        <f>+CONCATENATE(A85,A86,A87)</f>
        <v>Signed by the shareholder of the Company</v>
      </c>
    </row>
    <row r="24" spans="1:10">
      <c r="A24" s="157" t="s">
        <v>386</v>
      </c>
      <c r="B24" s="157"/>
      <c r="C24" s="157"/>
      <c r="E24" s="157" t="str">
        <f>+IF(Control!D95&gt;=3,"____________________________"," ")</f>
        <v xml:space="preserve"> </v>
      </c>
      <c r="F24" s="157"/>
      <c r="G24" s="157"/>
    </row>
    <row r="25" spans="1:10" ht="15.75" customHeight="1">
      <c r="A25" s="906" t="str">
        <f>+CONCATENATE(A90,CHAR(10),A91)</f>
        <v>Zhou Qianwei
Shareholder</v>
      </c>
      <c r="B25" s="906"/>
      <c r="C25" s="906"/>
      <c r="E25" s="906" t="str">
        <f>+CONCATENATE(A94,CHAR(10),A95)</f>
        <v xml:space="preserve"> 
 </v>
      </c>
      <c r="F25" s="906"/>
      <c r="G25" s="906"/>
    </row>
    <row r="26" spans="1:10">
      <c r="A26" s="906"/>
      <c r="B26" s="906"/>
      <c r="C26" s="906"/>
      <c r="E26" s="906"/>
      <c r="F26" s="906"/>
      <c r="G26" s="906"/>
    </row>
    <row r="27" spans="1:10">
      <c r="A27" s="906"/>
      <c r="B27" s="906"/>
      <c r="C27" s="906"/>
      <c r="E27" s="906"/>
      <c r="F27" s="906"/>
      <c r="G27" s="906"/>
    </row>
    <row r="28" spans="1:10">
      <c r="A28" s="906"/>
      <c r="B28" s="906"/>
      <c r="C28" s="906"/>
      <c r="E28" s="906"/>
      <c r="F28" s="906"/>
      <c r="G28" s="906"/>
    </row>
    <row r="29" spans="1:10">
      <c r="A29" s="906"/>
      <c r="B29" s="906"/>
      <c r="C29" s="906"/>
      <c r="E29" s="906"/>
      <c r="F29" s="906"/>
      <c r="G29" s="906"/>
    </row>
    <row r="33" spans="1:7">
      <c r="A33" s="157"/>
      <c r="B33" s="157"/>
      <c r="C33" s="157"/>
      <c r="D33" s="157"/>
      <c r="E33" s="157"/>
      <c r="F33" s="157"/>
      <c r="G33" s="157"/>
    </row>
    <row r="34" spans="1:7">
      <c r="A34" s="907" t="str">
        <f>+IF(Control!D95&gt;=2,"____________________________"," ")</f>
        <v xml:space="preserve"> </v>
      </c>
      <c r="B34" s="907"/>
      <c r="C34" s="907"/>
      <c r="E34" s="907" t="str">
        <f>+IF(Control!D95&gt;=4,"____________________________"," ")</f>
        <v xml:space="preserve"> </v>
      </c>
      <c r="F34" s="907"/>
      <c r="G34" s="907"/>
    </row>
    <row r="35" spans="1:7" ht="15.75" customHeight="1">
      <c r="A35" s="906" t="str">
        <f>+CONCATENATE(A98,CHAR(10),A99)</f>
        <v xml:space="preserve"> 
 </v>
      </c>
      <c r="B35" s="906"/>
      <c r="C35" s="906"/>
      <c r="E35" s="906" t="str">
        <f>+CONCATENATE(A102,CHAR(10),A103)</f>
        <v xml:space="preserve"> 
 </v>
      </c>
      <c r="F35" s="906"/>
      <c r="G35" s="906"/>
    </row>
    <row r="36" spans="1:7">
      <c r="A36" s="906"/>
      <c r="B36" s="906"/>
      <c r="C36" s="906"/>
      <c r="E36" s="906"/>
      <c r="F36" s="906"/>
      <c r="G36" s="906"/>
    </row>
    <row r="37" spans="1:7">
      <c r="A37" s="906"/>
      <c r="B37" s="906"/>
      <c r="C37" s="906"/>
      <c r="E37" s="906"/>
      <c r="F37" s="906"/>
      <c r="G37" s="906"/>
    </row>
    <row r="38" spans="1:7">
      <c r="A38" s="906"/>
      <c r="B38" s="906"/>
      <c r="C38" s="906"/>
      <c r="E38" s="906"/>
      <c r="F38" s="906"/>
      <c r="G38" s="906"/>
    </row>
    <row r="39" spans="1:7">
      <c r="A39" s="906"/>
      <c r="B39" s="906"/>
      <c r="C39" s="906"/>
      <c r="E39" s="906"/>
      <c r="F39" s="906"/>
      <c r="G39" s="906"/>
    </row>
    <row r="40" spans="1:7">
      <c r="A40" s="444"/>
      <c r="B40" s="444"/>
      <c r="C40" s="444"/>
    </row>
    <row r="41" spans="1:7">
      <c r="A41" s="444"/>
      <c r="B41" s="444"/>
      <c r="C41" s="444"/>
    </row>
    <row r="44" spans="1:7">
      <c r="A44" s="907" t="str">
        <f>+IF(Control!D95&gt;=5,"____________________________"," ")</f>
        <v xml:space="preserve"> </v>
      </c>
      <c r="B44" s="907"/>
      <c r="C44" s="907"/>
      <c r="E44" s="907" t="str">
        <f>+IF(Control!D95&gt;=6,"____________________________"," ")</f>
        <v xml:space="preserve"> </v>
      </c>
      <c r="F44" s="907"/>
      <c r="G44" s="907"/>
    </row>
    <row r="45" spans="1:7" ht="15.75" customHeight="1">
      <c r="A45" s="906" t="str">
        <f>+CONCATENATE(A106,CHAR(10),A107)</f>
        <v xml:space="preserve"> 
 </v>
      </c>
      <c r="B45" s="906"/>
      <c r="C45" s="906"/>
      <c r="E45" s="906" t="str">
        <f>+CONCATENATE(A109,CHAR(10),A110)</f>
        <v xml:space="preserve"> 
 </v>
      </c>
      <c r="F45" s="906"/>
      <c r="G45" s="906"/>
    </row>
    <row r="46" spans="1:7">
      <c r="A46" s="906"/>
      <c r="B46" s="906"/>
      <c r="C46" s="906"/>
      <c r="E46" s="906"/>
      <c r="F46" s="906"/>
      <c r="G46" s="906"/>
    </row>
    <row r="47" spans="1:7">
      <c r="A47" s="906"/>
      <c r="B47" s="906"/>
      <c r="C47" s="906"/>
      <c r="E47" s="906"/>
      <c r="F47" s="906"/>
      <c r="G47" s="906"/>
    </row>
    <row r="48" spans="1:7">
      <c r="A48" s="906"/>
      <c r="B48" s="906"/>
      <c r="C48" s="906"/>
      <c r="E48" s="906"/>
      <c r="F48" s="906"/>
      <c r="G48" s="906"/>
    </row>
    <row r="49" spans="1:7">
      <c r="A49" s="906"/>
      <c r="B49" s="906"/>
      <c r="C49" s="906"/>
      <c r="E49" s="906"/>
      <c r="F49" s="906"/>
      <c r="G49" s="906"/>
    </row>
    <row r="55" spans="1:7" s="603" customFormat="1">
      <c r="A55" s="603" t="s">
        <v>233</v>
      </c>
    </row>
    <row r="56" spans="1:7" s="594" customFormat="1"/>
    <row r="57" spans="1:7" s="594" customFormat="1"/>
    <row r="58" spans="1:7" s="603" customFormat="1">
      <c r="A58" s="603" t="s">
        <v>448</v>
      </c>
    </row>
    <row r="59" spans="1:7" s="603" customFormat="1">
      <c r="A59" s="603" t="str">
        <f>+CONCATENATE(Control!E8,J18)</f>
        <v xml:space="preserve">period </v>
      </c>
    </row>
    <row r="60" spans="1:7" s="603" customFormat="1">
      <c r="A60" s="603" t="s">
        <v>236</v>
      </c>
    </row>
    <row r="61" spans="1:7" s="603" customFormat="1">
      <c r="A61" s="603" t="str">
        <f>+Control!D6</f>
        <v>31 December, 2016</v>
      </c>
    </row>
    <row r="62" spans="1:7" s="594" customFormat="1"/>
    <row r="63" spans="1:7" s="594" customFormat="1"/>
    <row r="64" spans="1:7" s="603" customFormat="1">
      <c r="A64" s="603" t="str">
        <f>+Control!D98</f>
        <v>I</v>
      </c>
    </row>
    <row r="65" spans="1:2" s="603" customFormat="1">
      <c r="A65" s="603" t="s">
        <v>449</v>
      </c>
    </row>
    <row r="66" spans="1:2" s="603" customFormat="1">
      <c r="A66" s="603" t="str">
        <f>+Control!D96</f>
        <v>shareholder</v>
      </c>
    </row>
    <row r="67" spans="1:2" s="603" customFormat="1">
      <c r="A67" s="603" t="s">
        <v>450</v>
      </c>
    </row>
    <row r="68" spans="1:2" s="603" customFormat="1">
      <c r="A68" s="603" t="str">
        <f>+Control!D3</f>
        <v>MIC INCORPORATION LIMITED </v>
      </c>
    </row>
    <row r="69" spans="1:2" s="603" customFormat="1">
      <c r="A69" s="603" t="s">
        <v>451</v>
      </c>
    </row>
    <row r="70" spans="1:2" s="603" customFormat="1">
      <c r="A70" s="603" t="str">
        <f>IF(Control!D78=1,"director's ","directors' ")</f>
        <v xml:space="preserve">director's </v>
      </c>
    </row>
    <row r="71" spans="1:2" s="603" customFormat="1">
      <c r="A71" s="603" t="s">
        <v>452</v>
      </c>
    </row>
    <row r="72" spans="1:2" s="603" customFormat="1"/>
    <row r="73" spans="1:2" s="603" customFormat="1">
      <c r="A73" s="603" t="str">
        <f>+Control!E8</f>
        <v>period</v>
      </c>
    </row>
    <row r="74" spans="1:2" s="603" customFormat="1">
      <c r="A74" s="603" t="s">
        <v>453</v>
      </c>
    </row>
    <row r="75" spans="1:2" s="603" customFormat="1">
      <c r="A75" s="603" t="str">
        <f>+IF(B79&lt;0,"S141D","S359(1)(a)")</f>
        <v>S141D</v>
      </c>
    </row>
    <row r="76" spans="1:2" s="603" customFormat="1">
      <c r="A76" s="603" t="s">
        <v>226</v>
      </c>
    </row>
    <row r="77" spans="1:2" s="603" customFormat="1"/>
    <row r="78" spans="1:2" s="603" customFormat="1"/>
    <row r="79" spans="1:2" s="603" customFormat="1">
      <c r="A79" s="609">
        <v>41701</v>
      </c>
      <c r="B79" s="609">
        <f>+Control!D11-'141D'!A79</f>
        <v>-1</v>
      </c>
    </row>
    <row r="80" spans="1:2" s="603" customFormat="1"/>
    <row r="81" spans="1:1" s="603" customFormat="1"/>
    <row r="82" spans="1:1" s="603" customFormat="1"/>
    <row r="83" spans="1:1" s="594" customFormat="1"/>
    <row r="84" spans="1:1" s="594" customFormat="1"/>
    <row r="85" spans="1:1" s="603" customFormat="1">
      <c r="A85" s="603" t="s">
        <v>454</v>
      </c>
    </row>
    <row r="86" spans="1:1" s="603" customFormat="1">
      <c r="A86" s="603" t="str">
        <f>+Control!D96</f>
        <v>shareholder</v>
      </c>
    </row>
    <row r="87" spans="1:1" s="603" customFormat="1">
      <c r="A87" s="603" t="s">
        <v>455</v>
      </c>
    </row>
    <row r="88" spans="1:1" s="594" customFormat="1"/>
    <row r="89" spans="1:1" s="594" customFormat="1"/>
    <row r="90" spans="1:1" s="603" customFormat="1">
      <c r="A90" s="603" t="str">
        <f>+Control!D100</f>
        <v>Zhou Qianwei</v>
      </c>
    </row>
    <row r="91" spans="1:1" s="603" customFormat="1">
      <c r="A91" s="603" t="s">
        <v>393</v>
      </c>
    </row>
    <row r="92" spans="1:1" s="594" customFormat="1"/>
    <row r="93" spans="1:1" s="594" customFormat="1"/>
    <row r="94" spans="1:1" s="603" customFormat="1">
      <c r="A94" s="603" t="str">
        <f>+IF(Control!D95&gt;=3,Control!D101," ")</f>
        <v xml:space="preserve"> </v>
      </c>
    </row>
    <row r="95" spans="1:1" s="603" customFormat="1">
      <c r="A95" s="603" t="str">
        <f>+IF(Control!D95&gt;=3,"Shareholder"," ")</f>
        <v xml:space="preserve"> </v>
      </c>
    </row>
    <row r="96" spans="1:1" s="594" customFormat="1"/>
    <row r="97" spans="1:1" s="594" customFormat="1"/>
    <row r="98" spans="1:1" s="603" customFormat="1">
      <c r="A98" s="603" t="str">
        <f>+IF(Control!D95&gt;=2,Control!G100," ")</f>
        <v xml:space="preserve"> </v>
      </c>
    </row>
    <row r="99" spans="1:1" s="603" customFormat="1">
      <c r="A99" s="603" t="str">
        <f>+IF(Control!D95&gt;=2,"Shareholder"," ")</f>
        <v xml:space="preserve"> </v>
      </c>
    </row>
    <row r="100" spans="1:1" s="594" customFormat="1"/>
    <row r="101" spans="1:1" s="594" customFormat="1"/>
    <row r="102" spans="1:1" s="603" customFormat="1">
      <c r="A102" s="603" t="str">
        <f>+IF(Control!D95&gt;=4,Control!G101," ")</f>
        <v xml:space="preserve"> </v>
      </c>
    </row>
    <row r="103" spans="1:1" s="603" customFormat="1">
      <c r="A103" s="603" t="str">
        <f>+IF(Control!D95&gt;=4,"Shareholder"," ")</f>
        <v xml:space="preserve"> </v>
      </c>
    </row>
    <row r="104" spans="1:1" s="594" customFormat="1"/>
    <row r="105" spans="1:1" s="594" customFormat="1"/>
    <row r="106" spans="1:1" s="603" customFormat="1">
      <c r="A106" s="603" t="str">
        <f>+IF(Control!D95&gt;=5,Control!D102," ")</f>
        <v xml:space="preserve"> </v>
      </c>
    </row>
    <row r="107" spans="1:1" s="603" customFormat="1">
      <c r="A107" s="603" t="str">
        <f>+IF(Control!D95&gt;=5,"Shareholder"," ")</f>
        <v xml:space="preserve"> </v>
      </c>
    </row>
    <row r="108" spans="1:1" s="594" customFormat="1"/>
    <row r="109" spans="1:1" s="603" customFormat="1">
      <c r="A109" s="603" t="str">
        <f>+IF(Control!D95&gt;=6,Control!G102," ")</f>
        <v xml:space="preserve"> </v>
      </c>
    </row>
    <row r="110" spans="1:1" s="603" customFormat="1">
      <c r="A110" s="603" t="str">
        <f>+IF(Control!D95&gt;=6,"Shareholder"," ")</f>
        <v xml:space="preserve"> </v>
      </c>
    </row>
  </sheetData>
  <mergeCells count="13">
    <mergeCell ref="A14:H17"/>
    <mergeCell ref="A1:H1"/>
    <mergeCell ref="A11:H11"/>
    <mergeCell ref="A34:C34"/>
    <mergeCell ref="E34:G34"/>
    <mergeCell ref="A25:C29"/>
    <mergeCell ref="E25:G29"/>
    <mergeCell ref="A45:C49"/>
    <mergeCell ref="E45:G49"/>
    <mergeCell ref="A44:C44"/>
    <mergeCell ref="E44:G44"/>
    <mergeCell ref="A35:C39"/>
    <mergeCell ref="E35:G39"/>
  </mergeCells>
  <phoneticPr fontId="13" type="noConversion"/>
  <pageMargins left="1.2480314960629921" right="1.2480314960629921" top="0.74803149606299213" bottom="0.74803149606299213" header="0.31496062992125984" footer="0.31496062992125984"/>
  <pageSetup paperSize="9" scale="97"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3"/>
  <dimension ref="A3:Z60"/>
  <sheetViews>
    <sheetView workbookViewId="0">
      <selection activeCell="J23" sqref="J23"/>
    </sheetView>
  </sheetViews>
  <sheetFormatPr defaultRowHeight="15.75"/>
  <cols>
    <col min="1" max="1" width="3.5" customWidth="1" collapsed="1"/>
    <col min="2" max="2" width="11.375" customWidth="1" collapsed="1"/>
    <col min="6" max="6" width="5.625" customWidth="1" collapsed="1"/>
    <col min="7" max="7" width="8.875" customWidth="1" collapsed="1"/>
    <col min="8" max="8" width="12.125" customWidth="1" collapsed="1"/>
    <col min="9" max="9" width="9" customWidth="1" collapsed="1"/>
    <col min="10" max="10" width="7.875" customWidth="1" collapsed="1"/>
    <col min="11" max="12" width="9" style="605" collapsed="1"/>
    <col min="13" max="13" width="10.5" style="605" bestFit="1" customWidth="1" collapsed="1"/>
    <col min="14" max="26" width="9" style="605" collapsed="1"/>
  </cols>
  <sheetData>
    <row r="3" spans="2:13">
      <c r="B3" s="953" t="str">
        <f>+Control!D3</f>
        <v>MIC INCORPORATION LIMITED </v>
      </c>
      <c r="C3" s="953"/>
      <c r="D3" s="953"/>
      <c r="E3" s="953"/>
      <c r="F3" s="953"/>
      <c r="G3" s="953"/>
      <c r="H3" s="953"/>
      <c r="I3" s="953"/>
      <c r="J3" s="953"/>
    </row>
    <row r="4" spans="2:13">
      <c r="B4" s="450"/>
      <c r="C4" s="450"/>
      <c r="D4" s="450"/>
      <c r="E4" s="450"/>
      <c r="F4" s="450"/>
      <c r="G4" s="450"/>
      <c r="H4" s="450"/>
      <c r="I4" s="450"/>
      <c r="J4" s="450"/>
    </row>
    <row r="6" spans="2:13">
      <c r="B6" s="256" t="str">
        <f>+CONCATENATE(K6,M6)</f>
        <v>Tax File No.:65476707-000</v>
      </c>
      <c r="H6" s="1" t="s">
        <v>456</v>
      </c>
      <c r="K6" s="605" t="s">
        <v>457</v>
      </c>
      <c r="M6" s="605" t="str">
        <f>+Control!D75</f>
        <v>65476707-000</v>
      </c>
    </row>
    <row r="9" spans="2:13">
      <c r="B9" s="41" t="s">
        <v>458</v>
      </c>
    </row>
    <row r="10" spans="2:13">
      <c r="B10" s="41" t="s">
        <v>459</v>
      </c>
    </row>
    <row r="11" spans="2:13">
      <c r="B11" s="41" t="s">
        <v>460</v>
      </c>
    </row>
    <row r="12" spans="2:13">
      <c r="B12" s="41" t="s">
        <v>461</v>
      </c>
    </row>
    <row r="15" spans="2:13">
      <c r="B15" s="41" t="s">
        <v>462</v>
      </c>
    </row>
    <row r="18" spans="2:10">
      <c r="B18" s="918" t="s">
        <v>463</v>
      </c>
      <c r="C18" s="918"/>
      <c r="D18" s="918"/>
      <c r="E18" s="918"/>
      <c r="F18" s="918"/>
      <c r="G18" s="918"/>
      <c r="H18" s="918"/>
      <c r="I18" s="918"/>
      <c r="J18" s="918"/>
    </row>
    <row r="21" spans="2:10">
      <c r="B21" s="954" t="str">
        <f>+CONCATENATE(B49,B50," ",B51,B52,B53,B54)</f>
        <v xml:space="preserve">              We have pleasure to inform you that we have appointed Matthew S.H. Law Certified Public Accountant (Practising) (BR: 55668582-000), as our tax representatives in respect of all our tax affairs with immediate effect.</v>
      </c>
      <c r="C21" s="954"/>
      <c r="D21" s="954"/>
      <c r="E21" s="954"/>
      <c r="F21" s="954"/>
      <c r="G21" s="954"/>
      <c r="H21" s="954"/>
      <c r="I21" s="954"/>
      <c r="J21" s="954"/>
    </row>
    <row r="22" spans="2:10" ht="33" customHeight="1">
      <c r="B22" s="954"/>
      <c r="C22" s="954"/>
      <c r="D22" s="954"/>
      <c r="E22" s="954"/>
      <c r="F22" s="954"/>
      <c r="G22" s="954"/>
      <c r="H22" s="954"/>
      <c r="I22" s="954"/>
      <c r="J22" s="954"/>
    </row>
    <row r="23" spans="2:10">
      <c r="B23" s="1"/>
    </row>
    <row r="25" spans="2:10">
      <c r="B25" s="258" t="str">
        <f>+CONCATENATE(B58,B59,B60)</f>
        <v>Should there be any queries, please feel free to contact our representative at (852)96621161.</v>
      </c>
    </row>
    <row r="30" spans="2:10">
      <c r="B30" s="41" t="s">
        <v>464</v>
      </c>
    </row>
    <row r="31" spans="2:10">
      <c r="B31" s="41" t="s">
        <v>465</v>
      </c>
    </row>
    <row r="35" spans="2:4">
      <c r="B35" s="44" t="str">
        <f>+Control!D3</f>
        <v>MIC INCORPORATION LIMITED </v>
      </c>
    </row>
    <row r="39" spans="2:4">
      <c r="B39" s="25"/>
      <c r="C39" s="25"/>
      <c r="D39" s="25"/>
    </row>
    <row r="40" spans="2:4">
      <c r="B40" s="257" t="s">
        <v>466</v>
      </c>
    </row>
    <row r="49" spans="2:26" s="610" customFormat="1">
      <c r="B49" s="610" t="s">
        <v>467</v>
      </c>
      <c r="K49" s="727"/>
      <c r="L49" s="727"/>
      <c r="M49" s="727"/>
      <c r="N49" s="727"/>
      <c r="O49" s="727"/>
      <c r="P49" s="727"/>
      <c r="Q49" s="727"/>
      <c r="R49" s="727"/>
      <c r="S49" s="727"/>
      <c r="T49" s="727"/>
      <c r="U49" s="727"/>
      <c r="V49" s="727"/>
      <c r="W49" s="727"/>
      <c r="X49" s="727"/>
      <c r="Y49" s="727"/>
      <c r="Z49" s="727"/>
    </row>
    <row r="50" spans="2:26" s="610" customFormat="1">
      <c r="B50" s="610" t="str">
        <f>+Control!D136</f>
        <v>Matthew S.H. Law</v>
      </c>
      <c r="K50" s="727"/>
      <c r="L50" s="727"/>
      <c r="M50" s="727"/>
      <c r="N50" s="727"/>
      <c r="O50" s="727"/>
      <c r="P50" s="727"/>
      <c r="Q50" s="727"/>
      <c r="R50" s="727"/>
      <c r="S50" s="727"/>
      <c r="T50" s="727"/>
      <c r="U50" s="727"/>
      <c r="V50" s="727"/>
      <c r="W50" s="727"/>
      <c r="X50" s="727"/>
      <c r="Y50" s="727"/>
      <c r="Z50" s="727"/>
    </row>
    <row r="51" spans="2:26" s="610" customFormat="1">
      <c r="B51" s="610" t="str">
        <f>+Control!D137</f>
        <v>Certified Public Accountant (Practising)</v>
      </c>
      <c r="K51" s="727"/>
      <c r="L51" s="727"/>
      <c r="M51" s="727"/>
      <c r="N51" s="727"/>
      <c r="O51" s="727"/>
      <c r="P51" s="727"/>
      <c r="Q51" s="727"/>
      <c r="R51" s="727"/>
      <c r="S51" s="727"/>
      <c r="T51" s="727"/>
      <c r="U51" s="727"/>
      <c r="V51" s="727"/>
      <c r="W51" s="727"/>
      <c r="X51" s="727"/>
      <c r="Y51" s="727"/>
      <c r="Z51" s="727"/>
    </row>
    <row r="52" spans="2:26" s="610" customFormat="1">
      <c r="B52" s="610" t="s">
        <v>468</v>
      </c>
      <c r="K52" s="727"/>
      <c r="L52" s="727"/>
      <c r="M52" s="727"/>
      <c r="N52" s="727"/>
      <c r="O52" s="727"/>
      <c r="P52" s="727"/>
      <c r="Q52" s="727"/>
      <c r="R52" s="727"/>
      <c r="S52" s="727"/>
      <c r="T52" s="727"/>
      <c r="U52" s="727"/>
      <c r="V52" s="727"/>
      <c r="W52" s="727"/>
      <c r="X52" s="727"/>
      <c r="Y52" s="727"/>
      <c r="Z52" s="727"/>
    </row>
    <row r="53" spans="2:26" s="610" customFormat="1">
      <c r="B53" s="610" t="str">
        <f>+Control!D148</f>
        <v>55668582-000</v>
      </c>
      <c r="K53" s="727"/>
      <c r="L53" s="727"/>
      <c r="M53" s="727"/>
      <c r="N53" s="727"/>
      <c r="O53" s="727"/>
      <c r="P53" s="727"/>
      <c r="Q53" s="727"/>
      <c r="R53" s="727"/>
      <c r="S53" s="727"/>
      <c r="T53" s="727"/>
      <c r="U53" s="727"/>
      <c r="V53" s="727"/>
      <c r="W53" s="727"/>
      <c r="X53" s="727"/>
      <c r="Y53" s="727"/>
      <c r="Z53" s="727"/>
    </row>
    <row r="54" spans="2:26" s="610" customFormat="1">
      <c r="B54" s="610" t="s">
        <v>469</v>
      </c>
      <c r="K54" s="727"/>
      <c r="L54" s="727"/>
      <c r="M54" s="727"/>
      <c r="N54" s="727"/>
      <c r="O54" s="727"/>
      <c r="P54" s="727"/>
      <c r="Q54" s="727"/>
      <c r="R54" s="727"/>
      <c r="S54" s="727"/>
      <c r="T54" s="727"/>
      <c r="U54" s="727"/>
      <c r="V54" s="727"/>
      <c r="W54" s="727"/>
      <c r="X54" s="727"/>
      <c r="Y54" s="727"/>
      <c r="Z54" s="727"/>
    </row>
    <row r="55" spans="2:26" s="611" customFormat="1"/>
    <row r="56" spans="2:26" s="611" customFormat="1"/>
    <row r="57" spans="2:26" s="611" customFormat="1"/>
    <row r="58" spans="2:26" s="610" customFormat="1">
      <c r="B58" s="610" t="s">
        <v>470</v>
      </c>
      <c r="K58" s="727"/>
      <c r="L58" s="727"/>
      <c r="M58" s="727"/>
      <c r="N58" s="727"/>
      <c r="O58" s="727"/>
      <c r="P58" s="727"/>
      <c r="Q58" s="727"/>
      <c r="R58" s="727"/>
      <c r="S58" s="727"/>
      <c r="T58" s="727"/>
      <c r="U58" s="727"/>
      <c r="V58" s="727"/>
      <c r="W58" s="727"/>
      <c r="X58" s="727"/>
      <c r="Y58" s="727"/>
      <c r="Z58" s="727"/>
    </row>
    <row r="59" spans="2:26" s="610" customFormat="1">
      <c r="B59" s="610" t="str">
        <f>+Control!D146</f>
        <v>(852)96621161</v>
      </c>
      <c r="K59" s="727"/>
      <c r="L59" s="727"/>
      <c r="M59" s="727"/>
      <c r="N59" s="727"/>
      <c r="O59" s="727"/>
      <c r="P59" s="727"/>
      <c r="Q59" s="727"/>
      <c r="R59" s="727"/>
      <c r="S59" s="727"/>
      <c r="T59" s="727"/>
      <c r="U59" s="727"/>
      <c r="V59" s="727"/>
      <c r="W59" s="727"/>
      <c r="X59" s="727"/>
      <c r="Y59" s="727"/>
      <c r="Z59" s="727"/>
    </row>
    <row r="60" spans="2:26" s="610" customFormat="1">
      <c r="B60" s="610" t="s">
        <v>239</v>
      </c>
      <c r="K60" s="727"/>
      <c r="L60" s="727"/>
      <c r="M60" s="727"/>
      <c r="N60" s="727"/>
      <c r="O60" s="727"/>
      <c r="P60" s="727"/>
      <c r="Q60" s="727"/>
      <c r="R60" s="727"/>
      <c r="S60" s="727"/>
      <c r="T60" s="727"/>
      <c r="U60" s="727"/>
      <c r="V60" s="727"/>
      <c r="W60" s="727"/>
      <c r="X60" s="727"/>
      <c r="Y60" s="727"/>
      <c r="Z60" s="727"/>
    </row>
  </sheetData>
  <mergeCells count="3">
    <mergeCell ref="B3:J3"/>
    <mergeCell ref="B18:J18"/>
    <mergeCell ref="B21:J22"/>
  </mergeCells>
  <phoneticPr fontId="13"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5">
    <pageSetUpPr fitToPage="1"/>
  </sheetPr>
  <dimension ref="A1:M34"/>
  <sheetViews>
    <sheetView topLeftCell="A4" workbookViewId="0">
      <selection activeCell="E23" sqref="E1:K23"/>
    </sheetView>
  </sheetViews>
  <sheetFormatPr defaultRowHeight="15.75"/>
  <cols>
    <col min="1" max="1" width="22.875" style="73" customWidth="1" collapsed="1"/>
    <col min="2" max="2" width="45.5" style="73" customWidth="1" collapsed="1"/>
    <col min="3" max="3" width="12.5" style="73" bestFit="1" customWidth="1" collapsed="1"/>
    <col min="4" max="4" width="13.625" style="103" bestFit="1" customWidth="1" collapsed="1"/>
    <col min="5" max="5" width="9" style="41" collapsed="1"/>
    <col min="6" max="6" width="10.5" style="41" bestFit="1" customWidth="1" collapsed="1"/>
    <col min="7" max="13" width="9" style="41" collapsed="1"/>
    <col min="14" max="256" width="9" style="73" collapsed="1"/>
    <col min="257" max="257" width="22.875" style="73" customWidth="1" collapsed="1"/>
    <col min="258" max="258" width="45.5" style="73" customWidth="1" collapsed="1"/>
    <col min="259" max="259" width="12.5" style="73" bestFit="1" customWidth="1" collapsed="1"/>
    <col min="260" max="260" width="13.625" style="73" bestFit="1" customWidth="1" collapsed="1"/>
    <col min="261" max="512" width="9" style="73" collapsed="1"/>
    <col min="513" max="513" width="22.875" style="73" customWidth="1" collapsed="1"/>
    <col min="514" max="514" width="45.5" style="73" customWidth="1" collapsed="1"/>
    <col min="515" max="515" width="12.5" style="73" bestFit="1" customWidth="1" collapsed="1"/>
    <col min="516" max="516" width="13.625" style="73" bestFit="1" customWidth="1" collapsed="1"/>
    <col min="517" max="768" width="9" style="73" collapsed="1"/>
    <col min="769" max="769" width="22.875" style="73" customWidth="1" collapsed="1"/>
    <col min="770" max="770" width="45.5" style="73" customWidth="1" collapsed="1"/>
    <col min="771" max="771" width="12.5" style="73" bestFit="1" customWidth="1" collapsed="1"/>
    <col min="772" max="772" width="13.625" style="73" bestFit="1" customWidth="1" collapsed="1"/>
    <col min="773" max="1024" width="9" style="73" collapsed="1"/>
    <col min="1025" max="1025" width="22.875" style="73" customWidth="1" collapsed="1"/>
    <col min="1026" max="1026" width="45.5" style="73" customWidth="1" collapsed="1"/>
    <col min="1027" max="1027" width="12.5" style="73" bestFit="1" customWidth="1" collapsed="1"/>
    <col min="1028" max="1028" width="13.625" style="73" bestFit="1" customWidth="1" collapsed="1"/>
    <col min="1029" max="1280" width="9" style="73" collapsed="1"/>
    <col min="1281" max="1281" width="22.875" style="73" customWidth="1" collapsed="1"/>
    <col min="1282" max="1282" width="45.5" style="73" customWidth="1" collapsed="1"/>
    <col min="1283" max="1283" width="12.5" style="73" bestFit="1" customWidth="1" collapsed="1"/>
    <col min="1284" max="1284" width="13.625" style="73" bestFit="1" customWidth="1" collapsed="1"/>
    <col min="1285" max="1536" width="9" style="73" collapsed="1"/>
    <col min="1537" max="1537" width="22.875" style="73" customWidth="1" collapsed="1"/>
    <col min="1538" max="1538" width="45.5" style="73" customWidth="1" collapsed="1"/>
    <col min="1539" max="1539" width="12.5" style="73" bestFit="1" customWidth="1" collapsed="1"/>
    <col min="1540" max="1540" width="13.625" style="73" bestFit="1" customWidth="1" collapsed="1"/>
    <col min="1541" max="1792" width="9" style="73" collapsed="1"/>
    <col min="1793" max="1793" width="22.875" style="73" customWidth="1" collapsed="1"/>
    <col min="1794" max="1794" width="45.5" style="73" customWidth="1" collapsed="1"/>
    <col min="1795" max="1795" width="12.5" style="73" bestFit="1" customWidth="1" collapsed="1"/>
    <col min="1796" max="1796" width="13.625" style="73" bestFit="1" customWidth="1" collapsed="1"/>
    <col min="1797" max="2048" width="9" style="73" collapsed="1"/>
    <col min="2049" max="2049" width="22.875" style="73" customWidth="1" collapsed="1"/>
    <col min="2050" max="2050" width="45.5" style="73" customWidth="1" collapsed="1"/>
    <col min="2051" max="2051" width="12.5" style="73" bestFit="1" customWidth="1" collapsed="1"/>
    <col min="2052" max="2052" width="13.625" style="73" bestFit="1" customWidth="1" collapsed="1"/>
    <col min="2053" max="2304" width="9" style="73" collapsed="1"/>
    <col min="2305" max="2305" width="22.875" style="73" customWidth="1" collapsed="1"/>
    <col min="2306" max="2306" width="45.5" style="73" customWidth="1" collapsed="1"/>
    <col min="2307" max="2307" width="12.5" style="73" bestFit="1" customWidth="1" collapsed="1"/>
    <col min="2308" max="2308" width="13.625" style="73" bestFit="1" customWidth="1" collapsed="1"/>
    <col min="2309" max="2560" width="9" style="73" collapsed="1"/>
    <col min="2561" max="2561" width="22.875" style="73" customWidth="1" collapsed="1"/>
    <col min="2562" max="2562" width="45.5" style="73" customWidth="1" collapsed="1"/>
    <col min="2563" max="2563" width="12.5" style="73" bestFit="1" customWidth="1" collapsed="1"/>
    <col min="2564" max="2564" width="13.625" style="73" bestFit="1" customWidth="1" collapsed="1"/>
    <col min="2565" max="2816" width="9" style="73" collapsed="1"/>
    <col min="2817" max="2817" width="22.875" style="73" customWidth="1" collapsed="1"/>
    <col min="2818" max="2818" width="45.5" style="73" customWidth="1" collapsed="1"/>
    <col min="2819" max="2819" width="12.5" style="73" bestFit="1" customWidth="1" collapsed="1"/>
    <col min="2820" max="2820" width="13.625" style="73" bestFit="1" customWidth="1" collapsed="1"/>
    <col min="2821" max="3072" width="9" style="73" collapsed="1"/>
    <col min="3073" max="3073" width="22.875" style="73" customWidth="1" collapsed="1"/>
    <col min="3074" max="3074" width="45.5" style="73" customWidth="1" collapsed="1"/>
    <col min="3075" max="3075" width="12.5" style="73" bestFit="1" customWidth="1" collapsed="1"/>
    <col min="3076" max="3076" width="13.625" style="73" bestFit="1" customWidth="1" collapsed="1"/>
    <col min="3077" max="3328" width="9" style="73" collapsed="1"/>
    <col min="3329" max="3329" width="22.875" style="73" customWidth="1" collapsed="1"/>
    <col min="3330" max="3330" width="45.5" style="73" customWidth="1" collapsed="1"/>
    <col min="3331" max="3331" width="12.5" style="73" bestFit="1" customWidth="1" collapsed="1"/>
    <col min="3332" max="3332" width="13.625" style="73" bestFit="1" customWidth="1" collapsed="1"/>
    <col min="3333" max="3584" width="9" style="73" collapsed="1"/>
    <col min="3585" max="3585" width="22.875" style="73" customWidth="1" collapsed="1"/>
    <col min="3586" max="3586" width="45.5" style="73" customWidth="1" collapsed="1"/>
    <col min="3587" max="3587" width="12.5" style="73" bestFit="1" customWidth="1" collapsed="1"/>
    <col min="3588" max="3588" width="13.625" style="73" bestFit="1" customWidth="1" collapsed="1"/>
    <col min="3589" max="3840" width="9" style="73" collapsed="1"/>
    <col min="3841" max="3841" width="22.875" style="73" customWidth="1" collapsed="1"/>
    <col min="3842" max="3842" width="45.5" style="73" customWidth="1" collapsed="1"/>
    <col min="3843" max="3843" width="12.5" style="73" bestFit="1" customWidth="1" collapsed="1"/>
    <col min="3844" max="3844" width="13.625" style="73" bestFit="1" customWidth="1" collapsed="1"/>
    <col min="3845" max="4096" width="9" style="73" collapsed="1"/>
    <col min="4097" max="4097" width="22.875" style="73" customWidth="1" collapsed="1"/>
    <col min="4098" max="4098" width="45.5" style="73" customWidth="1" collapsed="1"/>
    <col min="4099" max="4099" width="12.5" style="73" bestFit="1" customWidth="1" collapsed="1"/>
    <col min="4100" max="4100" width="13.625" style="73" bestFit="1" customWidth="1" collapsed="1"/>
    <col min="4101" max="4352" width="9" style="73" collapsed="1"/>
    <col min="4353" max="4353" width="22.875" style="73" customWidth="1" collapsed="1"/>
    <col min="4354" max="4354" width="45.5" style="73" customWidth="1" collapsed="1"/>
    <col min="4355" max="4355" width="12.5" style="73" bestFit="1" customWidth="1" collapsed="1"/>
    <col min="4356" max="4356" width="13.625" style="73" bestFit="1" customWidth="1" collapsed="1"/>
    <col min="4357" max="4608" width="9" style="73" collapsed="1"/>
    <col min="4609" max="4609" width="22.875" style="73" customWidth="1" collapsed="1"/>
    <col min="4610" max="4610" width="45.5" style="73" customWidth="1" collapsed="1"/>
    <col min="4611" max="4611" width="12.5" style="73" bestFit="1" customWidth="1" collapsed="1"/>
    <col min="4612" max="4612" width="13.625" style="73" bestFit="1" customWidth="1" collapsed="1"/>
    <col min="4613" max="4864" width="9" style="73" collapsed="1"/>
    <col min="4865" max="4865" width="22.875" style="73" customWidth="1" collapsed="1"/>
    <col min="4866" max="4866" width="45.5" style="73" customWidth="1" collapsed="1"/>
    <col min="4867" max="4867" width="12.5" style="73" bestFit="1" customWidth="1" collapsed="1"/>
    <col min="4868" max="4868" width="13.625" style="73" bestFit="1" customWidth="1" collapsed="1"/>
    <col min="4869" max="5120" width="9" style="73" collapsed="1"/>
    <col min="5121" max="5121" width="22.875" style="73" customWidth="1" collapsed="1"/>
    <col min="5122" max="5122" width="45.5" style="73" customWidth="1" collapsed="1"/>
    <col min="5123" max="5123" width="12.5" style="73" bestFit="1" customWidth="1" collapsed="1"/>
    <col min="5124" max="5124" width="13.625" style="73" bestFit="1" customWidth="1" collapsed="1"/>
    <col min="5125" max="5376" width="9" style="73" collapsed="1"/>
    <col min="5377" max="5377" width="22.875" style="73" customWidth="1" collapsed="1"/>
    <col min="5378" max="5378" width="45.5" style="73" customWidth="1" collapsed="1"/>
    <col min="5379" max="5379" width="12.5" style="73" bestFit="1" customWidth="1" collapsed="1"/>
    <col min="5380" max="5380" width="13.625" style="73" bestFit="1" customWidth="1" collapsed="1"/>
    <col min="5381" max="5632" width="9" style="73" collapsed="1"/>
    <col min="5633" max="5633" width="22.875" style="73" customWidth="1" collapsed="1"/>
    <col min="5634" max="5634" width="45.5" style="73" customWidth="1" collapsed="1"/>
    <col min="5635" max="5635" width="12.5" style="73" bestFit="1" customWidth="1" collapsed="1"/>
    <col min="5636" max="5636" width="13.625" style="73" bestFit="1" customWidth="1" collapsed="1"/>
    <col min="5637" max="5888" width="9" style="73" collapsed="1"/>
    <col min="5889" max="5889" width="22.875" style="73" customWidth="1" collapsed="1"/>
    <col min="5890" max="5890" width="45.5" style="73" customWidth="1" collapsed="1"/>
    <col min="5891" max="5891" width="12.5" style="73" bestFit="1" customWidth="1" collapsed="1"/>
    <col min="5892" max="5892" width="13.625" style="73" bestFit="1" customWidth="1" collapsed="1"/>
    <col min="5893" max="6144" width="9" style="73" collapsed="1"/>
    <col min="6145" max="6145" width="22.875" style="73" customWidth="1" collapsed="1"/>
    <col min="6146" max="6146" width="45.5" style="73" customWidth="1" collapsed="1"/>
    <col min="6147" max="6147" width="12.5" style="73" bestFit="1" customWidth="1" collapsed="1"/>
    <col min="6148" max="6148" width="13.625" style="73" bestFit="1" customWidth="1" collapsed="1"/>
    <col min="6149" max="6400" width="9" style="73" collapsed="1"/>
    <col min="6401" max="6401" width="22.875" style="73" customWidth="1" collapsed="1"/>
    <col min="6402" max="6402" width="45.5" style="73" customWidth="1" collapsed="1"/>
    <col min="6403" max="6403" width="12.5" style="73" bestFit="1" customWidth="1" collapsed="1"/>
    <col min="6404" max="6404" width="13.625" style="73" bestFit="1" customWidth="1" collapsed="1"/>
    <col min="6405" max="6656" width="9" style="73" collapsed="1"/>
    <col min="6657" max="6657" width="22.875" style="73" customWidth="1" collapsed="1"/>
    <col min="6658" max="6658" width="45.5" style="73" customWidth="1" collapsed="1"/>
    <col min="6659" max="6659" width="12.5" style="73" bestFit="1" customWidth="1" collapsed="1"/>
    <col min="6660" max="6660" width="13.625" style="73" bestFit="1" customWidth="1" collapsed="1"/>
    <col min="6661" max="6912" width="9" style="73" collapsed="1"/>
    <col min="6913" max="6913" width="22.875" style="73" customWidth="1" collapsed="1"/>
    <col min="6914" max="6914" width="45.5" style="73" customWidth="1" collapsed="1"/>
    <col min="6915" max="6915" width="12.5" style="73" bestFit="1" customWidth="1" collapsed="1"/>
    <col min="6916" max="6916" width="13.625" style="73" bestFit="1" customWidth="1" collapsed="1"/>
    <col min="6917" max="7168" width="9" style="73" collapsed="1"/>
    <col min="7169" max="7169" width="22.875" style="73" customWidth="1" collapsed="1"/>
    <col min="7170" max="7170" width="45.5" style="73" customWidth="1" collapsed="1"/>
    <col min="7171" max="7171" width="12.5" style="73" bestFit="1" customWidth="1" collapsed="1"/>
    <col min="7172" max="7172" width="13.625" style="73" bestFit="1" customWidth="1" collapsed="1"/>
    <col min="7173" max="7424" width="9" style="73" collapsed="1"/>
    <col min="7425" max="7425" width="22.875" style="73" customWidth="1" collapsed="1"/>
    <col min="7426" max="7426" width="45.5" style="73" customWidth="1" collapsed="1"/>
    <col min="7427" max="7427" width="12.5" style="73" bestFit="1" customWidth="1" collapsed="1"/>
    <col min="7428" max="7428" width="13.625" style="73" bestFit="1" customWidth="1" collapsed="1"/>
    <col min="7429" max="7680" width="9" style="73" collapsed="1"/>
    <col min="7681" max="7681" width="22.875" style="73" customWidth="1" collapsed="1"/>
    <col min="7682" max="7682" width="45.5" style="73" customWidth="1" collapsed="1"/>
    <col min="7683" max="7683" width="12.5" style="73" bestFit="1" customWidth="1" collapsed="1"/>
    <col min="7684" max="7684" width="13.625" style="73" bestFit="1" customWidth="1" collapsed="1"/>
    <col min="7685" max="7936" width="9" style="73" collapsed="1"/>
    <col min="7937" max="7937" width="22.875" style="73" customWidth="1" collapsed="1"/>
    <col min="7938" max="7938" width="45.5" style="73" customWidth="1" collapsed="1"/>
    <col min="7939" max="7939" width="12.5" style="73" bestFit="1" customWidth="1" collapsed="1"/>
    <col min="7940" max="7940" width="13.625" style="73" bestFit="1" customWidth="1" collapsed="1"/>
    <col min="7941" max="8192" width="9" style="73" collapsed="1"/>
    <col min="8193" max="8193" width="22.875" style="73" customWidth="1" collapsed="1"/>
    <col min="8194" max="8194" width="45.5" style="73" customWidth="1" collapsed="1"/>
    <col min="8195" max="8195" width="12.5" style="73" bestFit="1" customWidth="1" collapsed="1"/>
    <col min="8196" max="8196" width="13.625" style="73" bestFit="1" customWidth="1" collapsed="1"/>
    <col min="8197" max="8448" width="9" style="73" collapsed="1"/>
    <col min="8449" max="8449" width="22.875" style="73" customWidth="1" collapsed="1"/>
    <col min="8450" max="8450" width="45.5" style="73" customWidth="1" collapsed="1"/>
    <col min="8451" max="8451" width="12.5" style="73" bestFit="1" customWidth="1" collapsed="1"/>
    <col min="8452" max="8452" width="13.625" style="73" bestFit="1" customWidth="1" collapsed="1"/>
    <col min="8453" max="8704" width="9" style="73" collapsed="1"/>
    <col min="8705" max="8705" width="22.875" style="73" customWidth="1" collapsed="1"/>
    <col min="8706" max="8706" width="45.5" style="73" customWidth="1" collapsed="1"/>
    <col min="8707" max="8707" width="12.5" style="73" bestFit="1" customWidth="1" collapsed="1"/>
    <col min="8708" max="8708" width="13.625" style="73" bestFit="1" customWidth="1" collapsed="1"/>
    <col min="8709" max="8960" width="9" style="73" collapsed="1"/>
    <col min="8961" max="8961" width="22.875" style="73" customWidth="1" collapsed="1"/>
    <col min="8962" max="8962" width="45.5" style="73" customWidth="1" collapsed="1"/>
    <col min="8963" max="8963" width="12.5" style="73" bestFit="1" customWidth="1" collapsed="1"/>
    <col min="8964" max="8964" width="13.625" style="73" bestFit="1" customWidth="1" collapsed="1"/>
    <col min="8965" max="9216" width="9" style="73" collapsed="1"/>
    <col min="9217" max="9217" width="22.875" style="73" customWidth="1" collapsed="1"/>
    <col min="9218" max="9218" width="45.5" style="73" customWidth="1" collapsed="1"/>
    <col min="9219" max="9219" width="12.5" style="73" bestFit="1" customWidth="1" collapsed="1"/>
    <col min="9220" max="9220" width="13.625" style="73" bestFit="1" customWidth="1" collapsed="1"/>
    <col min="9221" max="9472" width="9" style="73" collapsed="1"/>
    <col min="9473" max="9473" width="22.875" style="73" customWidth="1" collapsed="1"/>
    <col min="9474" max="9474" width="45.5" style="73" customWidth="1" collapsed="1"/>
    <col min="9475" max="9475" width="12.5" style="73" bestFit="1" customWidth="1" collapsed="1"/>
    <col min="9476" max="9476" width="13.625" style="73" bestFit="1" customWidth="1" collapsed="1"/>
    <col min="9477" max="9728" width="9" style="73" collapsed="1"/>
    <col min="9729" max="9729" width="22.875" style="73" customWidth="1" collapsed="1"/>
    <col min="9730" max="9730" width="45.5" style="73" customWidth="1" collapsed="1"/>
    <col min="9731" max="9731" width="12.5" style="73" bestFit="1" customWidth="1" collapsed="1"/>
    <col min="9732" max="9732" width="13.625" style="73" bestFit="1" customWidth="1" collapsed="1"/>
    <col min="9733" max="9984" width="9" style="73" collapsed="1"/>
    <col min="9985" max="9985" width="22.875" style="73" customWidth="1" collapsed="1"/>
    <col min="9986" max="9986" width="45.5" style="73" customWidth="1" collapsed="1"/>
    <col min="9987" max="9987" width="12.5" style="73" bestFit="1" customWidth="1" collapsed="1"/>
    <col min="9988" max="9988" width="13.625" style="73" bestFit="1" customWidth="1" collapsed="1"/>
    <col min="9989" max="10240" width="9" style="73" collapsed="1"/>
    <col min="10241" max="10241" width="22.875" style="73" customWidth="1" collapsed="1"/>
    <col min="10242" max="10242" width="45.5" style="73" customWidth="1" collapsed="1"/>
    <col min="10243" max="10243" width="12.5" style="73" bestFit="1" customWidth="1" collapsed="1"/>
    <col min="10244" max="10244" width="13.625" style="73" bestFit="1" customWidth="1" collapsed="1"/>
    <col min="10245" max="10496" width="9" style="73" collapsed="1"/>
    <col min="10497" max="10497" width="22.875" style="73" customWidth="1" collapsed="1"/>
    <col min="10498" max="10498" width="45.5" style="73" customWidth="1" collapsed="1"/>
    <col min="10499" max="10499" width="12.5" style="73" bestFit="1" customWidth="1" collapsed="1"/>
    <col min="10500" max="10500" width="13.625" style="73" bestFit="1" customWidth="1" collapsed="1"/>
    <col min="10501" max="10752" width="9" style="73" collapsed="1"/>
    <col min="10753" max="10753" width="22.875" style="73" customWidth="1" collapsed="1"/>
    <col min="10754" max="10754" width="45.5" style="73" customWidth="1" collapsed="1"/>
    <col min="10755" max="10755" width="12.5" style="73" bestFit="1" customWidth="1" collapsed="1"/>
    <col min="10756" max="10756" width="13.625" style="73" bestFit="1" customWidth="1" collapsed="1"/>
    <col min="10757" max="11008" width="9" style="73" collapsed="1"/>
    <col min="11009" max="11009" width="22.875" style="73" customWidth="1" collapsed="1"/>
    <col min="11010" max="11010" width="45.5" style="73" customWidth="1" collapsed="1"/>
    <col min="11011" max="11011" width="12.5" style="73" bestFit="1" customWidth="1" collapsed="1"/>
    <col min="11012" max="11012" width="13.625" style="73" bestFit="1" customWidth="1" collapsed="1"/>
    <col min="11013" max="11264" width="9" style="73" collapsed="1"/>
    <col min="11265" max="11265" width="22.875" style="73" customWidth="1" collapsed="1"/>
    <col min="11266" max="11266" width="45.5" style="73" customWidth="1" collapsed="1"/>
    <col min="11267" max="11267" width="12.5" style="73" bestFit="1" customWidth="1" collapsed="1"/>
    <col min="11268" max="11268" width="13.625" style="73" bestFit="1" customWidth="1" collapsed="1"/>
    <col min="11269" max="11520" width="9" style="73" collapsed="1"/>
    <col min="11521" max="11521" width="22.875" style="73" customWidth="1" collapsed="1"/>
    <col min="11522" max="11522" width="45.5" style="73" customWidth="1" collapsed="1"/>
    <col min="11523" max="11523" width="12.5" style="73" bestFit="1" customWidth="1" collapsed="1"/>
    <col min="11524" max="11524" width="13.625" style="73" bestFit="1" customWidth="1" collapsed="1"/>
    <col min="11525" max="11776" width="9" style="73" collapsed="1"/>
    <col min="11777" max="11777" width="22.875" style="73" customWidth="1" collapsed="1"/>
    <col min="11778" max="11778" width="45.5" style="73" customWidth="1" collapsed="1"/>
    <col min="11779" max="11779" width="12.5" style="73" bestFit="1" customWidth="1" collapsed="1"/>
    <col min="11780" max="11780" width="13.625" style="73" bestFit="1" customWidth="1" collapsed="1"/>
    <col min="11781" max="12032" width="9" style="73" collapsed="1"/>
    <col min="12033" max="12033" width="22.875" style="73" customWidth="1" collapsed="1"/>
    <col min="12034" max="12034" width="45.5" style="73" customWidth="1" collapsed="1"/>
    <col min="12035" max="12035" width="12.5" style="73" bestFit="1" customWidth="1" collapsed="1"/>
    <col min="12036" max="12036" width="13.625" style="73" bestFit="1" customWidth="1" collapsed="1"/>
    <col min="12037" max="12288" width="9" style="73" collapsed="1"/>
    <col min="12289" max="12289" width="22.875" style="73" customWidth="1" collapsed="1"/>
    <col min="12290" max="12290" width="45.5" style="73" customWidth="1" collapsed="1"/>
    <col min="12291" max="12291" width="12.5" style="73" bestFit="1" customWidth="1" collapsed="1"/>
    <col min="12292" max="12292" width="13.625" style="73" bestFit="1" customWidth="1" collapsed="1"/>
    <col min="12293" max="12544" width="9" style="73" collapsed="1"/>
    <col min="12545" max="12545" width="22.875" style="73" customWidth="1" collapsed="1"/>
    <col min="12546" max="12546" width="45.5" style="73" customWidth="1" collapsed="1"/>
    <col min="12547" max="12547" width="12.5" style="73" bestFit="1" customWidth="1" collapsed="1"/>
    <col min="12548" max="12548" width="13.625" style="73" bestFit="1" customWidth="1" collapsed="1"/>
    <col min="12549" max="12800" width="9" style="73" collapsed="1"/>
    <col min="12801" max="12801" width="22.875" style="73" customWidth="1" collapsed="1"/>
    <col min="12802" max="12802" width="45.5" style="73" customWidth="1" collapsed="1"/>
    <col min="12803" max="12803" width="12.5" style="73" bestFit="1" customWidth="1" collapsed="1"/>
    <col min="12804" max="12804" width="13.625" style="73" bestFit="1" customWidth="1" collapsed="1"/>
    <col min="12805" max="13056" width="9" style="73" collapsed="1"/>
    <col min="13057" max="13057" width="22.875" style="73" customWidth="1" collapsed="1"/>
    <col min="13058" max="13058" width="45.5" style="73" customWidth="1" collapsed="1"/>
    <col min="13059" max="13059" width="12.5" style="73" bestFit="1" customWidth="1" collapsed="1"/>
    <col min="13060" max="13060" width="13.625" style="73" bestFit="1" customWidth="1" collapsed="1"/>
    <col min="13061" max="13312" width="9" style="73" collapsed="1"/>
    <col min="13313" max="13313" width="22.875" style="73" customWidth="1" collapsed="1"/>
    <col min="13314" max="13314" width="45.5" style="73" customWidth="1" collapsed="1"/>
    <col min="13315" max="13315" width="12.5" style="73" bestFit="1" customWidth="1" collapsed="1"/>
    <col min="13316" max="13316" width="13.625" style="73" bestFit="1" customWidth="1" collapsed="1"/>
    <col min="13317" max="13568" width="9" style="73" collapsed="1"/>
    <col min="13569" max="13569" width="22.875" style="73" customWidth="1" collapsed="1"/>
    <col min="13570" max="13570" width="45.5" style="73" customWidth="1" collapsed="1"/>
    <col min="13571" max="13571" width="12.5" style="73" bestFit="1" customWidth="1" collapsed="1"/>
    <col min="13572" max="13572" width="13.625" style="73" bestFit="1" customWidth="1" collapsed="1"/>
    <col min="13573" max="13824" width="9" style="73" collapsed="1"/>
    <col min="13825" max="13825" width="22.875" style="73" customWidth="1" collapsed="1"/>
    <col min="13826" max="13826" width="45.5" style="73" customWidth="1" collapsed="1"/>
    <col min="13827" max="13827" width="12.5" style="73" bestFit="1" customWidth="1" collapsed="1"/>
    <col min="13828" max="13828" width="13.625" style="73" bestFit="1" customWidth="1" collapsed="1"/>
    <col min="13829" max="14080" width="9" style="73" collapsed="1"/>
    <col min="14081" max="14081" width="22.875" style="73" customWidth="1" collapsed="1"/>
    <col min="14082" max="14082" width="45.5" style="73" customWidth="1" collapsed="1"/>
    <col min="14083" max="14083" width="12.5" style="73" bestFit="1" customWidth="1" collapsed="1"/>
    <col min="14084" max="14084" width="13.625" style="73" bestFit="1" customWidth="1" collapsed="1"/>
    <col min="14085" max="14336" width="9" style="73" collapsed="1"/>
    <col min="14337" max="14337" width="22.875" style="73" customWidth="1" collapsed="1"/>
    <col min="14338" max="14338" width="45.5" style="73" customWidth="1" collapsed="1"/>
    <col min="14339" max="14339" width="12.5" style="73" bestFit="1" customWidth="1" collapsed="1"/>
    <col min="14340" max="14340" width="13.625" style="73" bestFit="1" customWidth="1" collapsed="1"/>
    <col min="14341" max="14592" width="9" style="73" collapsed="1"/>
    <col min="14593" max="14593" width="22.875" style="73" customWidth="1" collapsed="1"/>
    <col min="14594" max="14594" width="45.5" style="73" customWidth="1" collapsed="1"/>
    <col min="14595" max="14595" width="12.5" style="73" bestFit="1" customWidth="1" collapsed="1"/>
    <col min="14596" max="14596" width="13.625" style="73" bestFit="1" customWidth="1" collapsed="1"/>
    <col min="14597" max="14848" width="9" style="73" collapsed="1"/>
    <col min="14849" max="14849" width="22.875" style="73" customWidth="1" collapsed="1"/>
    <col min="14850" max="14850" width="45.5" style="73" customWidth="1" collapsed="1"/>
    <col min="14851" max="14851" width="12.5" style="73" bestFit="1" customWidth="1" collapsed="1"/>
    <col min="14852" max="14852" width="13.625" style="73" bestFit="1" customWidth="1" collapsed="1"/>
    <col min="14853" max="15104" width="9" style="73" collapsed="1"/>
    <col min="15105" max="15105" width="22.875" style="73" customWidth="1" collapsed="1"/>
    <col min="15106" max="15106" width="45.5" style="73" customWidth="1" collapsed="1"/>
    <col min="15107" max="15107" width="12.5" style="73" bestFit="1" customWidth="1" collapsed="1"/>
    <col min="15108" max="15108" width="13.625" style="73" bestFit="1" customWidth="1" collapsed="1"/>
    <col min="15109" max="15360" width="9" style="73" collapsed="1"/>
    <col min="15361" max="15361" width="22.875" style="73" customWidth="1" collapsed="1"/>
    <col min="15362" max="15362" width="45.5" style="73" customWidth="1" collapsed="1"/>
    <col min="15363" max="15363" width="12.5" style="73" bestFit="1" customWidth="1" collapsed="1"/>
    <col min="15364" max="15364" width="13.625" style="73" bestFit="1" customWidth="1" collapsed="1"/>
    <col min="15365" max="15616" width="9" style="73" collapsed="1"/>
    <col min="15617" max="15617" width="22.875" style="73" customWidth="1" collapsed="1"/>
    <col min="15618" max="15618" width="45.5" style="73" customWidth="1" collapsed="1"/>
    <col min="15619" max="15619" width="12.5" style="73" bestFit="1" customWidth="1" collapsed="1"/>
    <col min="15620" max="15620" width="13.625" style="73" bestFit="1" customWidth="1" collapsed="1"/>
    <col min="15621" max="15872" width="9" style="73" collapsed="1"/>
    <col min="15873" max="15873" width="22.875" style="73" customWidth="1" collapsed="1"/>
    <col min="15874" max="15874" width="45.5" style="73" customWidth="1" collapsed="1"/>
    <col min="15875" max="15875" width="12.5" style="73" bestFit="1" customWidth="1" collapsed="1"/>
    <col min="15876" max="15876" width="13.625" style="73" bestFit="1" customWidth="1" collapsed="1"/>
    <col min="15877" max="16128" width="9" style="73" collapsed="1"/>
    <col min="16129" max="16129" width="22.875" style="73" customWidth="1" collapsed="1"/>
    <col min="16130" max="16130" width="45.5" style="73" customWidth="1" collapsed="1"/>
    <col min="16131" max="16131" width="12.5" style="73" bestFit="1" customWidth="1" collapsed="1"/>
    <col min="16132" max="16132" width="13.625" style="73" bestFit="1" customWidth="1" collapsed="1"/>
    <col min="16133" max="16384" width="9" style="73" collapsed="1"/>
  </cols>
  <sheetData>
    <row r="1" spans="1:11">
      <c r="A1" s="956" t="str">
        <f>+Control!D3</f>
        <v>MIC INCORPORATION LIMITED </v>
      </c>
      <c r="B1" s="956"/>
      <c r="C1" s="956"/>
      <c r="D1" s="956"/>
      <c r="E1" s="612"/>
      <c r="F1" s="612"/>
      <c r="G1" s="612"/>
      <c r="H1" s="612"/>
      <c r="I1" s="612"/>
      <c r="J1" s="612"/>
      <c r="K1" s="612"/>
    </row>
    <row r="2" spans="1:11">
      <c r="A2" s="100"/>
      <c r="B2" s="100"/>
      <c r="C2" s="100"/>
      <c r="D2" s="101"/>
      <c r="E2" s="612"/>
      <c r="F2" s="612"/>
      <c r="G2" s="612"/>
      <c r="H2" s="612"/>
      <c r="I2" s="612"/>
      <c r="J2" s="612"/>
      <c r="K2" s="612"/>
    </row>
    <row r="3" spans="1:11">
      <c r="A3" s="956" t="str">
        <f>+CONCATENATE(E3,F3)</f>
        <v>FILE NO. : 65476707-000</v>
      </c>
      <c r="B3" s="956"/>
      <c r="C3" s="956"/>
      <c r="D3" s="956"/>
      <c r="E3" s="612" t="s">
        <v>471</v>
      </c>
      <c r="F3" s="612" t="str">
        <f>+Control!D75</f>
        <v>65476707-000</v>
      </c>
      <c r="G3" s="612"/>
      <c r="H3" s="612"/>
      <c r="I3" s="612"/>
      <c r="J3" s="612"/>
      <c r="K3" s="612"/>
    </row>
    <row r="4" spans="1:11">
      <c r="A4" s="100"/>
      <c r="B4" s="100"/>
      <c r="C4" s="100"/>
      <c r="D4" s="101"/>
      <c r="E4" s="612"/>
      <c r="F4" s="612"/>
      <c r="G4" s="612"/>
      <c r="H4" s="612"/>
      <c r="I4" s="612"/>
      <c r="J4" s="612"/>
      <c r="K4" s="612"/>
    </row>
    <row r="5" spans="1:11">
      <c r="A5" s="956" t="s">
        <v>472</v>
      </c>
      <c r="B5" s="956"/>
      <c r="C5" s="956"/>
      <c r="D5" s="956"/>
      <c r="E5" s="612"/>
      <c r="F5" s="612"/>
      <c r="G5" s="612"/>
      <c r="H5" s="612"/>
      <c r="I5" s="612"/>
      <c r="J5" s="612"/>
      <c r="K5" s="612"/>
    </row>
    <row r="6" spans="1:11">
      <c r="A6" s="100"/>
      <c r="B6" s="100"/>
      <c r="C6" s="100"/>
      <c r="D6" s="101"/>
      <c r="E6" s="612"/>
      <c r="F6" s="612"/>
      <c r="G6" s="612"/>
      <c r="H6" s="612"/>
      <c r="I6" s="612"/>
      <c r="J6" s="612"/>
      <c r="K6" s="612"/>
    </row>
    <row r="7" spans="1:11">
      <c r="A7" s="956" t="s">
        <v>473</v>
      </c>
      <c r="B7" s="956"/>
      <c r="C7" s="956"/>
      <c r="D7" s="956"/>
      <c r="E7" s="612"/>
      <c r="F7" s="612"/>
      <c r="G7" s="612"/>
      <c r="H7" s="612"/>
      <c r="I7" s="612"/>
      <c r="J7" s="612"/>
      <c r="K7" s="612"/>
    </row>
    <row r="8" spans="1:11">
      <c r="A8" s="100"/>
      <c r="B8" s="100"/>
      <c r="C8" s="100"/>
      <c r="D8" s="101"/>
      <c r="E8" s="612"/>
      <c r="F8" s="612"/>
      <c r="G8" s="612"/>
      <c r="H8" s="612"/>
      <c r="I8" s="612"/>
      <c r="J8" s="612"/>
      <c r="K8" s="612"/>
    </row>
    <row r="9" spans="1:11">
      <c r="A9" s="957" t="str">
        <f>+Control!D120</f>
        <v>2016/17</v>
      </c>
      <c r="B9" s="957"/>
      <c r="C9" s="957"/>
      <c r="D9" s="957"/>
      <c r="E9" s="612"/>
      <c r="F9" s="612"/>
      <c r="G9" s="612"/>
      <c r="H9" s="612"/>
      <c r="I9" s="612"/>
      <c r="J9" s="612"/>
      <c r="K9" s="612"/>
    </row>
    <row r="10" spans="1:11" ht="40.5" customHeight="1">
      <c r="A10" s="955" t="str">
        <f>+CONCATENATE(E10,Control!D122,'T com dor'!E11)</f>
        <v>(Basis Period: p.e. From 2 March, 2014 to 31 December, 2016)</v>
      </c>
      <c r="B10" s="955"/>
      <c r="C10" s="955"/>
      <c r="D10" s="955"/>
      <c r="E10" s="612" t="s">
        <v>474</v>
      </c>
      <c r="F10" s="612"/>
      <c r="G10" s="612"/>
      <c r="H10" s="612"/>
      <c r="I10" s="612"/>
      <c r="J10" s="612"/>
      <c r="K10" s="612"/>
    </row>
    <row r="11" spans="1:11">
      <c r="A11" s="102"/>
      <c r="B11" s="102"/>
      <c r="C11" s="102"/>
      <c r="D11" s="452"/>
      <c r="E11" s="612" t="s">
        <v>5</v>
      </c>
      <c r="F11" s="612"/>
      <c r="G11" s="612"/>
      <c r="H11" s="612"/>
      <c r="I11" s="612"/>
      <c r="J11" s="612"/>
      <c r="K11" s="612"/>
    </row>
    <row r="12" spans="1:11">
      <c r="D12" s="451" t="str">
        <f>+Control!D68</f>
        <v>US$</v>
      </c>
      <c r="E12" s="612"/>
      <c r="F12" s="612"/>
      <c r="G12" s="612"/>
      <c r="H12" s="612"/>
      <c r="I12" s="612"/>
      <c r="J12" s="612"/>
      <c r="K12" s="612"/>
    </row>
    <row r="13" spans="1:11">
      <c r="E13" s="612"/>
      <c r="F13" s="612"/>
      <c r="G13" s="612"/>
      <c r="H13" s="612"/>
      <c r="I13" s="612"/>
      <c r="J13" s="612"/>
      <c r="K13" s="612"/>
    </row>
    <row r="14" spans="1:11">
      <c r="A14" s="73" t="str">
        <f>+IF(D14&lt;1,"LOSS:","PROFIT:")</f>
        <v>LOSS:</v>
      </c>
      <c r="B14" s="73" t="s">
        <v>475</v>
      </c>
      <c r="D14" s="104">
        <f>+Control!D114</f>
        <v>0</v>
      </c>
      <c r="E14" s="612" t="s">
        <v>476</v>
      </c>
      <c r="F14" s="607">
        <v>1</v>
      </c>
      <c r="G14" s="612" t="s">
        <v>477</v>
      </c>
      <c r="H14" s="612"/>
      <c r="I14" s="612"/>
      <c r="J14" s="612"/>
      <c r="K14" s="612"/>
    </row>
    <row r="15" spans="1:11">
      <c r="B15" s="73" t="s">
        <v>478</v>
      </c>
      <c r="C15" s="105"/>
      <c r="E15" s="612"/>
      <c r="F15" s="612"/>
      <c r="G15" s="612"/>
      <c r="H15" s="612"/>
      <c r="I15" s="612"/>
      <c r="J15" s="612"/>
      <c r="K15" s="612"/>
    </row>
    <row r="16" spans="1:11">
      <c r="C16" s="105"/>
      <c r="D16" s="104"/>
      <c r="E16" s="612"/>
      <c r="F16" s="612"/>
      <c r="G16" s="612"/>
      <c r="H16" s="612"/>
      <c r="I16" s="612"/>
      <c r="J16" s="612"/>
      <c r="K16" s="612"/>
    </row>
    <row r="17" spans="1:11">
      <c r="A17" s="73" t="str">
        <f>IF(F14=0,IF(Control!D124=0," ","LESS:"),"ADD:")</f>
        <v>ADD:</v>
      </c>
      <c r="B17" s="73" t="str">
        <f>IF(F14=0,IF(Control!D124=0," ","Interest income"),"Inactive loss")</f>
        <v>Inactive loss</v>
      </c>
      <c r="C17" s="105"/>
      <c r="D17" s="108">
        <f>IF(F14=0,IF(Control!D124=0," ",Control!D124),-D14)</f>
        <v>0</v>
      </c>
      <c r="E17" s="612"/>
      <c r="F17" s="612"/>
      <c r="G17" s="612"/>
      <c r="H17" s="612"/>
      <c r="I17" s="612"/>
      <c r="J17" s="612"/>
      <c r="K17" s="612"/>
    </row>
    <row r="18" spans="1:11">
      <c r="C18" s="105"/>
      <c r="D18" s="104"/>
      <c r="E18" s="612"/>
      <c r="F18" s="612"/>
      <c r="G18" s="612"/>
      <c r="H18" s="612"/>
      <c r="I18" s="612"/>
      <c r="J18" s="612"/>
      <c r="K18" s="612"/>
    </row>
    <row r="19" spans="1:11" ht="16.5" thickBot="1">
      <c r="A19" s="73" t="str">
        <f>+IF(D19&lt;1,"ADJUSTED LOSS:","ASSESSABLE PROFIT:")</f>
        <v>ADJUSTED LOSS:</v>
      </c>
      <c r="B19" s="73" t="str">
        <f>+CONCATENATE(E19,A9)</f>
        <v>For the Year of Assessment 2016/17</v>
      </c>
      <c r="C19" s="105"/>
      <c r="D19" s="106">
        <f>SUM(D14:D18)</f>
        <v>0</v>
      </c>
      <c r="E19" s="612" t="s">
        <v>479</v>
      </c>
      <c r="F19" s="612"/>
      <c r="G19" s="612"/>
      <c r="H19" s="612"/>
      <c r="I19" s="612"/>
      <c r="J19" s="612"/>
      <c r="K19" s="612"/>
    </row>
    <row r="20" spans="1:11" ht="16.5" thickTop="1">
      <c r="E20" s="612"/>
      <c r="F20" s="612"/>
      <c r="G20" s="612"/>
      <c r="H20" s="612"/>
      <c r="I20" s="612"/>
      <c r="J20" s="612"/>
      <c r="K20" s="612"/>
    </row>
    <row r="21" spans="1:11">
      <c r="A21" s="100" t="str">
        <f>+IF(F14=0,"STATEMENT OF LOSS","")</f>
        <v/>
      </c>
      <c r="E21" s="612" t="s">
        <v>480</v>
      </c>
      <c r="F21" s="612" t="str">
        <f>+LOWER(Control!D9)</f>
        <v>period</v>
      </c>
      <c r="G21" s="612" t="s">
        <v>239</v>
      </c>
      <c r="H21" s="612"/>
      <c r="I21" s="612"/>
      <c r="J21" s="612"/>
      <c r="K21" s="612"/>
    </row>
    <row r="22" spans="1:11">
      <c r="A22" s="73" t="str">
        <f>IF(F14=0,IF(Control!D127=0," ","Tax loss b/f"),CONCATENATE(E21,F21,G21))</f>
        <v>Note: The Company was inactive during the period.</v>
      </c>
      <c r="D22" s="104" t="str">
        <f>IF(F14=0,IF(Control!D127=0," ",Control!D127),"")</f>
        <v/>
      </c>
      <c r="E22" s="612"/>
      <c r="F22" s="612"/>
      <c r="G22" s="612"/>
      <c r="H22" s="612"/>
      <c r="I22" s="612"/>
      <c r="J22" s="612"/>
      <c r="K22" s="612"/>
    </row>
    <row r="23" spans="1:11">
      <c r="A23" s="73" t="str">
        <f>IF(F14=0,CONCATENATE(E23,F23,A9),"")</f>
        <v/>
      </c>
      <c r="D23" s="107" t="str">
        <f>IF(F14=0,D19,"")</f>
        <v/>
      </c>
      <c r="E23" s="612" t="str">
        <f>+IF(D19&lt;0,"Adjusted loss ","Assessable profit ")</f>
        <v xml:space="preserve">Assessable profit </v>
      </c>
      <c r="F23" s="612" t="s">
        <v>481</v>
      </c>
      <c r="G23" s="612"/>
      <c r="H23" s="612"/>
      <c r="I23" s="612"/>
      <c r="J23" s="612"/>
      <c r="K23" s="612"/>
    </row>
    <row r="24" spans="1:11">
      <c r="A24" s="73" t="str">
        <f>+IF(F14=0,"Tax loss c/f","")</f>
        <v/>
      </c>
      <c r="D24" s="108" t="str">
        <f>IF(F14=0,SUM(D22:D23),"")</f>
        <v/>
      </c>
    </row>
    <row r="25" spans="1:11" ht="31.5">
      <c r="B25" s="582" t="s">
        <v>1526</v>
      </c>
      <c r="E25" s="41" t="s">
        <v>1187</v>
      </c>
    </row>
    <row r="26" spans="1:11" ht="15.75" customHeight="1">
      <c r="B26" s="583" t="s">
        <v>1527</v>
      </c>
      <c r="D26" s="438"/>
    </row>
    <row r="27" spans="1:11" ht="31.5">
      <c r="B27" s="582" t="s">
        <v>1528</v>
      </c>
      <c r="D27" s="439"/>
    </row>
    <row r="28" spans="1:11">
      <c r="B28" s="582"/>
    </row>
    <row r="31" spans="1:11">
      <c r="B31" s="73" t="s">
        <v>1529</v>
      </c>
    </row>
    <row r="32" spans="1:11">
      <c r="B32" s="73" t="s">
        <v>1531</v>
      </c>
    </row>
    <row r="34" spans="2:2">
      <c r="B34" s="73" t="s">
        <v>1530</v>
      </c>
    </row>
  </sheetData>
  <mergeCells count="6">
    <mergeCell ref="A10:D10"/>
    <mergeCell ref="A1:D1"/>
    <mergeCell ref="A3:D3"/>
    <mergeCell ref="A5:D5"/>
    <mergeCell ref="A7:D7"/>
    <mergeCell ref="A9:D9"/>
  </mergeCells>
  <phoneticPr fontId="13" type="noConversion"/>
  <pageMargins left="0.7" right="0.7" top="0.75" bottom="0.75" header="0.3" footer="0.3"/>
  <pageSetup paperSize="9" scale="92"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pageSetUpPr fitToPage="1"/>
  </sheetPr>
  <dimension ref="A1:Q43"/>
  <sheetViews>
    <sheetView workbookViewId="0">
      <selection activeCell="E1" sqref="E1:Q1048576"/>
    </sheetView>
  </sheetViews>
  <sheetFormatPr defaultRowHeight="15.75"/>
  <cols>
    <col min="1" max="1" width="22.875" style="73" customWidth="1" collapsed="1"/>
    <col min="2" max="2" width="45.5" style="73" customWidth="1" collapsed="1"/>
    <col min="3" max="3" width="12.5" style="73" bestFit="1" customWidth="1" collapsed="1"/>
    <col min="4" max="4" width="13.625" style="103" bestFit="1" customWidth="1" collapsed="1"/>
    <col min="5" max="5" width="9" style="612" collapsed="1"/>
    <col min="6" max="6" width="10.5" style="612" bestFit="1" customWidth="1" collapsed="1"/>
    <col min="7" max="17" width="9" style="612" collapsed="1"/>
    <col min="18" max="256" width="9" style="73" collapsed="1"/>
    <col min="257" max="257" width="22.875" style="73" customWidth="1" collapsed="1"/>
    <col min="258" max="258" width="45.5" style="73" customWidth="1" collapsed="1"/>
    <col min="259" max="259" width="12.5" style="73" bestFit="1" customWidth="1" collapsed="1"/>
    <col min="260" max="260" width="13.625" style="73" bestFit="1" customWidth="1" collapsed="1"/>
    <col min="261" max="512" width="9" style="73" collapsed="1"/>
    <col min="513" max="513" width="22.875" style="73" customWidth="1" collapsed="1"/>
    <col min="514" max="514" width="45.5" style="73" customWidth="1" collapsed="1"/>
    <col min="515" max="515" width="12.5" style="73" bestFit="1" customWidth="1" collapsed="1"/>
    <col min="516" max="516" width="13.625" style="73" bestFit="1" customWidth="1" collapsed="1"/>
    <col min="517" max="768" width="9" style="73" collapsed="1"/>
    <col min="769" max="769" width="22.875" style="73" customWidth="1" collapsed="1"/>
    <col min="770" max="770" width="45.5" style="73" customWidth="1" collapsed="1"/>
    <col min="771" max="771" width="12.5" style="73" bestFit="1" customWidth="1" collapsed="1"/>
    <col min="772" max="772" width="13.625" style="73" bestFit="1" customWidth="1" collapsed="1"/>
    <col min="773" max="1024" width="9" style="73" collapsed="1"/>
    <col min="1025" max="1025" width="22.875" style="73" customWidth="1" collapsed="1"/>
    <col min="1026" max="1026" width="45.5" style="73" customWidth="1" collapsed="1"/>
    <col min="1027" max="1027" width="12.5" style="73" bestFit="1" customWidth="1" collapsed="1"/>
    <col min="1028" max="1028" width="13.625" style="73" bestFit="1" customWidth="1" collapsed="1"/>
    <col min="1029" max="1280" width="9" style="73" collapsed="1"/>
    <col min="1281" max="1281" width="22.875" style="73" customWidth="1" collapsed="1"/>
    <col min="1282" max="1282" width="45.5" style="73" customWidth="1" collapsed="1"/>
    <col min="1283" max="1283" width="12.5" style="73" bestFit="1" customWidth="1" collapsed="1"/>
    <col min="1284" max="1284" width="13.625" style="73" bestFit="1" customWidth="1" collapsed="1"/>
    <col min="1285" max="1536" width="9" style="73" collapsed="1"/>
    <col min="1537" max="1537" width="22.875" style="73" customWidth="1" collapsed="1"/>
    <col min="1538" max="1538" width="45.5" style="73" customWidth="1" collapsed="1"/>
    <col min="1539" max="1539" width="12.5" style="73" bestFit="1" customWidth="1" collapsed="1"/>
    <col min="1540" max="1540" width="13.625" style="73" bestFit="1" customWidth="1" collapsed="1"/>
    <col min="1541" max="1792" width="9" style="73" collapsed="1"/>
    <col min="1793" max="1793" width="22.875" style="73" customWidth="1" collapsed="1"/>
    <col min="1794" max="1794" width="45.5" style="73" customWidth="1" collapsed="1"/>
    <col min="1795" max="1795" width="12.5" style="73" bestFit="1" customWidth="1" collapsed="1"/>
    <col min="1796" max="1796" width="13.625" style="73" bestFit="1" customWidth="1" collapsed="1"/>
    <col min="1797" max="2048" width="9" style="73" collapsed="1"/>
    <col min="2049" max="2049" width="22.875" style="73" customWidth="1" collapsed="1"/>
    <col min="2050" max="2050" width="45.5" style="73" customWidth="1" collapsed="1"/>
    <col min="2051" max="2051" width="12.5" style="73" bestFit="1" customWidth="1" collapsed="1"/>
    <col min="2052" max="2052" width="13.625" style="73" bestFit="1" customWidth="1" collapsed="1"/>
    <col min="2053" max="2304" width="9" style="73" collapsed="1"/>
    <col min="2305" max="2305" width="22.875" style="73" customWidth="1" collapsed="1"/>
    <col min="2306" max="2306" width="45.5" style="73" customWidth="1" collapsed="1"/>
    <col min="2307" max="2307" width="12.5" style="73" bestFit="1" customWidth="1" collapsed="1"/>
    <col min="2308" max="2308" width="13.625" style="73" bestFit="1" customWidth="1" collapsed="1"/>
    <col min="2309" max="2560" width="9" style="73" collapsed="1"/>
    <col min="2561" max="2561" width="22.875" style="73" customWidth="1" collapsed="1"/>
    <col min="2562" max="2562" width="45.5" style="73" customWidth="1" collapsed="1"/>
    <col min="2563" max="2563" width="12.5" style="73" bestFit="1" customWidth="1" collapsed="1"/>
    <col min="2564" max="2564" width="13.625" style="73" bestFit="1" customWidth="1" collapsed="1"/>
    <col min="2565" max="2816" width="9" style="73" collapsed="1"/>
    <col min="2817" max="2817" width="22.875" style="73" customWidth="1" collapsed="1"/>
    <col min="2818" max="2818" width="45.5" style="73" customWidth="1" collapsed="1"/>
    <col min="2819" max="2819" width="12.5" style="73" bestFit="1" customWidth="1" collapsed="1"/>
    <col min="2820" max="2820" width="13.625" style="73" bestFit="1" customWidth="1" collapsed="1"/>
    <col min="2821" max="3072" width="9" style="73" collapsed="1"/>
    <col min="3073" max="3073" width="22.875" style="73" customWidth="1" collapsed="1"/>
    <col min="3074" max="3074" width="45.5" style="73" customWidth="1" collapsed="1"/>
    <col min="3075" max="3075" width="12.5" style="73" bestFit="1" customWidth="1" collapsed="1"/>
    <col min="3076" max="3076" width="13.625" style="73" bestFit="1" customWidth="1" collapsed="1"/>
    <col min="3077" max="3328" width="9" style="73" collapsed="1"/>
    <col min="3329" max="3329" width="22.875" style="73" customWidth="1" collapsed="1"/>
    <col min="3330" max="3330" width="45.5" style="73" customWidth="1" collapsed="1"/>
    <col min="3331" max="3331" width="12.5" style="73" bestFit="1" customWidth="1" collapsed="1"/>
    <col min="3332" max="3332" width="13.625" style="73" bestFit="1" customWidth="1" collapsed="1"/>
    <col min="3333" max="3584" width="9" style="73" collapsed="1"/>
    <col min="3585" max="3585" width="22.875" style="73" customWidth="1" collapsed="1"/>
    <col min="3586" max="3586" width="45.5" style="73" customWidth="1" collapsed="1"/>
    <col min="3587" max="3587" width="12.5" style="73" bestFit="1" customWidth="1" collapsed="1"/>
    <col min="3588" max="3588" width="13.625" style="73" bestFit="1" customWidth="1" collapsed="1"/>
    <col min="3589" max="3840" width="9" style="73" collapsed="1"/>
    <col min="3841" max="3841" width="22.875" style="73" customWidth="1" collapsed="1"/>
    <col min="3842" max="3842" width="45.5" style="73" customWidth="1" collapsed="1"/>
    <col min="3843" max="3843" width="12.5" style="73" bestFit="1" customWidth="1" collapsed="1"/>
    <col min="3844" max="3844" width="13.625" style="73" bestFit="1" customWidth="1" collapsed="1"/>
    <col min="3845" max="4096" width="9" style="73" collapsed="1"/>
    <col min="4097" max="4097" width="22.875" style="73" customWidth="1" collapsed="1"/>
    <col min="4098" max="4098" width="45.5" style="73" customWidth="1" collapsed="1"/>
    <col min="4099" max="4099" width="12.5" style="73" bestFit="1" customWidth="1" collapsed="1"/>
    <col min="4100" max="4100" width="13.625" style="73" bestFit="1" customWidth="1" collapsed="1"/>
    <col min="4101" max="4352" width="9" style="73" collapsed="1"/>
    <col min="4353" max="4353" width="22.875" style="73" customWidth="1" collapsed="1"/>
    <col min="4354" max="4354" width="45.5" style="73" customWidth="1" collapsed="1"/>
    <col min="4355" max="4355" width="12.5" style="73" bestFit="1" customWidth="1" collapsed="1"/>
    <col min="4356" max="4356" width="13.625" style="73" bestFit="1" customWidth="1" collapsed="1"/>
    <col min="4357" max="4608" width="9" style="73" collapsed="1"/>
    <col min="4609" max="4609" width="22.875" style="73" customWidth="1" collapsed="1"/>
    <col min="4610" max="4610" width="45.5" style="73" customWidth="1" collapsed="1"/>
    <col min="4611" max="4611" width="12.5" style="73" bestFit="1" customWidth="1" collapsed="1"/>
    <col min="4612" max="4612" width="13.625" style="73" bestFit="1" customWidth="1" collapsed="1"/>
    <col min="4613" max="4864" width="9" style="73" collapsed="1"/>
    <col min="4865" max="4865" width="22.875" style="73" customWidth="1" collapsed="1"/>
    <col min="4866" max="4866" width="45.5" style="73" customWidth="1" collapsed="1"/>
    <col min="4867" max="4867" width="12.5" style="73" bestFit="1" customWidth="1" collapsed="1"/>
    <col min="4868" max="4868" width="13.625" style="73" bestFit="1" customWidth="1" collapsed="1"/>
    <col min="4869" max="5120" width="9" style="73" collapsed="1"/>
    <col min="5121" max="5121" width="22.875" style="73" customWidth="1" collapsed="1"/>
    <col min="5122" max="5122" width="45.5" style="73" customWidth="1" collapsed="1"/>
    <col min="5123" max="5123" width="12.5" style="73" bestFit="1" customWidth="1" collapsed="1"/>
    <col min="5124" max="5124" width="13.625" style="73" bestFit="1" customWidth="1" collapsed="1"/>
    <col min="5125" max="5376" width="9" style="73" collapsed="1"/>
    <col min="5377" max="5377" width="22.875" style="73" customWidth="1" collapsed="1"/>
    <col min="5378" max="5378" width="45.5" style="73" customWidth="1" collapsed="1"/>
    <col min="5379" max="5379" width="12.5" style="73" bestFit="1" customWidth="1" collapsed="1"/>
    <col min="5380" max="5380" width="13.625" style="73" bestFit="1" customWidth="1" collapsed="1"/>
    <col min="5381" max="5632" width="9" style="73" collapsed="1"/>
    <col min="5633" max="5633" width="22.875" style="73" customWidth="1" collapsed="1"/>
    <col min="5634" max="5634" width="45.5" style="73" customWidth="1" collapsed="1"/>
    <col min="5635" max="5635" width="12.5" style="73" bestFit="1" customWidth="1" collapsed="1"/>
    <col min="5636" max="5636" width="13.625" style="73" bestFit="1" customWidth="1" collapsed="1"/>
    <col min="5637" max="5888" width="9" style="73" collapsed="1"/>
    <col min="5889" max="5889" width="22.875" style="73" customWidth="1" collapsed="1"/>
    <col min="5890" max="5890" width="45.5" style="73" customWidth="1" collapsed="1"/>
    <col min="5891" max="5891" width="12.5" style="73" bestFit="1" customWidth="1" collapsed="1"/>
    <col min="5892" max="5892" width="13.625" style="73" bestFit="1" customWidth="1" collapsed="1"/>
    <col min="5893" max="6144" width="9" style="73" collapsed="1"/>
    <col min="6145" max="6145" width="22.875" style="73" customWidth="1" collapsed="1"/>
    <col min="6146" max="6146" width="45.5" style="73" customWidth="1" collapsed="1"/>
    <col min="6147" max="6147" width="12.5" style="73" bestFit="1" customWidth="1" collapsed="1"/>
    <col min="6148" max="6148" width="13.625" style="73" bestFit="1" customWidth="1" collapsed="1"/>
    <col min="6149" max="6400" width="9" style="73" collapsed="1"/>
    <col min="6401" max="6401" width="22.875" style="73" customWidth="1" collapsed="1"/>
    <col min="6402" max="6402" width="45.5" style="73" customWidth="1" collapsed="1"/>
    <col min="6403" max="6403" width="12.5" style="73" bestFit="1" customWidth="1" collapsed="1"/>
    <col min="6404" max="6404" width="13.625" style="73" bestFit="1" customWidth="1" collapsed="1"/>
    <col min="6405" max="6656" width="9" style="73" collapsed="1"/>
    <col min="6657" max="6657" width="22.875" style="73" customWidth="1" collapsed="1"/>
    <col min="6658" max="6658" width="45.5" style="73" customWidth="1" collapsed="1"/>
    <col min="6659" max="6659" width="12.5" style="73" bestFit="1" customWidth="1" collapsed="1"/>
    <col min="6660" max="6660" width="13.625" style="73" bestFit="1" customWidth="1" collapsed="1"/>
    <col min="6661" max="6912" width="9" style="73" collapsed="1"/>
    <col min="6913" max="6913" width="22.875" style="73" customWidth="1" collapsed="1"/>
    <col min="6914" max="6914" width="45.5" style="73" customWidth="1" collapsed="1"/>
    <col min="6915" max="6915" width="12.5" style="73" bestFit="1" customWidth="1" collapsed="1"/>
    <col min="6916" max="6916" width="13.625" style="73" bestFit="1" customWidth="1" collapsed="1"/>
    <col min="6917" max="7168" width="9" style="73" collapsed="1"/>
    <col min="7169" max="7169" width="22.875" style="73" customWidth="1" collapsed="1"/>
    <col min="7170" max="7170" width="45.5" style="73" customWidth="1" collapsed="1"/>
    <col min="7171" max="7171" width="12.5" style="73" bestFit="1" customWidth="1" collapsed="1"/>
    <col min="7172" max="7172" width="13.625" style="73" bestFit="1" customWidth="1" collapsed="1"/>
    <col min="7173" max="7424" width="9" style="73" collapsed="1"/>
    <col min="7425" max="7425" width="22.875" style="73" customWidth="1" collapsed="1"/>
    <col min="7426" max="7426" width="45.5" style="73" customWidth="1" collapsed="1"/>
    <col min="7427" max="7427" width="12.5" style="73" bestFit="1" customWidth="1" collapsed="1"/>
    <col min="7428" max="7428" width="13.625" style="73" bestFit="1" customWidth="1" collapsed="1"/>
    <col min="7429" max="7680" width="9" style="73" collapsed="1"/>
    <col min="7681" max="7681" width="22.875" style="73" customWidth="1" collapsed="1"/>
    <col min="7682" max="7682" width="45.5" style="73" customWidth="1" collapsed="1"/>
    <col min="7683" max="7683" width="12.5" style="73" bestFit="1" customWidth="1" collapsed="1"/>
    <col min="7684" max="7684" width="13.625" style="73" bestFit="1" customWidth="1" collapsed="1"/>
    <col min="7685" max="7936" width="9" style="73" collapsed="1"/>
    <col min="7937" max="7937" width="22.875" style="73" customWidth="1" collapsed="1"/>
    <col min="7938" max="7938" width="45.5" style="73" customWidth="1" collapsed="1"/>
    <col min="7939" max="7939" width="12.5" style="73" bestFit="1" customWidth="1" collapsed="1"/>
    <col min="7940" max="7940" width="13.625" style="73" bestFit="1" customWidth="1" collapsed="1"/>
    <col min="7941" max="8192" width="9" style="73" collapsed="1"/>
    <col min="8193" max="8193" width="22.875" style="73" customWidth="1" collapsed="1"/>
    <col min="8194" max="8194" width="45.5" style="73" customWidth="1" collapsed="1"/>
    <col min="8195" max="8195" width="12.5" style="73" bestFit="1" customWidth="1" collapsed="1"/>
    <col min="8196" max="8196" width="13.625" style="73" bestFit="1" customWidth="1" collapsed="1"/>
    <col min="8197" max="8448" width="9" style="73" collapsed="1"/>
    <col min="8449" max="8449" width="22.875" style="73" customWidth="1" collapsed="1"/>
    <col min="8450" max="8450" width="45.5" style="73" customWidth="1" collapsed="1"/>
    <col min="8451" max="8451" width="12.5" style="73" bestFit="1" customWidth="1" collapsed="1"/>
    <col min="8452" max="8452" width="13.625" style="73" bestFit="1" customWidth="1" collapsed="1"/>
    <col min="8453" max="8704" width="9" style="73" collapsed="1"/>
    <col min="8705" max="8705" width="22.875" style="73" customWidth="1" collapsed="1"/>
    <col min="8706" max="8706" width="45.5" style="73" customWidth="1" collapsed="1"/>
    <col min="8707" max="8707" width="12.5" style="73" bestFit="1" customWidth="1" collapsed="1"/>
    <col min="8708" max="8708" width="13.625" style="73" bestFit="1" customWidth="1" collapsed="1"/>
    <col min="8709" max="8960" width="9" style="73" collapsed="1"/>
    <col min="8961" max="8961" width="22.875" style="73" customWidth="1" collapsed="1"/>
    <col min="8962" max="8962" width="45.5" style="73" customWidth="1" collapsed="1"/>
    <col min="8963" max="8963" width="12.5" style="73" bestFit="1" customWidth="1" collapsed="1"/>
    <col min="8964" max="8964" width="13.625" style="73" bestFit="1" customWidth="1" collapsed="1"/>
    <col min="8965" max="9216" width="9" style="73" collapsed="1"/>
    <col min="9217" max="9217" width="22.875" style="73" customWidth="1" collapsed="1"/>
    <col min="9218" max="9218" width="45.5" style="73" customWidth="1" collapsed="1"/>
    <col min="9219" max="9219" width="12.5" style="73" bestFit="1" customWidth="1" collapsed="1"/>
    <col min="9220" max="9220" width="13.625" style="73" bestFit="1" customWidth="1" collapsed="1"/>
    <col min="9221" max="9472" width="9" style="73" collapsed="1"/>
    <col min="9473" max="9473" width="22.875" style="73" customWidth="1" collapsed="1"/>
    <col min="9474" max="9474" width="45.5" style="73" customWidth="1" collapsed="1"/>
    <col min="9475" max="9475" width="12.5" style="73" bestFit="1" customWidth="1" collapsed="1"/>
    <col min="9476" max="9476" width="13.625" style="73" bestFit="1" customWidth="1" collapsed="1"/>
    <col min="9477" max="9728" width="9" style="73" collapsed="1"/>
    <col min="9729" max="9729" width="22.875" style="73" customWidth="1" collapsed="1"/>
    <col min="9730" max="9730" width="45.5" style="73" customWidth="1" collapsed="1"/>
    <col min="9731" max="9731" width="12.5" style="73" bestFit="1" customWidth="1" collapsed="1"/>
    <col min="9732" max="9732" width="13.625" style="73" bestFit="1" customWidth="1" collapsed="1"/>
    <col min="9733" max="9984" width="9" style="73" collapsed="1"/>
    <col min="9985" max="9985" width="22.875" style="73" customWidth="1" collapsed="1"/>
    <col min="9986" max="9986" width="45.5" style="73" customWidth="1" collapsed="1"/>
    <col min="9987" max="9987" width="12.5" style="73" bestFit="1" customWidth="1" collapsed="1"/>
    <col min="9988" max="9988" width="13.625" style="73" bestFit="1" customWidth="1" collapsed="1"/>
    <col min="9989" max="10240" width="9" style="73" collapsed="1"/>
    <col min="10241" max="10241" width="22.875" style="73" customWidth="1" collapsed="1"/>
    <col min="10242" max="10242" width="45.5" style="73" customWidth="1" collapsed="1"/>
    <col min="10243" max="10243" width="12.5" style="73" bestFit="1" customWidth="1" collapsed="1"/>
    <col min="10244" max="10244" width="13.625" style="73" bestFit="1" customWidth="1" collapsed="1"/>
    <col min="10245" max="10496" width="9" style="73" collapsed="1"/>
    <col min="10497" max="10497" width="22.875" style="73" customWidth="1" collapsed="1"/>
    <col min="10498" max="10498" width="45.5" style="73" customWidth="1" collapsed="1"/>
    <col min="10499" max="10499" width="12.5" style="73" bestFit="1" customWidth="1" collapsed="1"/>
    <col min="10500" max="10500" width="13.625" style="73" bestFit="1" customWidth="1" collapsed="1"/>
    <col min="10501" max="10752" width="9" style="73" collapsed="1"/>
    <col min="10753" max="10753" width="22.875" style="73" customWidth="1" collapsed="1"/>
    <col min="10754" max="10754" width="45.5" style="73" customWidth="1" collapsed="1"/>
    <col min="10755" max="10755" width="12.5" style="73" bestFit="1" customWidth="1" collapsed="1"/>
    <col min="10756" max="10756" width="13.625" style="73" bestFit="1" customWidth="1" collapsed="1"/>
    <col min="10757" max="11008" width="9" style="73" collapsed="1"/>
    <col min="11009" max="11009" width="22.875" style="73" customWidth="1" collapsed="1"/>
    <col min="11010" max="11010" width="45.5" style="73" customWidth="1" collapsed="1"/>
    <col min="11011" max="11011" width="12.5" style="73" bestFit="1" customWidth="1" collapsed="1"/>
    <col min="11012" max="11012" width="13.625" style="73" bestFit="1" customWidth="1" collapsed="1"/>
    <col min="11013" max="11264" width="9" style="73" collapsed="1"/>
    <col min="11265" max="11265" width="22.875" style="73" customWidth="1" collapsed="1"/>
    <col min="11266" max="11266" width="45.5" style="73" customWidth="1" collapsed="1"/>
    <col min="11267" max="11267" width="12.5" style="73" bestFit="1" customWidth="1" collapsed="1"/>
    <col min="11268" max="11268" width="13.625" style="73" bestFit="1" customWidth="1" collapsed="1"/>
    <col min="11269" max="11520" width="9" style="73" collapsed="1"/>
    <col min="11521" max="11521" width="22.875" style="73" customWidth="1" collapsed="1"/>
    <col min="11522" max="11522" width="45.5" style="73" customWidth="1" collapsed="1"/>
    <col min="11523" max="11523" width="12.5" style="73" bestFit="1" customWidth="1" collapsed="1"/>
    <col min="11524" max="11524" width="13.625" style="73" bestFit="1" customWidth="1" collapsed="1"/>
    <col min="11525" max="11776" width="9" style="73" collapsed="1"/>
    <col min="11777" max="11777" width="22.875" style="73" customWidth="1" collapsed="1"/>
    <col min="11778" max="11778" width="45.5" style="73" customWidth="1" collapsed="1"/>
    <col min="11779" max="11779" width="12.5" style="73" bestFit="1" customWidth="1" collapsed="1"/>
    <col min="11780" max="11780" width="13.625" style="73" bestFit="1" customWidth="1" collapsed="1"/>
    <col min="11781" max="12032" width="9" style="73" collapsed="1"/>
    <col min="12033" max="12033" width="22.875" style="73" customWidth="1" collapsed="1"/>
    <col min="12034" max="12034" width="45.5" style="73" customWidth="1" collapsed="1"/>
    <col min="12035" max="12035" width="12.5" style="73" bestFit="1" customWidth="1" collapsed="1"/>
    <col min="12036" max="12036" width="13.625" style="73" bestFit="1" customWidth="1" collapsed="1"/>
    <col min="12037" max="12288" width="9" style="73" collapsed="1"/>
    <col min="12289" max="12289" width="22.875" style="73" customWidth="1" collapsed="1"/>
    <col min="12290" max="12290" width="45.5" style="73" customWidth="1" collapsed="1"/>
    <col min="12291" max="12291" width="12.5" style="73" bestFit="1" customWidth="1" collapsed="1"/>
    <col min="12292" max="12292" width="13.625" style="73" bestFit="1" customWidth="1" collapsed="1"/>
    <col min="12293" max="12544" width="9" style="73" collapsed="1"/>
    <col min="12545" max="12545" width="22.875" style="73" customWidth="1" collapsed="1"/>
    <col min="12546" max="12546" width="45.5" style="73" customWidth="1" collapsed="1"/>
    <col min="12547" max="12547" width="12.5" style="73" bestFit="1" customWidth="1" collapsed="1"/>
    <col min="12548" max="12548" width="13.625" style="73" bestFit="1" customWidth="1" collapsed="1"/>
    <col min="12549" max="12800" width="9" style="73" collapsed="1"/>
    <col min="12801" max="12801" width="22.875" style="73" customWidth="1" collapsed="1"/>
    <col min="12802" max="12802" width="45.5" style="73" customWidth="1" collapsed="1"/>
    <col min="12803" max="12803" width="12.5" style="73" bestFit="1" customWidth="1" collapsed="1"/>
    <col min="12804" max="12804" width="13.625" style="73" bestFit="1" customWidth="1" collapsed="1"/>
    <col min="12805" max="13056" width="9" style="73" collapsed="1"/>
    <col min="13057" max="13057" width="22.875" style="73" customWidth="1" collapsed="1"/>
    <col min="13058" max="13058" width="45.5" style="73" customWidth="1" collapsed="1"/>
    <col min="13059" max="13059" width="12.5" style="73" bestFit="1" customWidth="1" collapsed="1"/>
    <col min="13060" max="13060" width="13.625" style="73" bestFit="1" customWidth="1" collapsed="1"/>
    <col min="13061" max="13312" width="9" style="73" collapsed="1"/>
    <col min="13313" max="13313" width="22.875" style="73" customWidth="1" collapsed="1"/>
    <col min="13314" max="13314" width="45.5" style="73" customWidth="1" collapsed="1"/>
    <col min="13315" max="13315" width="12.5" style="73" bestFit="1" customWidth="1" collapsed="1"/>
    <col min="13316" max="13316" width="13.625" style="73" bestFit="1" customWidth="1" collapsed="1"/>
    <col min="13317" max="13568" width="9" style="73" collapsed="1"/>
    <col min="13569" max="13569" width="22.875" style="73" customWidth="1" collapsed="1"/>
    <col min="13570" max="13570" width="45.5" style="73" customWidth="1" collapsed="1"/>
    <col min="13571" max="13571" width="12.5" style="73" bestFit="1" customWidth="1" collapsed="1"/>
    <col min="13572" max="13572" width="13.625" style="73" bestFit="1" customWidth="1" collapsed="1"/>
    <col min="13573" max="13824" width="9" style="73" collapsed="1"/>
    <col min="13825" max="13825" width="22.875" style="73" customWidth="1" collapsed="1"/>
    <col min="13826" max="13826" width="45.5" style="73" customWidth="1" collapsed="1"/>
    <col min="13827" max="13827" width="12.5" style="73" bestFit="1" customWidth="1" collapsed="1"/>
    <col min="13828" max="13828" width="13.625" style="73" bestFit="1" customWidth="1" collapsed="1"/>
    <col min="13829" max="14080" width="9" style="73" collapsed="1"/>
    <col min="14081" max="14081" width="22.875" style="73" customWidth="1" collapsed="1"/>
    <col min="14082" max="14082" width="45.5" style="73" customWidth="1" collapsed="1"/>
    <col min="14083" max="14083" width="12.5" style="73" bestFit="1" customWidth="1" collapsed="1"/>
    <col min="14084" max="14084" width="13.625" style="73" bestFit="1" customWidth="1" collapsed="1"/>
    <col min="14085" max="14336" width="9" style="73" collapsed="1"/>
    <col min="14337" max="14337" width="22.875" style="73" customWidth="1" collapsed="1"/>
    <col min="14338" max="14338" width="45.5" style="73" customWidth="1" collapsed="1"/>
    <col min="14339" max="14339" width="12.5" style="73" bestFit="1" customWidth="1" collapsed="1"/>
    <col min="14340" max="14340" width="13.625" style="73" bestFit="1" customWidth="1" collapsed="1"/>
    <col min="14341" max="14592" width="9" style="73" collapsed="1"/>
    <col min="14593" max="14593" width="22.875" style="73" customWidth="1" collapsed="1"/>
    <col min="14594" max="14594" width="45.5" style="73" customWidth="1" collapsed="1"/>
    <col min="14595" max="14595" width="12.5" style="73" bestFit="1" customWidth="1" collapsed="1"/>
    <col min="14596" max="14596" width="13.625" style="73" bestFit="1" customWidth="1" collapsed="1"/>
    <col min="14597" max="14848" width="9" style="73" collapsed="1"/>
    <col min="14849" max="14849" width="22.875" style="73" customWidth="1" collapsed="1"/>
    <col min="14850" max="14850" width="45.5" style="73" customWidth="1" collapsed="1"/>
    <col min="14851" max="14851" width="12.5" style="73" bestFit="1" customWidth="1" collapsed="1"/>
    <col min="14852" max="14852" width="13.625" style="73" bestFit="1" customWidth="1" collapsed="1"/>
    <col min="14853" max="15104" width="9" style="73" collapsed="1"/>
    <col min="15105" max="15105" width="22.875" style="73" customWidth="1" collapsed="1"/>
    <col min="15106" max="15106" width="45.5" style="73" customWidth="1" collapsed="1"/>
    <col min="15107" max="15107" width="12.5" style="73" bestFit="1" customWidth="1" collapsed="1"/>
    <col min="15108" max="15108" width="13.625" style="73" bestFit="1" customWidth="1" collapsed="1"/>
    <col min="15109" max="15360" width="9" style="73" collapsed="1"/>
    <col min="15361" max="15361" width="22.875" style="73" customWidth="1" collapsed="1"/>
    <col min="15362" max="15362" width="45.5" style="73" customWidth="1" collapsed="1"/>
    <col min="15363" max="15363" width="12.5" style="73" bestFit="1" customWidth="1" collapsed="1"/>
    <col min="15364" max="15364" width="13.625" style="73" bestFit="1" customWidth="1" collapsed="1"/>
    <col min="15365" max="15616" width="9" style="73" collapsed="1"/>
    <col min="15617" max="15617" width="22.875" style="73" customWidth="1" collapsed="1"/>
    <col min="15618" max="15618" width="45.5" style="73" customWidth="1" collapsed="1"/>
    <col min="15619" max="15619" width="12.5" style="73" bestFit="1" customWidth="1" collapsed="1"/>
    <col min="15620" max="15620" width="13.625" style="73" bestFit="1" customWidth="1" collapsed="1"/>
    <col min="15621" max="15872" width="9" style="73" collapsed="1"/>
    <col min="15873" max="15873" width="22.875" style="73" customWidth="1" collapsed="1"/>
    <col min="15874" max="15874" width="45.5" style="73" customWidth="1" collapsed="1"/>
    <col min="15875" max="15875" width="12.5" style="73" bestFit="1" customWidth="1" collapsed="1"/>
    <col min="15876" max="15876" width="13.625" style="73" bestFit="1" customWidth="1" collapsed="1"/>
    <col min="15877" max="16128" width="9" style="73" collapsed="1"/>
    <col min="16129" max="16129" width="22.875" style="73" customWidth="1" collapsed="1"/>
    <col min="16130" max="16130" width="45.5" style="73" customWidth="1" collapsed="1"/>
    <col min="16131" max="16131" width="12.5" style="73" bestFit="1" customWidth="1" collapsed="1"/>
    <col min="16132" max="16132" width="13.625" style="73" bestFit="1" customWidth="1" collapsed="1"/>
    <col min="16133" max="16384" width="9" style="73" collapsed="1"/>
  </cols>
  <sheetData>
    <row r="1" spans="1:7">
      <c r="A1" s="956" t="str">
        <f>+Control!D3</f>
        <v>MIC INCORPORATION LIMITED </v>
      </c>
      <c r="B1" s="956"/>
      <c r="C1" s="956"/>
      <c r="D1" s="956"/>
    </row>
    <row r="2" spans="1:7">
      <c r="A2" s="100"/>
      <c r="B2" s="100"/>
      <c r="C2" s="100"/>
      <c r="D2" s="101"/>
    </row>
    <row r="3" spans="1:7">
      <c r="A3" s="956" t="str">
        <f>+CONCATENATE(E3,F3)</f>
        <v>FILE NO. : 65476707-000</v>
      </c>
      <c r="B3" s="956"/>
      <c r="C3" s="956"/>
      <c r="D3" s="956"/>
      <c r="E3" s="612" t="s">
        <v>471</v>
      </c>
      <c r="F3" s="612" t="str">
        <f>+Control!D75</f>
        <v>65476707-000</v>
      </c>
    </row>
    <row r="4" spans="1:7">
      <c r="A4" s="100"/>
      <c r="B4" s="100"/>
      <c r="C4" s="100"/>
      <c r="D4" s="101"/>
    </row>
    <row r="5" spans="1:7">
      <c r="A5" s="956" t="s">
        <v>472</v>
      </c>
      <c r="B5" s="956"/>
      <c r="C5" s="956"/>
      <c r="D5" s="956"/>
    </row>
    <row r="6" spans="1:7">
      <c r="A6" s="100"/>
      <c r="B6" s="100"/>
      <c r="C6" s="100"/>
      <c r="D6" s="101"/>
    </row>
    <row r="7" spans="1:7">
      <c r="A7" s="956" t="s">
        <v>473</v>
      </c>
      <c r="B7" s="956"/>
      <c r="C7" s="956"/>
      <c r="D7" s="956"/>
    </row>
    <row r="8" spans="1:7">
      <c r="A8" s="100"/>
      <c r="B8" s="100"/>
      <c r="C8" s="100"/>
      <c r="D8" s="101"/>
    </row>
    <row r="9" spans="1:7">
      <c r="A9" s="957" t="str">
        <f>+Control!D120</f>
        <v>2016/17</v>
      </c>
      <c r="B9" s="957"/>
      <c r="C9" s="957"/>
      <c r="D9" s="957"/>
    </row>
    <row r="10" spans="1:7" ht="39.75" customHeight="1">
      <c r="A10" s="955" t="str">
        <f>+CONCATENATE(E10,Control!D122,'T com (loss)'!E11)</f>
        <v>(Basis Period: p.e. From 2 March, 2014 to 31 December, 2016)</v>
      </c>
      <c r="B10" s="955"/>
      <c r="C10" s="955"/>
      <c r="D10" s="955"/>
      <c r="E10" s="612" t="s">
        <v>474</v>
      </c>
    </row>
    <row r="11" spans="1:7">
      <c r="A11" s="102"/>
      <c r="B11" s="102"/>
      <c r="C11" s="102"/>
      <c r="D11" s="452"/>
      <c r="E11" s="612" t="s">
        <v>5</v>
      </c>
    </row>
    <row r="12" spans="1:7">
      <c r="D12" s="451" t="str">
        <f>+Control!D68</f>
        <v>US$</v>
      </c>
    </row>
    <row r="14" spans="1:7">
      <c r="A14" s="73" t="str">
        <f>+IF(D14&lt;1,"LOSS:","PROFIT:")</f>
        <v>LOSS:</v>
      </c>
      <c r="B14" s="73" t="s">
        <v>475</v>
      </c>
      <c r="D14" s="104">
        <f>+Control!D114</f>
        <v>0</v>
      </c>
      <c r="E14" s="612" t="s">
        <v>476</v>
      </c>
      <c r="F14" s="607">
        <v>0</v>
      </c>
      <c r="G14" s="612" t="s">
        <v>477</v>
      </c>
    </row>
    <row r="15" spans="1:7">
      <c r="B15" s="73" t="s">
        <v>478</v>
      </c>
      <c r="C15" s="105"/>
    </row>
    <row r="16" spans="1:7">
      <c r="C16" s="105"/>
      <c r="D16" s="104"/>
    </row>
    <row r="17" spans="1:7">
      <c r="A17" s="73" t="s">
        <v>1332</v>
      </c>
      <c r="B17" s="73" t="s">
        <v>1333</v>
      </c>
      <c r="C17" s="104">
        <v>11923</v>
      </c>
      <c r="D17" s="73"/>
    </row>
    <row r="18" spans="1:7">
      <c r="B18" s="73" t="s">
        <v>1334</v>
      </c>
      <c r="C18" s="548">
        <v>1280</v>
      </c>
      <c r="D18" s="73"/>
    </row>
    <row r="19" spans="1:7">
      <c r="C19" s="104"/>
      <c r="D19" s="105">
        <f>+C17+C18</f>
        <v>13203</v>
      </c>
    </row>
    <row r="20" spans="1:7">
      <c r="C20" s="105"/>
      <c r="D20" s="104"/>
    </row>
    <row r="21" spans="1:7">
      <c r="A21" s="73" t="str">
        <f>IF(F14=0,IF(Control!D124=0," ","LESS:"),"ADD:")</f>
        <v>LESS:</v>
      </c>
      <c r="B21" s="73" t="str">
        <f>IF(F14=0,IF(Control!D124=0," ","Interest income"),"Inactive loss")</f>
        <v>Interest income</v>
      </c>
      <c r="C21" s="108">
        <f>IF(F14=0,IF(Control!D124=0," ",Control!D124),-D14)</f>
        <v>-3</v>
      </c>
      <c r="D21" s="73"/>
    </row>
    <row r="22" spans="1:7">
      <c r="B22" s="73" t="s">
        <v>1352</v>
      </c>
      <c r="C22" s="108">
        <f>-FA!J15</f>
        <v>-18078</v>
      </c>
      <c r="D22" s="73"/>
    </row>
    <row r="23" spans="1:7">
      <c r="B23" s="73" t="s">
        <v>1353</v>
      </c>
      <c r="C23" s="548">
        <f>-'Depn Allowances'!H19</f>
        <v>-12354</v>
      </c>
      <c r="D23" s="73"/>
    </row>
    <row r="24" spans="1:7">
      <c r="C24" s="104"/>
      <c r="D24" s="105">
        <f>+C21+C22+C23</f>
        <v>-30435</v>
      </c>
    </row>
    <row r="25" spans="1:7">
      <c r="C25" s="105"/>
      <c r="D25" s="104"/>
    </row>
    <row r="26" spans="1:7" ht="16.5" thickBot="1">
      <c r="A26" s="73" t="str">
        <f>+IF(D26&lt;1,"ADJUSTED LOSS:","ASSESSABLE PROFIT:")</f>
        <v>ADJUSTED LOSS:</v>
      </c>
      <c r="B26" s="73" t="str">
        <f>+CONCATENATE(E26,A9)</f>
        <v>For the Year of Assessment 2016/17</v>
      </c>
      <c r="C26" s="105"/>
      <c r="D26" s="106">
        <f>SUM(D14:D25)</f>
        <v>-17232</v>
      </c>
      <c r="E26" s="612" t="s">
        <v>479</v>
      </c>
    </row>
    <row r="27" spans="1:7" ht="16.5" thickTop="1"/>
    <row r="28" spans="1:7">
      <c r="A28" s="100" t="str">
        <f>+IF(F14=0,"STATEMENT OF LOSS","")</f>
        <v>STATEMENT OF LOSS</v>
      </c>
      <c r="E28" s="612" t="s">
        <v>480</v>
      </c>
      <c r="F28" s="612" t="str">
        <f>+LOWER(Control!D9)</f>
        <v>period</v>
      </c>
      <c r="G28" s="612" t="s">
        <v>239</v>
      </c>
    </row>
    <row r="29" spans="1:7">
      <c r="A29" s="73" t="str">
        <f>IF(F14=0,IF(Control!D127=0," ","Tax loss b/f"),CONCATENATE(E28,F28,G28))</f>
        <v xml:space="preserve"> </v>
      </c>
      <c r="D29" s="104" t="str">
        <f>IF(F14=0,IF(Control!D127=0," ",Control!D127),"")</f>
        <v xml:space="preserve"> </v>
      </c>
    </row>
    <row r="30" spans="1:7">
      <c r="A30" s="73" t="str">
        <f>IF(F14=0,CONCATENATE(E30,F30,A9),"")</f>
        <v>Adjusted loss for the year of assessment 2016/17</v>
      </c>
      <c r="D30" s="107">
        <f>IF(F14=0,D26,"")</f>
        <v>-17232</v>
      </c>
      <c r="E30" s="612" t="str">
        <f>+IF(D26&lt;0,"Adjusted loss ","Assessable profit ")</f>
        <v xml:space="preserve">Adjusted loss </v>
      </c>
      <c r="F30" s="612" t="s">
        <v>481</v>
      </c>
    </row>
    <row r="31" spans="1:7" ht="16.5" thickBot="1">
      <c r="A31" s="73" t="str">
        <f>+IF(F14=0,"Tax loss c/f","")</f>
        <v>Tax loss c/f</v>
      </c>
      <c r="D31" s="106">
        <f>IF(F14=0,SUM(D29:D30),"")</f>
        <v>-17232</v>
      </c>
    </row>
    <row r="32" spans="1:7" ht="16.5" thickTop="1"/>
    <row r="33" spans="2:4" ht="15.75" customHeight="1">
      <c r="D33" s="438"/>
    </row>
    <row r="34" spans="2:4" ht="31.5">
      <c r="B34" s="582" t="s">
        <v>1526</v>
      </c>
      <c r="D34" s="439"/>
    </row>
    <row r="35" spans="2:4">
      <c r="B35" s="583" t="s">
        <v>1527</v>
      </c>
    </row>
    <row r="36" spans="2:4" ht="31.5">
      <c r="B36" s="582" t="s">
        <v>1528</v>
      </c>
    </row>
    <row r="37" spans="2:4">
      <c r="B37" s="582"/>
    </row>
    <row r="40" spans="2:4">
      <c r="B40" s="73" t="s">
        <v>1529</v>
      </c>
    </row>
    <row r="41" spans="2:4">
      <c r="B41" s="73" t="s">
        <v>1531</v>
      </c>
    </row>
    <row r="43" spans="2:4">
      <c r="B43" s="73" t="s">
        <v>1530</v>
      </c>
    </row>
  </sheetData>
  <mergeCells count="6">
    <mergeCell ref="A10:D10"/>
    <mergeCell ref="A1:D1"/>
    <mergeCell ref="A3:D3"/>
    <mergeCell ref="A5:D5"/>
    <mergeCell ref="A7:D7"/>
    <mergeCell ref="A9:D9"/>
  </mergeCells>
  <phoneticPr fontId="13" type="noConversion"/>
  <pageMargins left="0.7" right="0.7" top="0.75" bottom="0.75" header="0.3" footer="0.3"/>
  <pageSetup paperSize="9" scale="92"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pageSetUpPr fitToPage="1"/>
  </sheetPr>
  <dimension ref="A1:R56"/>
  <sheetViews>
    <sheetView workbookViewId="0">
      <selection activeCell="G14" sqref="G14"/>
    </sheetView>
  </sheetViews>
  <sheetFormatPr defaultRowHeight="15.75"/>
  <cols>
    <col min="1" max="1" width="22.875" style="41" customWidth="1" collapsed="1"/>
    <col min="2" max="2" width="45.5" style="41" customWidth="1" collapsed="1"/>
    <col min="3" max="3" width="12.5" style="41" bestFit="1" customWidth="1" collapsed="1"/>
    <col min="4" max="4" width="13.625" style="649" bestFit="1" customWidth="1" collapsed="1"/>
    <col min="5" max="5" width="10.125" style="612" bestFit="1" customWidth="1" collapsed="1"/>
    <col min="6" max="6" width="11.375" style="612" bestFit="1" customWidth="1" collapsed="1"/>
    <col min="7" max="7" width="9.625" style="612" bestFit="1" customWidth="1" collapsed="1"/>
    <col min="8" max="18" width="9" style="612" collapsed="1"/>
    <col min="19" max="256" width="9" style="41" collapsed="1"/>
    <col min="257" max="257" width="22.875" style="41" customWidth="1" collapsed="1"/>
    <col min="258" max="258" width="45.5" style="41" customWidth="1" collapsed="1"/>
    <col min="259" max="259" width="12.5" style="41" bestFit="1" customWidth="1" collapsed="1"/>
    <col min="260" max="260" width="13.625" style="41" bestFit="1" customWidth="1" collapsed="1"/>
    <col min="261" max="512" width="9" style="41" collapsed="1"/>
    <col min="513" max="513" width="22.875" style="41" customWidth="1" collapsed="1"/>
    <col min="514" max="514" width="45.5" style="41" customWidth="1" collapsed="1"/>
    <col min="515" max="515" width="12.5" style="41" bestFit="1" customWidth="1" collapsed="1"/>
    <col min="516" max="516" width="13.625" style="41" bestFit="1" customWidth="1" collapsed="1"/>
    <col min="517" max="768" width="9" style="41" collapsed="1"/>
    <col min="769" max="769" width="22.875" style="41" customWidth="1" collapsed="1"/>
    <col min="770" max="770" width="45.5" style="41" customWidth="1" collapsed="1"/>
    <col min="771" max="771" width="12.5" style="41" bestFit="1" customWidth="1" collapsed="1"/>
    <col min="772" max="772" width="13.625" style="41" bestFit="1" customWidth="1" collapsed="1"/>
    <col min="773" max="1024" width="9" style="41" collapsed="1"/>
    <col min="1025" max="1025" width="22.875" style="41" customWidth="1" collapsed="1"/>
    <col min="1026" max="1026" width="45.5" style="41" customWidth="1" collapsed="1"/>
    <col min="1027" max="1027" width="12.5" style="41" bestFit="1" customWidth="1" collapsed="1"/>
    <col min="1028" max="1028" width="13.625" style="41" bestFit="1" customWidth="1" collapsed="1"/>
    <col min="1029" max="1280" width="9" style="41" collapsed="1"/>
    <col min="1281" max="1281" width="22.875" style="41" customWidth="1" collapsed="1"/>
    <col min="1282" max="1282" width="45.5" style="41" customWidth="1" collapsed="1"/>
    <col min="1283" max="1283" width="12.5" style="41" bestFit="1" customWidth="1" collapsed="1"/>
    <col min="1284" max="1284" width="13.625" style="41" bestFit="1" customWidth="1" collapsed="1"/>
    <col min="1285" max="1536" width="9" style="41" collapsed="1"/>
    <col min="1537" max="1537" width="22.875" style="41" customWidth="1" collapsed="1"/>
    <col min="1538" max="1538" width="45.5" style="41" customWidth="1" collapsed="1"/>
    <col min="1539" max="1539" width="12.5" style="41" bestFit="1" customWidth="1" collapsed="1"/>
    <col min="1540" max="1540" width="13.625" style="41" bestFit="1" customWidth="1" collapsed="1"/>
    <col min="1541" max="1792" width="9" style="41" collapsed="1"/>
    <col min="1793" max="1793" width="22.875" style="41" customWidth="1" collapsed="1"/>
    <col min="1794" max="1794" width="45.5" style="41" customWidth="1" collapsed="1"/>
    <col min="1795" max="1795" width="12.5" style="41" bestFit="1" customWidth="1" collapsed="1"/>
    <col min="1796" max="1796" width="13.625" style="41" bestFit="1" customWidth="1" collapsed="1"/>
    <col min="1797" max="2048" width="9" style="41" collapsed="1"/>
    <col min="2049" max="2049" width="22.875" style="41" customWidth="1" collapsed="1"/>
    <col min="2050" max="2050" width="45.5" style="41" customWidth="1" collapsed="1"/>
    <col min="2051" max="2051" width="12.5" style="41" bestFit="1" customWidth="1" collapsed="1"/>
    <col min="2052" max="2052" width="13.625" style="41" bestFit="1" customWidth="1" collapsed="1"/>
    <col min="2053" max="2304" width="9" style="41" collapsed="1"/>
    <col min="2305" max="2305" width="22.875" style="41" customWidth="1" collapsed="1"/>
    <col min="2306" max="2306" width="45.5" style="41" customWidth="1" collapsed="1"/>
    <col min="2307" max="2307" width="12.5" style="41" bestFit="1" customWidth="1" collapsed="1"/>
    <col min="2308" max="2308" width="13.625" style="41" bestFit="1" customWidth="1" collapsed="1"/>
    <col min="2309" max="2560" width="9" style="41" collapsed="1"/>
    <col min="2561" max="2561" width="22.875" style="41" customWidth="1" collapsed="1"/>
    <col min="2562" max="2562" width="45.5" style="41" customWidth="1" collapsed="1"/>
    <col min="2563" max="2563" width="12.5" style="41" bestFit="1" customWidth="1" collapsed="1"/>
    <col min="2564" max="2564" width="13.625" style="41" bestFit="1" customWidth="1" collapsed="1"/>
    <col min="2565" max="2816" width="9" style="41" collapsed="1"/>
    <col min="2817" max="2817" width="22.875" style="41" customWidth="1" collapsed="1"/>
    <col min="2818" max="2818" width="45.5" style="41" customWidth="1" collapsed="1"/>
    <col min="2819" max="2819" width="12.5" style="41" bestFit="1" customWidth="1" collapsed="1"/>
    <col min="2820" max="2820" width="13.625" style="41" bestFit="1" customWidth="1" collapsed="1"/>
    <col min="2821" max="3072" width="9" style="41" collapsed="1"/>
    <col min="3073" max="3073" width="22.875" style="41" customWidth="1" collapsed="1"/>
    <col min="3074" max="3074" width="45.5" style="41" customWidth="1" collapsed="1"/>
    <col min="3075" max="3075" width="12.5" style="41" bestFit="1" customWidth="1" collapsed="1"/>
    <col min="3076" max="3076" width="13.625" style="41" bestFit="1" customWidth="1" collapsed="1"/>
    <col min="3077" max="3328" width="9" style="41" collapsed="1"/>
    <col min="3329" max="3329" width="22.875" style="41" customWidth="1" collapsed="1"/>
    <col min="3330" max="3330" width="45.5" style="41" customWidth="1" collapsed="1"/>
    <col min="3331" max="3331" width="12.5" style="41" bestFit="1" customWidth="1" collapsed="1"/>
    <col min="3332" max="3332" width="13.625" style="41" bestFit="1" customWidth="1" collapsed="1"/>
    <col min="3333" max="3584" width="9" style="41" collapsed="1"/>
    <col min="3585" max="3585" width="22.875" style="41" customWidth="1" collapsed="1"/>
    <col min="3586" max="3586" width="45.5" style="41" customWidth="1" collapsed="1"/>
    <col min="3587" max="3587" width="12.5" style="41" bestFit="1" customWidth="1" collapsed="1"/>
    <col min="3588" max="3588" width="13.625" style="41" bestFit="1" customWidth="1" collapsed="1"/>
    <col min="3589" max="3840" width="9" style="41" collapsed="1"/>
    <col min="3841" max="3841" width="22.875" style="41" customWidth="1" collapsed="1"/>
    <col min="3842" max="3842" width="45.5" style="41" customWidth="1" collapsed="1"/>
    <col min="3843" max="3843" width="12.5" style="41" bestFit="1" customWidth="1" collapsed="1"/>
    <col min="3844" max="3844" width="13.625" style="41" bestFit="1" customWidth="1" collapsed="1"/>
    <col min="3845" max="4096" width="9" style="41" collapsed="1"/>
    <col min="4097" max="4097" width="22.875" style="41" customWidth="1" collapsed="1"/>
    <col min="4098" max="4098" width="45.5" style="41" customWidth="1" collapsed="1"/>
    <col min="4099" max="4099" width="12.5" style="41" bestFit="1" customWidth="1" collapsed="1"/>
    <col min="4100" max="4100" width="13.625" style="41" bestFit="1" customWidth="1" collapsed="1"/>
    <col min="4101" max="4352" width="9" style="41" collapsed="1"/>
    <col min="4353" max="4353" width="22.875" style="41" customWidth="1" collapsed="1"/>
    <col min="4354" max="4354" width="45.5" style="41" customWidth="1" collapsed="1"/>
    <col min="4355" max="4355" width="12.5" style="41" bestFit="1" customWidth="1" collapsed="1"/>
    <col min="4356" max="4356" width="13.625" style="41" bestFit="1" customWidth="1" collapsed="1"/>
    <col min="4357" max="4608" width="9" style="41" collapsed="1"/>
    <col min="4609" max="4609" width="22.875" style="41" customWidth="1" collapsed="1"/>
    <col min="4610" max="4610" width="45.5" style="41" customWidth="1" collapsed="1"/>
    <col min="4611" max="4611" width="12.5" style="41" bestFit="1" customWidth="1" collapsed="1"/>
    <col min="4612" max="4612" width="13.625" style="41" bestFit="1" customWidth="1" collapsed="1"/>
    <col min="4613" max="4864" width="9" style="41" collapsed="1"/>
    <col min="4865" max="4865" width="22.875" style="41" customWidth="1" collapsed="1"/>
    <col min="4866" max="4866" width="45.5" style="41" customWidth="1" collapsed="1"/>
    <col min="4867" max="4867" width="12.5" style="41" bestFit="1" customWidth="1" collapsed="1"/>
    <col min="4868" max="4868" width="13.625" style="41" bestFit="1" customWidth="1" collapsed="1"/>
    <col min="4869" max="5120" width="9" style="41" collapsed="1"/>
    <col min="5121" max="5121" width="22.875" style="41" customWidth="1" collapsed="1"/>
    <col min="5122" max="5122" width="45.5" style="41" customWidth="1" collapsed="1"/>
    <col min="5123" max="5123" width="12.5" style="41" bestFit="1" customWidth="1" collapsed="1"/>
    <col min="5124" max="5124" width="13.625" style="41" bestFit="1" customWidth="1" collapsed="1"/>
    <col min="5125" max="5376" width="9" style="41" collapsed="1"/>
    <col min="5377" max="5377" width="22.875" style="41" customWidth="1" collapsed="1"/>
    <col min="5378" max="5378" width="45.5" style="41" customWidth="1" collapsed="1"/>
    <col min="5379" max="5379" width="12.5" style="41" bestFit="1" customWidth="1" collapsed="1"/>
    <col min="5380" max="5380" width="13.625" style="41" bestFit="1" customWidth="1" collapsed="1"/>
    <col min="5381" max="5632" width="9" style="41" collapsed="1"/>
    <col min="5633" max="5633" width="22.875" style="41" customWidth="1" collapsed="1"/>
    <col min="5634" max="5634" width="45.5" style="41" customWidth="1" collapsed="1"/>
    <col min="5635" max="5635" width="12.5" style="41" bestFit="1" customWidth="1" collapsed="1"/>
    <col min="5636" max="5636" width="13.625" style="41" bestFit="1" customWidth="1" collapsed="1"/>
    <col min="5637" max="5888" width="9" style="41" collapsed="1"/>
    <col min="5889" max="5889" width="22.875" style="41" customWidth="1" collapsed="1"/>
    <col min="5890" max="5890" width="45.5" style="41" customWidth="1" collapsed="1"/>
    <col min="5891" max="5891" width="12.5" style="41" bestFit="1" customWidth="1" collapsed="1"/>
    <col min="5892" max="5892" width="13.625" style="41" bestFit="1" customWidth="1" collapsed="1"/>
    <col min="5893" max="6144" width="9" style="41" collapsed="1"/>
    <col min="6145" max="6145" width="22.875" style="41" customWidth="1" collapsed="1"/>
    <col min="6146" max="6146" width="45.5" style="41" customWidth="1" collapsed="1"/>
    <col min="6147" max="6147" width="12.5" style="41" bestFit="1" customWidth="1" collapsed="1"/>
    <col min="6148" max="6148" width="13.625" style="41" bestFit="1" customWidth="1" collapsed="1"/>
    <col min="6149" max="6400" width="9" style="41" collapsed="1"/>
    <col min="6401" max="6401" width="22.875" style="41" customWidth="1" collapsed="1"/>
    <col min="6402" max="6402" width="45.5" style="41" customWidth="1" collapsed="1"/>
    <col min="6403" max="6403" width="12.5" style="41" bestFit="1" customWidth="1" collapsed="1"/>
    <col min="6404" max="6404" width="13.625" style="41" bestFit="1" customWidth="1" collapsed="1"/>
    <col min="6405" max="6656" width="9" style="41" collapsed="1"/>
    <col min="6657" max="6657" width="22.875" style="41" customWidth="1" collapsed="1"/>
    <col min="6658" max="6658" width="45.5" style="41" customWidth="1" collapsed="1"/>
    <col min="6659" max="6659" width="12.5" style="41" bestFit="1" customWidth="1" collapsed="1"/>
    <col min="6660" max="6660" width="13.625" style="41" bestFit="1" customWidth="1" collapsed="1"/>
    <col min="6661" max="6912" width="9" style="41" collapsed="1"/>
    <col min="6913" max="6913" width="22.875" style="41" customWidth="1" collapsed="1"/>
    <col min="6914" max="6914" width="45.5" style="41" customWidth="1" collapsed="1"/>
    <col min="6915" max="6915" width="12.5" style="41" bestFit="1" customWidth="1" collapsed="1"/>
    <col min="6916" max="6916" width="13.625" style="41" bestFit="1" customWidth="1" collapsed="1"/>
    <col min="6917" max="7168" width="9" style="41" collapsed="1"/>
    <col min="7169" max="7169" width="22.875" style="41" customWidth="1" collapsed="1"/>
    <col min="7170" max="7170" width="45.5" style="41" customWidth="1" collapsed="1"/>
    <col min="7171" max="7171" width="12.5" style="41" bestFit="1" customWidth="1" collapsed="1"/>
    <col min="7172" max="7172" width="13.625" style="41" bestFit="1" customWidth="1" collapsed="1"/>
    <col min="7173" max="7424" width="9" style="41" collapsed="1"/>
    <col min="7425" max="7425" width="22.875" style="41" customWidth="1" collapsed="1"/>
    <col min="7426" max="7426" width="45.5" style="41" customWidth="1" collapsed="1"/>
    <col min="7427" max="7427" width="12.5" style="41" bestFit="1" customWidth="1" collapsed="1"/>
    <col min="7428" max="7428" width="13.625" style="41" bestFit="1" customWidth="1" collapsed="1"/>
    <col min="7429" max="7680" width="9" style="41" collapsed="1"/>
    <col min="7681" max="7681" width="22.875" style="41" customWidth="1" collapsed="1"/>
    <col min="7682" max="7682" width="45.5" style="41" customWidth="1" collapsed="1"/>
    <col min="7683" max="7683" width="12.5" style="41" bestFit="1" customWidth="1" collapsed="1"/>
    <col min="7684" max="7684" width="13.625" style="41" bestFit="1" customWidth="1" collapsed="1"/>
    <col min="7685" max="7936" width="9" style="41" collapsed="1"/>
    <col min="7937" max="7937" width="22.875" style="41" customWidth="1" collapsed="1"/>
    <col min="7938" max="7938" width="45.5" style="41" customWidth="1" collapsed="1"/>
    <col min="7939" max="7939" width="12.5" style="41" bestFit="1" customWidth="1" collapsed="1"/>
    <col min="7940" max="7940" width="13.625" style="41" bestFit="1" customWidth="1" collapsed="1"/>
    <col min="7941" max="8192" width="9" style="41" collapsed="1"/>
    <col min="8193" max="8193" width="22.875" style="41" customWidth="1" collapsed="1"/>
    <col min="8194" max="8194" width="45.5" style="41" customWidth="1" collapsed="1"/>
    <col min="8195" max="8195" width="12.5" style="41" bestFit="1" customWidth="1" collapsed="1"/>
    <col min="8196" max="8196" width="13.625" style="41" bestFit="1" customWidth="1" collapsed="1"/>
    <col min="8197" max="8448" width="9" style="41" collapsed="1"/>
    <col min="8449" max="8449" width="22.875" style="41" customWidth="1" collapsed="1"/>
    <col min="8450" max="8450" width="45.5" style="41" customWidth="1" collapsed="1"/>
    <col min="8451" max="8451" width="12.5" style="41" bestFit="1" customWidth="1" collapsed="1"/>
    <col min="8452" max="8452" width="13.625" style="41" bestFit="1" customWidth="1" collapsed="1"/>
    <col min="8453" max="8704" width="9" style="41" collapsed="1"/>
    <col min="8705" max="8705" width="22.875" style="41" customWidth="1" collapsed="1"/>
    <col min="8706" max="8706" width="45.5" style="41" customWidth="1" collapsed="1"/>
    <col min="8707" max="8707" width="12.5" style="41" bestFit="1" customWidth="1" collapsed="1"/>
    <col min="8708" max="8708" width="13.625" style="41" bestFit="1" customWidth="1" collapsed="1"/>
    <col min="8709" max="8960" width="9" style="41" collapsed="1"/>
    <col min="8961" max="8961" width="22.875" style="41" customWidth="1" collapsed="1"/>
    <col min="8962" max="8962" width="45.5" style="41" customWidth="1" collapsed="1"/>
    <col min="8963" max="8963" width="12.5" style="41" bestFit="1" customWidth="1" collapsed="1"/>
    <col min="8964" max="8964" width="13.625" style="41" bestFit="1" customWidth="1" collapsed="1"/>
    <col min="8965" max="9216" width="9" style="41" collapsed="1"/>
    <col min="9217" max="9217" width="22.875" style="41" customWidth="1" collapsed="1"/>
    <col min="9218" max="9218" width="45.5" style="41" customWidth="1" collapsed="1"/>
    <col min="9219" max="9219" width="12.5" style="41" bestFit="1" customWidth="1" collapsed="1"/>
    <col min="9220" max="9220" width="13.625" style="41" bestFit="1" customWidth="1" collapsed="1"/>
    <col min="9221" max="9472" width="9" style="41" collapsed="1"/>
    <col min="9473" max="9473" width="22.875" style="41" customWidth="1" collapsed="1"/>
    <col min="9474" max="9474" width="45.5" style="41" customWidth="1" collapsed="1"/>
    <col min="9475" max="9475" width="12.5" style="41" bestFit="1" customWidth="1" collapsed="1"/>
    <col min="9476" max="9476" width="13.625" style="41" bestFit="1" customWidth="1" collapsed="1"/>
    <col min="9477" max="9728" width="9" style="41" collapsed="1"/>
    <col min="9729" max="9729" width="22.875" style="41" customWidth="1" collapsed="1"/>
    <col min="9730" max="9730" width="45.5" style="41" customWidth="1" collapsed="1"/>
    <col min="9731" max="9731" width="12.5" style="41" bestFit="1" customWidth="1" collapsed="1"/>
    <col min="9732" max="9732" width="13.625" style="41" bestFit="1" customWidth="1" collapsed="1"/>
    <col min="9733" max="9984" width="9" style="41" collapsed="1"/>
    <col min="9985" max="9985" width="22.875" style="41" customWidth="1" collapsed="1"/>
    <col min="9986" max="9986" width="45.5" style="41" customWidth="1" collapsed="1"/>
    <col min="9987" max="9987" width="12.5" style="41" bestFit="1" customWidth="1" collapsed="1"/>
    <col min="9988" max="9988" width="13.625" style="41" bestFit="1" customWidth="1" collapsed="1"/>
    <col min="9989" max="10240" width="9" style="41" collapsed="1"/>
    <col min="10241" max="10241" width="22.875" style="41" customWidth="1" collapsed="1"/>
    <col min="10242" max="10242" width="45.5" style="41" customWidth="1" collapsed="1"/>
    <col min="10243" max="10243" width="12.5" style="41" bestFit="1" customWidth="1" collapsed="1"/>
    <col min="10244" max="10244" width="13.625" style="41" bestFit="1" customWidth="1" collapsed="1"/>
    <col min="10245" max="10496" width="9" style="41" collapsed="1"/>
    <col min="10497" max="10497" width="22.875" style="41" customWidth="1" collapsed="1"/>
    <col min="10498" max="10498" width="45.5" style="41" customWidth="1" collapsed="1"/>
    <col min="10499" max="10499" width="12.5" style="41" bestFit="1" customWidth="1" collapsed="1"/>
    <col min="10500" max="10500" width="13.625" style="41" bestFit="1" customWidth="1" collapsed="1"/>
    <col min="10501" max="10752" width="9" style="41" collapsed="1"/>
    <col min="10753" max="10753" width="22.875" style="41" customWidth="1" collapsed="1"/>
    <col min="10754" max="10754" width="45.5" style="41" customWidth="1" collapsed="1"/>
    <col min="10755" max="10755" width="12.5" style="41" bestFit="1" customWidth="1" collapsed="1"/>
    <col min="10756" max="10756" width="13.625" style="41" bestFit="1" customWidth="1" collapsed="1"/>
    <col min="10757" max="11008" width="9" style="41" collapsed="1"/>
    <col min="11009" max="11009" width="22.875" style="41" customWidth="1" collapsed="1"/>
    <col min="11010" max="11010" width="45.5" style="41" customWidth="1" collapsed="1"/>
    <col min="11011" max="11011" width="12.5" style="41" bestFit="1" customWidth="1" collapsed="1"/>
    <col min="11012" max="11012" width="13.625" style="41" bestFit="1" customWidth="1" collapsed="1"/>
    <col min="11013" max="11264" width="9" style="41" collapsed="1"/>
    <col min="11265" max="11265" width="22.875" style="41" customWidth="1" collapsed="1"/>
    <col min="11266" max="11266" width="45.5" style="41" customWidth="1" collapsed="1"/>
    <col min="11267" max="11267" width="12.5" style="41" bestFit="1" customWidth="1" collapsed="1"/>
    <col min="11268" max="11268" width="13.625" style="41" bestFit="1" customWidth="1" collapsed="1"/>
    <col min="11269" max="11520" width="9" style="41" collapsed="1"/>
    <col min="11521" max="11521" width="22.875" style="41" customWidth="1" collapsed="1"/>
    <col min="11522" max="11522" width="45.5" style="41" customWidth="1" collapsed="1"/>
    <col min="11523" max="11523" width="12.5" style="41" bestFit="1" customWidth="1" collapsed="1"/>
    <col min="11524" max="11524" width="13.625" style="41" bestFit="1" customWidth="1" collapsed="1"/>
    <col min="11525" max="11776" width="9" style="41" collapsed="1"/>
    <col min="11777" max="11777" width="22.875" style="41" customWidth="1" collapsed="1"/>
    <col min="11778" max="11778" width="45.5" style="41" customWidth="1" collapsed="1"/>
    <col min="11779" max="11779" width="12.5" style="41" bestFit="1" customWidth="1" collapsed="1"/>
    <col min="11780" max="11780" width="13.625" style="41" bestFit="1" customWidth="1" collapsed="1"/>
    <col min="11781" max="12032" width="9" style="41" collapsed="1"/>
    <col min="12033" max="12033" width="22.875" style="41" customWidth="1" collapsed="1"/>
    <col min="12034" max="12034" width="45.5" style="41" customWidth="1" collapsed="1"/>
    <col min="12035" max="12035" width="12.5" style="41" bestFit="1" customWidth="1" collapsed="1"/>
    <col min="12036" max="12036" width="13.625" style="41" bestFit="1" customWidth="1" collapsed="1"/>
    <col min="12037" max="12288" width="9" style="41" collapsed="1"/>
    <col min="12289" max="12289" width="22.875" style="41" customWidth="1" collapsed="1"/>
    <col min="12290" max="12290" width="45.5" style="41" customWidth="1" collapsed="1"/>
    <col min="12291" max="12291" width="12.5" style="41" bestFit="1" customWidth="1" collapsed="1"/>
    <col min="12292" max="12292" width="13.625" style="41" bestFit="1" customWidth="1" collapsed="1"/>
    <col min="12293" max="12544" width="9" style="41" collapsed="1"/>
    <col min="12545" max="12545" width="22.875" style="41" customWidth="1" collapsed="1"/>
    <col min="12546" max="12546" width="45.5" style="41" customWidth="1" collapsed="1"/>
    <col min="12547" max="12547" width="12.5" style="41" bestFit="1" customWidth="1" collapsed="1"/>
    <col min="12548" max="12548" width="13.625" style="41" bestFit="1" customWidth="1" collapsed="1"/>
    <col min="12549" max="12800" width="9" style="41" collapsed="1"/>
    <col min="12801" max="12801" width="22.875" style="41" customWidth="1" collapsed="1"/>
    <col min="12802" max="12802" width="45.5" style="41" customWidth="1" collapsed="1"/>
    <col min="12803" max="12803" width="12.5" style="41" bestFit="1" customWidth="1" collapsed="1"/>
    <col min="12804" max="12804" width="13.625" style="41" bestFit="1" customWidth="1" collapsed="1"/>
    <col min="12805" max="13056" width="9" style="41" collapsed="1"/>
    <col min="13057" max="13057" width="22.875" style="41" customWidth="1" collapsed="1"/>
    <col min="13058" max="13058" width="45.5" style="41" customWidth="1" collapsed="1"/>
    <col min="13059" max="13059" width="12.5" style="41" bestFit="1" customWidth="1" collapsed="1"/>
    <col min="13060" max="13060" width="13.625" style="41" bestFit="1" customWidth="1" collapsed="1"/>
    <col min="13061" max="13312" width="9" style="41" collapsed="1"/>
    <col min="13313" max="13313" width="22.875" style="41" customWidth="1" collapsed="1"/>
    <col min="13314" max="13314" width="45.5" style="41" customWidth="1" collapsed="1"/>
    <col min="13315" max="13315" width="12.5" style="41" bestFit="1" customWidth="1" collapsed="1"/>
    <col min="13316" max="13316" width="13.625" style="41" bestFit="1" customWidth="1" collapsed="1"/>
    <col min="13317" max="13568" width="9" style="41" collapsed="1"/>
    <col min="13569" max="13569" width="22.875" style="41" customWidth="1" collapsed="1"/>
    <col min="13570" max="13570" width="45.5" style="41" customWidth="1" collapsed="1"/>
    <col min="13571" max="13571" width="12.5" style="41" bestFit="1" customWidth="1" collapsed="1"/>
    <col min="13572" max="13572" width="13.625" style="41" bestFit="1" customWidth="1" collapsed="1"/>
    <col min="13573" max="13824" width="9" style="41" collapsed="1"/>
    <col min="13825" max="13825" width="22.875" style="41" customWidth="1" collapsed="1"/>
    <col min="13826" max="13826" width="45.5" style="41" customWidth="1" collapsed="1"/>
    <col min="13827" max="13827" width="12.5" style="41" bestFit="1" customWidth="1" collapsed="1"/>
    <col min="13828" max="13828" width="13.625" style="41" bestFit="1" customWidth="1" collapsed="1"/>
    <col min="13829" max="14080" width="9" style="41" collapsed="1"/>
    <col min="14081" max="14081" width="22.875" style="41" customWidth="1" collapsed="1"/>
    <col min="14082" max="14082" width="45.5" style="41" customWidth="1" collapsed="1"/>
    <col min="14083" max="14083" width="12.5" style="41" bestFit="1" customWidth="1" collapsed="1"/>
    <col min="14084" max="14084" width="13.625" style="41" bestFit="1" customWidth="1" collapsed="1"/>
    <col min="14085" max="14336" width="9" style="41" collapsed="1"/>
    <col min="14337" max="14337" width="22.875" style="41" customWidth="1" collapsed="1"/>
    <col min="14338" max="14338" width="45.5" style="41" customWidth="1" collapsed="1"/>
    <col min="14339" max="14339" width="12.5" style="41" bestFit="1" customWidth="1" collapsed="1"/>
    <col min="14340" max="14340" width="13.625" style="41" bestFit="1" customWidth="1" collapsed="1"/>
    <col min="14341" max="14592" width="9" style="41" collapsed="1"/>
    <col min="14593" max="14593" width="22.875" style="41" customWidth="1" collapsed="1"/>
    <col min="14594" max="14594" width="45.5" style="41" customWidth="1" collapsed="1"/>
    <col min="14595" max="14595" width="12.5" style="41" bestFit="1" customWidth="1" collapsed="1"/>
    <col min="14596" max="14596" width="13.625" style="41" bestFit="1" customWidth="1" collapsed="1"/>
    <col min="14597" max="14848" width="9" style="41" collapsed="1"/>
    <col min="14849" max="14849" width="22.875" style="41" customWidth="1" collapsed="1"/>
    <col min="14850" max="14850" width="45.5" style="41" customWidth="1" collapsed="1"/>
    <col min="14851" max="14851" width="12.5" style="41" bestFit="1" customWidth="1" collapsed="1"/>
    <col min="14852" max="14852" width="13.625" style="41" bestFit="1" customWidth="1" collapsed="1"/>
    <col min="14853" max="15104" width="9" style="41" collapsed="1"/>
    <col min="15105" max="15105" width="22.875" style="41" customWidth="1" collapsed="1"/>
    <col min="15106" max="15106" width="45.5" style="41" customWidth="1" collapsed="1"/>
    <col min="15107" max="15107" width="12.5" style="41" bestFit="1" customWidth="1" collapsed="1"/>
    <col min="15108" max="15108" width="13.625" style="41" bestFit="1" customWidth="1" collapsed="1"/>
    <col min="15109" max="15360" width="9" style="41" collapsed="1"/>
    <col min="15361" max="15361" width="22.875" style="41" customWidth="1" collapsed="1"/>
    <col min="15362" max="15362" width="45.5" style="41" customWidth="1" collapsed="1"/>
    <col min="15363" max="15363" width="12.5" style="41" bestFit="1" customWidth="1" collapsed="1"/>
    <col min="15364" max="15364" width="13.625" style="41" bestFit="1" customWidth="1" collapsed="1"/>
    <col min="15365" max="15616" width="9" style="41" collapsed="1"/>
    <col min="15617" max="15617" width="22.875" style="41" customWidth="1" collapsed="1"/>
    <col min="15618" max="15618" width="45.5" style="41" customWidth="1" collapsed="1"/>
    <col min="15619" max="15619" width="12.5" style="41" bestFit="1" customWidth="1" collapsed="1"/>
    <col min="15620" max="15620" width="13.625" style="41" bestFit="1" customWidth="1" collapsed="1"/>
    <col min="15621" max="15872" width="9" style="41" collapsed="1"/>
    <col min="15873" max="15873" width="22.875" style="41" customWidth="1" collapsed="1"/>
    <col min="15874" max="15874" width="45.5" style="41" customWidth="1" collapsed="1"/>
    <col min="15875" max="15875" width="12.5" style="41" bestFit="1" customWidth="1" collapsed="1"/>
    <col min="15876" max="15876" width="13.625" style="41" bestFit="1" customWidth="1" collapsed="1"/>
    <col min="15877" max="16128" width="9" style="41" collapsed="1"/>
    <col min="16129" max="16129" width="22.875" style="41" customWidth="1" collapsed="1"/>
    <col min="16130" max="16130" width="45.5" style="41" customWidth="1" collapsed="1"/>
    <col min="16131" max="16131" width="12.5" style="41" bestFit="1" customWidth="1" collapsed="1"/>
    <col min="16132" max="16132" width="13.625" style="41" bestFit="1" customWidth="1" collapsed="1"/>
    <col min="16133" max="16384" width="9" style="41" collapsed="1"/>
  </cols>
  <sheetData>
    <row r="1" spans="1:6">
      <c r="A1" s="918" t="str">
        <f>+Control!D3</f>
        <v>MIC INCORPORATION LIMITED </v>
      </c>
      <c r="B1" s="918"/>
      <c r="C1" s="918"/>
      <c r="D1" s="918"/>
    </row>
    <row r="2" spans="1:6">
      <c r="A2" s="645"/>
      <c r="B2" s="645"/>
      <c r="C2" s="645"/>
      <c r="D2" s="646"/>
    </row>
    <row r="3" spans="1:6">
      <c r="A3" s="918" t="str">
        <f>+CONCATENATE(E3,F3)</f>
        <v>FILE NO. : 65476707-000</v>
      </c>
      <c r="B3" s="918"/>
      <c r="C3" s="918"/>
      <c r="D3" s="918"/>
      <c r="E3" s="612" t="s">
        <v>471</v>
      </c>
      <c r="F3" s="612" t="str">
        <f>+Control!D75</f>
        <v>65476707-000</v>
      </c>
    </row>
    <row r="4" spans="1:6">
      <c r="A4" s="645"/>
      <c r="B4" s="645"/>
      <c r="C4" s="645"/>
      <c r="D4" s="646"/>
    </row>
    <row r="5" spans="1:6">
      <c r="A5" s="918" t="s">
        <v>472</v>
      </c>
      <c r="B5" s="918"/>
      <c r="C5" s="918"/>
      <c r="D5" s="918"/>
    </row>
    <row r="6" spans="1:6">
      <c r="A6" s="645"/>
      <c r="B6" s="645"/>
      <c r="C6" s="645"/>
      <c r="D6" s="646"/>
    </row>
    <row r="7" spans="1:6">
      <c r="A7" s="918" t="s">
        <v>473</v>
      </c>
      <c r="B7" s="918"/>
      <c r="C7" s="918"/>
      <c r="D7" s="918"/>
    </row>
    <row r="8" spans="1:6">
      <c r="A8" s="645"/>
      <c r="B8" s="645"/>
      <c r="C8" s="645"/>
      <c r="D8" s="646"/>
    </row>
    <row r="9" spans="1:6">
      <c r="A9" s="958" t="str">
        <f>+Control!D120</f>
        <v>2016/17</v>
      </c>
      <c r="B9" s="958"/>
      <c r="C9" s="958"/>
      <c r="D9" s="958"/>
    </row>
    <row r="10" spans="1:6" ht="42" customHeight="1">
      <c r="A10" s="959" t="str">
        <f>+CONCATENATE(E10,Control!D122,'T com (loss)'!E11)</f>
        <v>(Basis Period: p.e. From 2 March, 2014 to 31 December, 2016)</v>
      </c>
      <c r="B10" s="959"/>
      <c r="C10" s="959"/>
      <c r="D10" s="959"/>
      <c r="E10" s="612" t="s">
        <v>474</v>
      </c>
    </row>
    <row r="11" spans="1:6">
      <c r="A11" s="627"/>
      <c r="B11" s="627"/>
      <c r="C11" s="627"/>
      <c r="D11" s="55"/>
      <c r="E11" s="612" t="s">
        <v>5</v>
      </c>
    </row>
    <row r="12" spans="1:6">
      <c r="D12" s="56" t="str">
        <f>+Control!D68</f>
        <v>US$</v>
      </c>
    </row>
    <row r="14" spans="1:6">
      <c r="A14" s="41" t="str">
        <f>+IF(D14&lt;1,"LOSS:","PROFIT:")</f>
        <v>LOSS:</v>
      </c>
      <c r="B14" s="41" t="s">
        <v>475</v>
      </c>
      <c r="D14" s="647">
        <f>IF(Control!D30=0,Section3!C20,Section3!E20)</f>
        <v>0</v>
      </c>
    </row>
    <row r="15" spans="1:6">
      <c r="B15" s="41" t="s">
        <v>478</v>
      </c>
      <c r="C15" s="648"/>
      <c r="F15" s="612">
        <v>7900</v>
      </c>
    </row>
    <row r="16" spans="1:6">
      <c r="C16" s="648"/>
      <c r="D16" s="647"/>
    </row>
    <row r="17" spans="1:8">
      <c r="A17" s="41" t="s">
        <v>1332</v>
      </c>
      <c r="B17" s="41" t="s">
        <v>1358</v>
      </c>
      <c r="C17" s="648"/>
      <c r="D17" s="647">
        <f>924444</f>
        <v>924444</v>
      </c>
    </row>
    <row r="18" spans="1:8">
      <c r="B18" s="41" t="s">
        <v>1359</v>
      </c>
      <c r="C18" s="648"/>
      <c r="D18" s="647">
        <v>9551</v>
      </c>
    </row>
    <row r="19" spans="1:8" hidden="1">
      <c r="B19" s="41" t="s">
        <v>1334</v>
      </c>
      <c r="C19" s="648"/>
      <c r="D19" s="647">
        <v>0</v>
      </c>
    </row>
    <row r="20" spans="1:8">
      <c r="C20" s="648"/>
      <c r="D20" s="647"/>
    </row>
    <row r="21" spans="1:8">
      <c r="A21" s="41" t="str">
        <f>IF(Control!D124=0," ","LESS:")</f>
        <v>LESS:</v>
      </c>
      <c r="B21" s="41" t="str">
        <f>IF(Control!D124=0," ","Interest income")</f>
        <v>Interest income</v>
      </c>
      <c r="C21" s="648"/>
      <c r="D21" s="650">
        <f>IF(Control!D124=0," ",Control!D124)</f>
        <v>-3</v>
      </c>
      <c r="F21" s="612">
        <v>-4716</v>
      </c>
    </row>
    <row r="22" spans="1:8" hidden="1">
      <c r="B22" s="41" t="s">
        <v>1352</v>
      </c>
      <c r="C22" s="648"/>
      <c r="D22" s="650">
        <v>0</v>
      </c>
    </row>
    <row r="23" spans="1:8" hidden="1">
      <c r="B23" s="41" t="s">
        <v>1353</v>
      </c>
      <c r="D23" s="647">
        <v>0</v>
      </c>
    </row>
    <row r="24" spans="1:8">
      <c r="D24" s="651"/>
      <c r="F24" s="728">
        <f>+D21+F21+F15+D14</f>
        <v>3181</v>
      </c>
    </row>
    <row r="25" spans="1:8">
      <c r="A25" s="41" t="str">
        <f>+IF(D25&lt;1,"ADJUSTED LOSS:","ASSESSABLE PROFIT:")</f>
        <v>ASSESSABLE PROFIT:</v>
      </c>
      <c r="B25" s="41" t="str">
        <f>+CONCATENATE(E25,A9)</f>
        <v>For the Year of Assessment 2016/17</v>
      </c>
      <c r="D25" s="652">
        <f>SUM(D14:D24)</f>
        <v>933992</v>
      </c>
      <c r="E25" s="612" t="s">
        <v>479</v>
      </c>
    </row>
    <row r="26" spans="1:8">
      <c r="A26" s="41" t="s">
        <v>482</v>
      </c>
      <c r="D26" s="647">
        <f>Control!D127</f>
        <v>0</v>
      </c>
    </row>
    <row r="27" spans="1:8" ht="16.5" thickBot="1">
      <c r="D27" s="653">
        <f>+D25+D26</f>
        <v>933992</v>
      </c>
      <c r="F27" s="728">
        <f>+F24+D26</f>
        <v>3181</v>
      </c>
    </row>
    <row r="28" spans="1:8" ht="16.5" thickTop="1"/>
    <row r="29" spans="1:8">
      <c r="A29" s="918" t="str">
        <f>+CONCATENATE(E30,E31,E32,E39,F39,G39)</f>
        <v>FINAL ASSESSMENT 2016/17 AND PROVISIONAL PAYMENT 2017/18</v>
      </c>
      <c r="B29" s="918"/>
      <c r="C29" s="918"/>
      <c r="D29" s="918"/>
    </row>
    <row r="30" spans="1:8">
      <c r="D30" s="41"/>
      <c r="E30" s="612" t="s">
        <v>483</v>
      </c>
      <c r="H30" s="612">
        <v>11537</v>
      </c>
    </row>
    <row r="31" spans="1:8">
      <c r="A31" s="645" t="s">
        <v>484</v>
      </c>
      <c r="D31" s="41"/>
      <c r="E31" s="612" t="str">
        <f>+Control!D120</f>
        <v>2016/17</v>
      </c>
      <c r="H31" s="612">
        <v>8653</v>
      </c>
    </row>
    <row r="32" spans="1:8">
      <c r="D32" s="41"/>
      <c r="E32" s="612" t="s">
        <v>485</v>
      </c>
      <c r="H32" s="612">
        <f>+H30-H31</f>
        <v>2884</v>
      </c>
    </row>
    <row r="33" spans="1:9" ht="16.5" thickBot="1">
      <c r="A33" s="41" t="str">
        <f>+CONCATENATE(E42,A9)</f>
        <v>Assessable profit for the year of assessment 2016/17</v>
      </c>
      <c r="C33" s="654">
        <f>+D27</f>
        <v>933992</v>
      </c>
      <c r="D33" s="648"/>
    </row>
    <row r="34" spans="1:9" ht="16.5" thickTop="1">
      <c r="C34" s="648"/>
      <c r="D34" s="648"/>
      <c r="E34" s="729">
        <v>42825</v>
      </c>
      <c r="F34" s="729">
        <f>+Control!D12</f>
        <v>42735</v>
      </c>
      <c r="G34" s="730">
        <f>+F34-E34</f>
        <v>-90</v>
      </c>
    </row>
    <row r="35" spans="1:9">
      <c r="A35" s="41" t="s">
        <v>1227</v>
      </c>
      <c r="C35" s="648"/>
      <c r="D35" s="648">
        <f>+ROUND(C33*0.165,0)</f>
        <v>154109</v>
      </c>
      <c r="E35" s="729">
        <v>42460</v>
      </c>
      <c r="F35" s="729">
        <f>+Control!D12</f>
        <v>42735</v>
      </c>
      <c r="G35" s="730">
        <f>+F35-E35</f>
        <v>275</v>
      </c>
    </row>
    <row r="36" spans="1:9">
      <c r="C36" s="648"/>
      <c r="D36" s="648"/>
      <c r="E36" s="729">
        <v>42094</v>
      </c>
      <c r="F36" s="729">
        <f>+Control!D12</f>
        <v>42735</v>
      </c>
      <c r="G36" s="730">
        <f>+F36-E36</f>
        <v>641</v>
      </c>
    </row>
    <row r="37" spans="1:9">
      <c r="A37" s="41" t="str">
        <f>+IF(G34&gt;0,"",CONCATENATE(E44,F44))</f>
        <v>75% Tax deduction, limit to HK$20,000</v>
      </c>
      <c r="C37" s="648"/>
      <c r="D37" s="655">
        <f>+IF(G34&gt;0,"",MAX(-ROUND(D35*0.75,0),-Section6!Y316))</f>
        <v>-20000</v>
      </c>
      <c r="E37" s="729">
        <v>41729</v>
      </c>
      <c r="F37" s="729">
        <f>+Control!D12</f>
        <v>42735</v>
      </c>
      <c r="G37" s="730">
        <f>+F37-E37</f>
        <v>1006</v>
      </c>
    </row>
    <row r="38" spans="1:9">
      <c r="C38" s="648"/>
      <c r="D38" s="648">
        <f>+IF(G34&gt;0,D35,D35+D37)</f>
        <v>134109</v>
      </c>
      <c r="E38" s="730" t="str">
        <f>+LEFT(A9,4)</f>
        <v>2016</v>
      </c>
      <c r="F38" s="612" t="s">
        <v>487</v>
      </c>
      <c r="G38" s="612" t="str">
        <f>RIGHT(A9,2)</f>
        <v>17</v>
      </c>
      <c r="I38" s="731"/>
    </row>
    <row r="39" spans="1:9">
      <c r="A39" s="645" t="s">
        <v>489</v>
      </c>
      <c r="C39" s="648"/>
      <c r="D39" s="648"/>
      <c r="E39" s="732">
        <f>+E38+1</f>
        <v>2017</v>
      </c>
      <c r="F39" s="612" t="s">
        <v>487</v>
      </c>
      <c r="G39" s="612">
        <f>+G38+1</f>
        <v>18</v>
      </c>
    </row>
    <row r="40" spans="1:9">
      <c r="C40" s="648"/>
      <c r="D40" s="648"/>
    </row>
    <row r="41" spans="1:9" ht="16.5" thickBot="1">
      <c r="A41" s="41" t="str">
        <f>+CONCATENATE(E42,E39,F39,G39)</f>
        <v>Assessable profit for the year of assessment 2017/18</v>
      </c>
      <c r="C41" s="654">
        <f>+D25</f>
        <v>933992</v>
      </c>
      <c r="D41" s="648"/>
    </row>
    <row r="42" spans="1:9" ht="16.5" thickTop="1">
      <c r="C42" s="648"/>
      <c r="D42" s="648"/>
      <c r="E42" s="612" t="s">
        <v>488</v>
      </c>
    </row>
    <row r="43" spans="1:9">
      <c r="A43" s="41" t="s">
        <v>486</v>
      </c>
      <c r="C43" s="648"/>
      <c r="D43" s="656">
        <f>+C41*0.165</f>
        <v>154108.68</v>
      </c>
    </row>
    <row r="44" spans="1:9">
      <c r="C44" s="648"/>
      <c r="D44" s="657"/>
      <c r="E44" s="612" t="s">
        <v>1111</v>
      </c>
      <c r="F44" s="733" t="str">
        <f>+Section6!Y315</f>
        <v>HK$20,000</v>
      </c>
    </row>
    <row r="45" spans="1:9" ht="16.5" thickBot="1">
      <c r="A45" s="41" t="s">
        <v>490</v>
      </c>
      <c r="C45" s="648"/>
      <c r="D45" s="654">
        <f>+D38+D43</f>
        <v>288217.68</v>
      </c>
    </row>
    <row r="46" spans="1:9" ht="16.5" thickTop="1">
      <c r="D46" s="41"/>
      <c r="E46" s="612" t="str">
        <f>+IF(G46&gt;=2015,"",CONCATENATE(E44,F44))</f>
        <v>75% Tax deduction, limit to HK$20,000</v>
      </c>
    </row>
    <row r="47" spans="1:9" ht="31.5">
      <c r="B47" s="658" t="s">
        <v>1526</v>
      </c>
    </row>
    <row r="48" spans="1:9">
      <c r="B48" s="659" t="s">
        <v>1527</v>
      </c>
    </row>
    <row r="49" spans="2:2" ht="31.5">
      <c r="B49" s="658" t="s">
        <v>1528</v>
      </c>
    </row>
    <row r="50" spans="2:2">
      <c r="B50" s="658"/>
    </row>
    <row r="53" spans="2:2">
      <c r="B53" s="41" t="s">
        <v>1529</v>
      </c>
    </row>
    <row r="54" spans="2:2">
      <c r="B54" s="41" t="s">
        <v>1531</v>
      </c>
    </row>
    <row r="56" spans="2:2">
      <c r="B56" s="41" t="s">
        <v>1530</v>
      </c>
    </row>
  </sheetData>
  <mergeCells count="7">
    <mergeCell ref="A29:D29"/>
    <mergeCell ref="A1:D1"/>
    <mergeCell ref="A3:D3"/>
    <mergeCell ref="A5:D5"/>
    <mergeCell ref="A7:D7"/>
    <mergeCell ref="A9:D9"/>
    <mergeCell ref="A10:D10"/>
  </mergeCells>
  <phoneticPr fontId="13" type="noConversion"/>
  <pageMargins left="0.7" right="0.7" top="0.75" bottom="0.75" header="0.3" footer="0.3"/>
  <pageSetup paperSize="9" scale="85"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5">
    <pageSetUpPr fitToPage="1"/>
  </sheetPr>
  <dimension ref="A1:H40"/>
  <sheetViews>
    <sheetView zoomScale="75" workbookViewId="0">
      <selection activeCell="G10" sqref="G10"/>
    </sheetView>
  </sheetViews>
  <sheetFormatPr defaultRowHeight="15.75"/>
  <cols>
    <col min="1" max="1" width="28.25" style="529" customWidth="1" collapsed="1"/>
    <col min="2" max="2" width="10.125" style="529" bestFit="1" customWidth="1" collapsed="1"/>
    <col min="3" max="3" width="4.125" style="529" customWidth="1" collapsed="1"/>
    <col min="4" max="4" width="11.25" style="529" bestFit="1" customWidth="1" collapsed="1"/>
    <col min="5" max="5" width="4.125" style="529" customWidth="1" collapsed="1"/>
    <col min="6" max="6" width="11.25" style="529" customWidth="1" collapsed="1"/>
    <col min="7" max="7" width="4" style="529" customWidth="1" collapsed="1"/>
    <col min="8" max="8" width="12.5" style="529" bestFit="1" customWidth="1" collapsed="1"/>
    <col min="9" max="256" width="9" style="529" collapsed="1"/>
    <col min="257" max="257" width="28.25" style="529" customWidth="1" collapsed="1"/>
    <col min="258" max="258" width="10.125" style="529" bestFit="1" customWidth="1" collapsed="1"/>
    <col min="259" max="259" width="4.125" style="529" customWidth="1" collapsed="1"/>
    <col min="260" max="260" width="11.25" style="529" bestFit="1" customWidth="1" collapsed="1"/>
    <col min="261" max="261" width="4.125" style="529" customWidth="1" collapsed="1"/>
    <col min="262" max="262" width="11.25" style="529" customWidth="1" collapsed="1"/>
    <col min="263" max="263" width="4" style="529" customWidth="1" collapsed="1"/>
    <col min="264" max="264" width="12.5" style="529" bestFit="1" customWidth="1" collapsed="1"/>
    <col min="265" max="512" width="9" style="529" collapsed="1"/>
    <col min="513" max="513" width="28.25" style="529" customWidth="1" collapsed="1"/>
    <col min="514" max="514" width="10.125" style="529" bestFit="1" customWidth="1" collapsed="1"/>
    <col min="515" max="515" width="4.125" style="529" customWidth="1" collapsed="1"/>
    <col min="516" max="516" width="11.25" style="529" bestFit="1" customWidth="1" collapsed="1"/>
    <col min="517" max="517" width="4.125" style="529" customWidth="1" collapsed="1"/>
    <col min="518" max="518" width="11.25" style="529" customWidth="1" collapsed="1"/>
    <col min="519" max="519" width="4" style="529" customWidth="1" collapsed="1"/>
    <col min="520" max="520" width="12.5" style="529" bestFit="1" customWidth="1" collapsed="1"/>
    <col min="521" max="768" width="9" style="529" collapsed="1"/>
    <col min="769" max="769" width="28.25" style="529" customWidth="1" collapsed="1"/>
    <col min="770" max="770" width="10.125" style="529" bestFit="1" customWidth="1" collapsed="1"/>
    <col min="771" max="771" width="4.125" style="529" customWidth="1" collapsed="1"/>
    <col min="772" max="772" width="11.25" style="529" bestFit="1" customWidth="1" collapsed="1"/>
    <col min="773" max="773" width="4.125" style="529" customWidth="1" collapsed="1"/>
    <col min="774" max="774" width="11.25" style="529" customWidth="1" collapsed="1"/>
    <col min="775" max="775" width="4" style="529" customWidth="1" collapsed="1"/>
    <col min="776" max="776" width="12.5" style="529" bestFit="1" customWidth="1" collapsed="1"/>
    <col min="777" max="1024" width="9" style="529" collapsed="1"/>
    <col min="1025" max="1025" width="28.25" style="529" customWidth="1" collapsed="1"/>
    <col min="1026" max="1026" width="10.125" style="529" bestFit="1" customWidth="1" collapsed="1"/>
    <col min="1027" max="1027" width="4.125" style="529" customWidth="1" collapsed="1"/>
    <col min="1028" max="1028" width="11.25" style="529" bestFit="1" customWidth="1" collapsed="1"/>
    <col min="1029" max="1029" width="4.125" style="529" customWidth="1" collapsed="1"/>
    <col min="1030" max="1030" width="11.25" style="529" customWidth="1" collapsed="1"/>
    <col min="1031" max="1031" width="4" style="529" customWidth="1" collapsed="1"/>
    <col min="1032" max="1032" width="12.5" style="529" bestFit="1" customWidth="1" collapsed="1"/>
    <col min="1033" max="1280" width="9" style="529" collapsed="1"/>
    <col min="1281" max="1281" width="28.25" style="529" customWidth="1" collapsed="1"/>
    <col min="1282" max="1282" width="10.125" style="529" bestFit="1" customWidth="1" collapsed="1"/>
    <col min="1283" max="1283" width="4.125" style="529" customWidth="1" collapsed="1"/>
    <col min="1284" max="1284" width="11.25" style="529" bestFit="1" customWidth="1" collapsed="1"/>
    <col min="1285" max="1285" width="4.125" style="529" customWidth="1" collapsed="1"/>
    <col min="1286" max="1286" width="11.25" style="529" customWidth="1" collapsed="1"/>
    <col min="1287" max="1287" width="4" style="529" customWidth="1" collapsed="1"/>
    <col min="1288" max="1288" width="12.5" style="529" bestFit="1" customWidth="1" collapsed="1"/>
    <col min="1289" max="1536" width="9" style="529" collapsed="1"/>
    <col min="1537" max="1537" width="28.25" style="529" customWidth="1" collapsed="1"/>
    <col min="1538" max="1538" width="10.125" style="529" bestFit="1" customWidth="1" collapsed="1"/>
    <col min="1539" max="1539" width="4.125" style="529" customWidth="1" collapsed="1"/>
    <col min="1540" max="1540" width="11.25" style="529" bestFit="1" customWidth="1" collapsed="1"/>
    <col min="1541" max="1541" width="4.125" style="529" customWidth="1" collapsed="1"/>
    <col min="1542" max="1542" width="11.25" style="529" customWidth="1" collapsed="1"/>
    <col min="1543" max="1543" width="4" style="529" customWidth="1" collapsed="1"/>
    <col min="1544" max="1544" width="12.5" style="529" bestFit="1" customWidth="1" collapsed="1"/>
    <col min="1545" max="1792" width="9" style="529" collapsed="1"/>
    <col min="1793" max="1793" width="28.25" style="529" customWidth="1" collapsed="1"/>
    <col min="1794" max="1794" width="10.125" style="529" bestFit="1" customWidth="1" collapsed="1"/>
    <col min="1795" max="1795" width="4.125" style="529" customWidth="1" collapsed="1"/>
    <col min="1796" max="1796" width="11.25" style="529" bestFit="1" customWidth="1" collapsed="1"/>
    <col min="1797" max="1797" width="4.125" style="529" customWidth="1" collapsed="1"/>
    <col min="1798" max="1798" width="11.25" style="529" customWidth="1" collapsed="1"/>
    <col min="1799" max="1799" width="4" style="529" customWidth="1" collapsed="1"/>
    <col min="1800" max="1800" width="12.5" style="529" bestFit="1" customWidth="1" collapsed="1"/>
    <col min="1801" max="2048" width="9" style="529" collapsed="1"/>
    <col min="2049" max="2049" width="28.25" style="529" customWidth="1" collapsed="1"/>
    <col min="2050" max="2050" width="10.125" style="529" bestFit="1" customWidth="1" collapsed="1"/>
    <col min="2051" max="2051" width="4.125" style="529" customWidth="1" collapsed="1"/>
    <col min="2052" max="2052" width="11.25" style="529" bestFit="1" customWidth="1" collapsed="1"/>
    <col min="2053" max="2053" width="4.125" style="529" customWidth="1" collapsed="1"/>
    <col min="2054" max="2054" width="11.25" style="529" customWidth="1" collapsed="1"/>
    <col min="2055" max="2055" width="4" style="529" customWidth="1" collapsed="1"/>
    <col min="2056" max="2056" width="12.5" style="529" bestFit="1" customWidth="1" collapsed="1"/>
    <col min="2057" max="2304" width="9" style="529" collapsed="1"/>
    <col min="2305" max="2305" width="28.25" style="529" customWidth="1" collapsed="1"/>
    <col min="2306" max="2306" width="10.125" style="529" bestFit="1" customWidth="1" collapsed="1"/>
    <col min="2307" max="2307" width="4.125" style="529" customWidth="1" collapsed="1"/>
    <col min="2308" max="2308" width="11.25" style="529" bestFit="1" customWidth="1" collapsed="1"/>
    <col min="2309" max="2309" width="4.125" style="529" customWidth="1" collapsed="1"/>
    <col min="2310" max="2310" width="11.25" style="529" customWidth="1" collapsed="1"/>
    <col min="2311" max="2311" width="4" style="529" customWidth="1" collapsed="1"/>
    <col min="2312" max="2312" width="12.5" style="529" bestFit="1" customWidth="1" collapsed="1"/>
    <col min="2313" max="2560" width="9" style="529" collapsed="1"/>
    <col min="2561" max="2561" width="28.25" style="529" customWidth="1" collapsed="1"/>
    <col min="2562" max="2562" width="10.125" style="529" bestFit="1" customWidth="1" collapsed="1"/>
    <col min="2563" max="2563" width="4.125" style="529" customWidth="1" collapsed="1"/>
    <col min="2564" max="2564" width="11.25" style="529" bestFit="1" customWidth="1" collapsed="1"/>
    <col min="2565" max="2565" width="4.125" style="529" customWidth="1" collapsed="1"/>
    <col min="2566" max="2566" width="11.25" style="529" customWidth="1" collapsed="1"/>
    <col min="2567" max="2567" width="4" style="529" customWidth="1" collapsed="1"/>
    <col min="2568" max="2568" width="12.5" style="529" bestFit="1" customWidth="1" collapsed="1"/>
    <col min="2569" max="2816" width="9" style="529" collapsed="1"/>
    <col min="2817" max="2817" width="28.25" style="529" customWidth="1" collapsed="1"/>
    <col min="2818" max="2818" width="10.125" style="529" bestFit="1" customWidth="1" collapsed="1"/>
    <col min="2819" max="2819" width="4.125" style="529" customWidth="1" collapsed="1"/>
    <col min="2820" max="2820" width="11.25" style="529" bestFit="1" customWidth="1" collapsed="1"/>
    <col min="2821" max="2821" width="4.125" style="529" customWidth="1" collapsed="1"/>
    <col min="2822" max="2822" width="11.25" style="529" customWidth="1" collapsed="1"/>
    <col min="2823" max="2823" width="4" style="529" customWidth="1" collapsed="1"/>
    <col min="2824" max="2824" width="12.5" style="529" bestFit="1" customWidth="1" collapsed="1"/>
    <col min="2825" max="3072" width="9" style="529" collapsed="1"/>
    <col min="3073" max="3073" width="28.25" style="529" customWidth="1" collapsed="1"/>
    <col min="3074" max="3074" width="10.125" style="529" bestFit="1" customWidth="1" collapsed="1"/>
    <col min="3075" max="3075" width="4.125" style="529" customWidth="1" collapsed="1"/>
    <col min="3076" max="3076" width="11.25" style="529" bestFit="1" customWidth="1" collapsed="1"/>
    <col min="3077" max="3077" width="4.125" style="529" customWidth="1" collapsed="1"/>
    <col min="3078" max="3078" width="11.25" style="529" customWidth="1" collapsed="1"/>
    <col min="3079" max="3079" width="4" style="529" customWidth="1" collapsed="1"/>
    <col min="3080" max="3080" width="12.5" style="529" bestFit="1" customWidth="1" collapsed="1"/>
    <col min="3081" max="3328" width="9" style="529" collapsed="1"/>
    <col min="3329" max="3329" width="28.25" style="529" customWidth="1" collapsed="1"/>
    <col min="3330" max="3330" width="10.125" style="529" bestFit="1" customWidth="1" collapsed="1"/>
    <col min="3331" max="3331" width="4.125" style="529" customWidth="1" collapsed="1"/>
    <col min="3332" max="3332" width="11.25" style="529" bestFit="1" customWidth="1" collapsed="1"/>
    <col min="3333" max="3333" width="4.125" style="529" customWidth="1" collapsed="1"/>
    <col min="3334" max="3334" width="11.25" style="529" customWidth="1" collapsed="1"/>
    <col min="3335" max="3335" width="4" style="529" customWidth="1" collapsed="1"/>
    <col min="3336" max="3336" width="12.5" style="529" bestFit="1" customWidth="1" collapsed="1"/>
    <col min="3337" max="3584" width="9" style="529" collapsed="1"/>
    <col min="3585" max="3585" width="28.25" style="529" customWidth="1" collapsed="1"/>
    <col min="3586" max="3586" width="10.125" style="529" bestFit="1" customWidth="1" collapsed="1"/>
    <col min="3587" max="3587" width="4.125" style="529" customWidth="1" collapsed="1"/>
    <col min="3588" max="3588" width="11.25" style="529" bestFit="1" customWidth="1" collapsed="1"/>
    <col min="3589" max="3589" width="4.125" style="529" customWidth="1" collapsed="1"/>
    <col min="3590" max="3590" width="11.25" style="529" customWidth="1" collapsed="1"/>
    <col min="3591" max="3591" width="4" style="529" customWidth="1" collapsed="1"/>
    <col min="3592" max="3592" width="12.5" style="529" bestFit="1" customWidth="1" collapsed="1"/>
    <col min="3593" max="3840" width="9" style="529" collapsed="1"/>
    <col min="3841" max="3841" width="28.25" style="529" customWidth="1" collapsed="1"/>
    <col min="3842" max="3842" width="10.125" style="529" bestFit="1" customWidth="1" collapsed="1"/>
    <col min="3843" max="3843" width="4.125" style="529" customWidth="1" collapsed="1"/>
    <col min="3844" max="3844" width="11.25" style="529" bestFit="1" customWidth="1" collapsed="1"/>
    <col min="3845" max="3845" width="4.125" style="529" customWidth="1" collapsed="1"/>
    <col min="3846" max="3846" width="11.25" style="529" customWidth="1" collapsed="1"/>
    <col min="3847" max="3847" width="4" style="529" customWidth="1" collapsed="1"/>
    <col min="3848" max="3848" width="12.5" style="529" bestFit="1" customWidth="1" collapsed="1"/>
    <col min="3849" max="4096" width="9" style="529" collapsed="1"/>
    <col min="4097" max="4097" width="28.25" style="529" customWidth="1" collapsed="1"/>
    <col min="4098" max="4098" width="10.125" style="529" bestFit="1" customWidth="1" collapsed="1"/>
    <col min="4099" max="4099" width="4.125" style="529" customWidth="1" collapsed="1"/>
    <col min="4100" max="4100" width="11.25" style="529" bestFit="1" customWidth="1" collapsed="1"/>
    <col min="4101" max="4101" width="4.125" style="529" customWidth="1" collapsed="1"/>
    <col min="4102" max="4102" width="11.25" style="529" customWidth="1" collapsed="1"/>
    <col min="4103" max="4103" width="4" style="529" customWidth="1" collapsed="1"/>
    <col min="4104" max="4104" width="12.5" style="529" bestFit="1" customWidth="1" collapsed="1"/>
    <col min="4105" max="4352" width="9" style="529" collapsed="1"/>
    <col min="4353" max="4353" width="28.25" style="529" customWidth="1" collapsed="1"/>
    <col min="4354" max="4354" width="10.125" style="529" bestFit="1" customWidth="1" collapsed="1"/>
    <col min="4355" max="4355" width="4.125" style="529" customWidth="1" collapsed="1"/>
    <col min="4356" max="4356" width="11.25" style="529" bestFit="1" customWidth="1" collapsed="1"/>
    <col min="4357" max="4357" width="4.125" style="529" customWidth="1" collapsed="1"/>
    <col min="4358" max="4358" width="11.25" style="529" customWidth="1" collapsed="1"/>
    <col min="4359" max="4359" width="4" style="529" customWidth="1" collapsed="1"/>
    <col min="4360" max="4360" width="12.5" style="529" bestFit="1" customWidth="1" collapsed="1"/>
    <col min="4361" max="4608" width="9" style="529" collapsed="1"/>
    <col min="4609" max="4609" width="28.25" style="529" customWidth="1" collapsed="1"/>
    <col min="4610" max="4610" width="10.125" style="529" bestFit="1" customWidth="1" collapsed="1"/>
    <col min="4611" max="4611" width="4.125" style="529" customWidth="1" collapsed="1"/>
    <col min="4612" max="4612" width="11.25" style="529" bestFit="1" customWidth="1" collapsed="1"/>
    <col min="4613" max="4613" width="4.125" style="529" customWidth="1" collapsed="1"/>
    <col min="4614" max="4614" width="11.25" style="529" customWidth="1" collapsed="1"/>
    <col min="4615" max="4615" width="4" style="529" customWidth="1" collapsed="1"/>
    <col min="4616" max="4616" width="12.5" style="529" bestFit="1" customWidth="1" collapsed="1"/>
    <col min="4617" max="4864" width="9" style="529" collapsed="1"/>
    <col min="4865" max="4865" width="28.25" style="529" customWidth="1" collapsed="1"/>
    <col min="4866" max="4866" width="10.125" style="529" bestFit="1" customWidth="1" collapsed="1"/>
    <col min="4867" max="4867" width="4.125" style="529" customWidth="1" collapsed="1"/>
    <col min="4868" max="4868" width="11.25" style="529" bestFit="1" customWidth="1" collapsed="1"/>
    <col min="4869" max="4869" width="4.125" style="529" customWidth="1" collapsed="1"/>
    <col min="4870" max="4870" width="11.25" style="529" customWidth="1" collapsed="1"/>
    <col min="4871" max="4871" width="4" style="529" customWidth="1" collapsed="1"/>
    <col min="4872" max="4872" width="12.5" style="529" bestFit="1" customWidth="1" collapsed="1"/>
    <col min="4873" max="5120" width="9" style="529" collapsed="1"/>
    <col min="5121" max="5121" width="28.25" style="529" customWidth="1" collapsed="1"/>
    <col min="5122" max="5122" width="10.125" style="529" bestFit="1" customWidth="1" collapsed="1"/>
    <col min="5123" max="5123" width="4.125" style="529" customWidth="1" collapsed="1"/>
    <col min="5124" max="5124" width="11.25" style="529" bestFit="1" customWidth="1" collapsed="1"/>
    <col min="5125" max="5125" width="4.125" style="529" customWidth="1" collapsed="1"/>
    <col min="5126" max="5126" width="11.25" style="529" customWidth="1" collapsed="1"/>
    <col min="5127" max="5127" width="4" style="529" customWidth="1" collapsed="1"/>
    <col min="5128" max="5128" width="12.5" style="529" bestFit="1" customWidth="1" collapsed="1"/>
    <col min="5129" max="5376" width="9" style="529" collapsed="1"/>
    <col min="5377" max="5377" width="28.25" style="529" customWidth="1" collapsed="1"/>
    <col min="5378" max="5378" width="10.125" style="529" bestFit="1" customWidth="1" collapsed="1"/>
    <col min="5379" max="5379" width="4.125" style="529" customWidth="1" collapsed="1"/>
    <col min="5380" max="5380" width="11.25" style="529" bestFit="1" customWidth="1" collapsed="1"/>
    <col min="5381" max="5381" width="4.125" style="529" customWidth="1" collapsed="1"/>
    <col min="5382" max="5382" width="11.25" style="529" customWidth="1" collapsed="1"/>
    <col min="5383" max="5383" width="4" style="529" customWidth="1" collapsed="1"/>
    <col min="5384" max="5384" width="12.5" style="529" bestFit="1" customWidth="1" collapsed="1"/>
    <col min="5385" max="5632" width="9" style="529" collapsed="1"/>
    <col min="5633" max="5633" width="28.25" style="529" customWidth="1" collapsed="1"/>
    <col min="5634" max="5634" width="10.125" style="529" bestFit="1" customWidth="1" collapsed="1"/>
    <col min="5635" max="5635" width="4.125" style="529" customWidth="1" collapsed="1"/>
    <col min="5636" max="5636" width="11.25" style="529" bestFit="1" customWidth="1" collapsed="1"/>
    <col min="5637" max="5637" width="4.125" style="529" customWidth="1" collapsed="1"/>
    <col min="5638" max="5638" width="11.25" style="529" customWidth="1" collapsed="1"/>
    <col min="5639" max="5639" width="4" style="529" customWidth="1" collapsed="1"/>
    <col min="5640" max="5640" width="12.5" style="529" bestFit="1" customWidth="1" collapsed="1"/>
    <col min="5641" max="5888" width="9" style="529" collapsed="1"/>
    <col min="5889" max="5889" width="28.25" style="529" customWidth="1" collapsed="1"/>
    <col min="5890" max="5890" width="10.125" style="529" bestFit="1" customWidth="1" collapsed="1"/>
    <col min="5891" max="5891" width="4.125" style="529" customWidth="1" collapsed="1"/>
    <col min="5892" max="5892" width="11.25" style="529" bestFit="1" customWidth="1" collapsed="1"/>
    <col min="5893" max="5893" width="4.125" style="529" customWidth="1" collapsed="1"/>
    <col min="5894" max="5894" width="11.25" style="529" customWidth="1" collapsed="1"/>
    <col min="5895" max="5895" width="4" style="529" customWidth="1" collapsed="1"/>
    <col min="5896" max="5896" width="12.5" style="529" bestFit="1" customWidth="1" collapsed="1"/>
    <col min="5897" max="6144" width="9" style="529" collapsed="1"/>
    <col min="6145" max="6145" width="28.25" style="529" customWidth="1" collapsed="1"/>
    <col min="6146" max="6146" width="10.125" style="529" bestFit="1" customWidth="1" collapsed="1"/>
    <col min="6147" max="6147" width="4.125" style="529" customWidth="1" collapsed="1"/>
    <col min="6148" max="6148" width="11.25" style="529" bestFit="1" customWidth="1" collapsed="1"/>
    <col min="6149" max="6149" width="4.125" style="529" customWidth="1" collapsed="1"/>
    <col min="6150" max="6150" width="11.25" style="529" customWidth="1" collapsed="1"/>
    <col min="6151" max="6151" width="4" style="529" customWidth="1" collapsed="1"/>
    <col min="6152" max="6152" width="12.5" style="529" bestFit="1" customWidth="1" collapsed="1"/>
    <col min="6153" max="6400" width="9" style="529" collapsed="1"/>
    <col min="6401" max="6401" width="28.25" style="529" customWidth="1" collapsed="1"/>
    <col min="6402" max="6402" width="10.125" style="529" bestFit="1" customWidth="1" collapsed="1"/>
    <col min="6403" max="6403" width="4.125" style="529" customWidth="1" collapsed="1"/>
    <col min="6404" max="6404" width="11.25" style="529" bestFit="1" customWidth="1" collapsed="1"/>
    <col min="6405" max="6405" width="4.125" style="529" customWidth="1" collapsed="1"/>
    <col min="6406" max="6406" width="11.25" style="529" customWidth="1" collapsed="1"/>
    <col min="6407" max="6407" width="4" style="529" customWidth="1" collapsed="1"/>
    <col min="6408" max="6408" width="12.5" style="529" bestFit="1" customWidth="1" collapsed="1"/>
    <col min="6409" max="6656" width="9" style="529" collapsed="1"/>
    <col min="6657" max="6657" width="28.25" style="529" customWidth="1" collapsed="1"/>
    <col min="6658" max="6658" width="10.125" style="529" bestFit="1" customWidth="1" collapsed="1"/>
    <col min="6659" max="6659" width="4.125" style="529" customWidth="1" collapsed="1"/>
    <col min="6660" max="6660" width="11.25" style="529" bestFit="1" customWidth="1" collapsed="1"/>
    <col min="6661" max="6661" width="4.125" style="529" customWidth="1" collapsed="1"/>
    <col min="6662" max="6662" width="11.25" style="529" customWidth="1" collapsed="1"/>
    <col min="6663" max="6663" width="4" style="529" customWidth="1" collapsed="1"/>
    <col min="6664" max="6664" width="12.5" style="529" bestFit="1" customWidth="1" collapsed="1"/>
    <col min="6665" max="6912" width="9" style="529" collapsed="1"/>
    <col min="6913" max="6913" width="28.25" style="529" customWidth="1" collapsed="1"/>
    <col min="6914" max="6914" width="10.125" style="529" bestFit="1" customWidth="1" collapsed="1"/>
    <col min="6915" max="6915" width="4.125" style="529" customWidth="1" collapsed="1"/>
    <col min="6916" max="6916" width="11.25" style="529" bestFit="1" customWidth="1" collapsed="1"/>
    <col min="6917" max="6917" width="4.125" style="529" customWidth="1" collapsed="1"/>
    <col min="6918" max="6918" width="11.25" style="529" customWidth="1" collapsed="1"/>
    <col min="6919" max="6919" width="4" style="529" customWidth="1" collapsed="1"/>
    <col min="6920" max="6920" width="12.5" style="529" bestFit="1" customWidth="1" collapsed="1"/>
    <col min="6921" max="7168" width="9" style="529" collapsed="1"/>
    <col min="7169" max="7169" width="28.25" style="529" customWidth="1" collapsed="1"/>
    <col min="7170" max="7170" width="10.125" style="529" bestFit="1" customWidth="1" collapsed="1"/>
    <col min="7171" max="7171" width="4.125" style="529" customWidth="1" collapsed="1"/>
    <col min="7172" max="7172" width="11.25" style="529" bestFit="1" customWidth="1" collapsed="1"/>
    <col min="7173" max="7173" width="4.125" style="529" customWidth="1" collapsed="1"/>
    <col min="7174" max="7174" width="11.25" style="529" customWidth="1" collapsed="1"/>
    <col min="7175" max="7175" width="4" style="529" customWidth="1" collapsed="1"/>
    <col min="7176" max="7176" width="12.5" style="529" bestFit="1" customWidth="1" collapsed="1"/>
    <col min="7177" max="7424" width="9" style="529" collapsed="1"/>
    <col min="7425" max="7425" width="28.25" style="529" customWidth="1" collapsed="1"/>
    <col min="7426" max="7426" width="10.125" style="529" bestFit="1" customWidth="1" collapsed="1"/>
    <col min="7427" max="7427" width="4.125" style="529" customWidth="1" collapsed="1"/>
    <col min="7428" max="7428" width="11.25" style="529" bestFit="1" customWidth="1" collapsed="1"/>
    <col min="7429" max="7429" width="4.125" style="529" customWidth="1" collapsed="1"/>
    <col min="7430" max="7430" width="11.25" style="529" customWidth="1" collapsed="1"/>
    <col min="7431" max="7431" width="4" style="529" customWidth="1" collapsed="1"/>
    <col min="7432" max="7432" width="12.5" style="529" bestFit="1" customWidth="1" collapsed="1"/>
    <col min="7433" max="7680" width="9" style="529" collapsed="1"/>
    <col min="7681" max="7681" width="28.25" style="529" customWidth="1" collapsed="1"/>
    <col min="7682" max="7682" width="10.125" style="529" bestFit="1" customWidth="1" collapsed="1"/>
    <col min="7683" max="7683" width="4.125" style="529" customWidth="1" collapsed="1"/>
    <col min="7684" max="7684" width="11.25" style="529" bestFit="1" customWidth="1" collapsed="1"/>
    <col min="7685" max="7685" width="4.125" style="529" customWidth="1" collapsed="1"/>
    <col min="7686" max="7686" width="11.25" style="529" customWidth="1" collapsed="1"/>
    <col min="7687" max="7687" width="4" style="529" customWidth="1" collapsed="1"/>
    <col min="7688" max="7688" width="12.5" style="529" bestFit="1" customWidth="1" collapsed="1"/>
    <col min="7689" max="7936" width="9" style="529" collapsed="1"/>
    <col min="7937" max="7937" width="28.25" style="529" customWidth="1" collapsed="1"/>
    <col min="7938" max="7938" width="10.125" style="529" bestFit="1" customWidth="1" collapsed="1"/>
    <col min="7939" max="7939" width="4.125" style="529" customWidth="1" collapsed="1"/>
    <col min="7940" max="7940" width="11.25" style="529" bestFit="1" customWidth="1" collapsed="1"/>
    <col min="7941" max="7941" width="4.125" style="529" customWidth="1" collapsed="1"/>
    <col min="7942" max="7942" width="11.25" style="529" customWidth="1" collapsed="1"/>
    <col min="7943" max="7943" width="4" style="529" customWidth="1" collapsed="1"/>
    <col min="7944" max="7944" width="12.5" style="529" bestFit="1" customWidth="1" collapsed="1"/>
    <col min="7945" max="8192" width="9" style="529" collapsed="1"/>
    <col min="8193" max="8193" width="28.25" style="529" customWidth="1" collapsed="1"/>
    <col min="8194" max="8194" width="10.125" style="529" bestFit="1" customWidth="1" collapsed="1"/>
    <col min="8195" max="8195" width="4.125" style="529" customWidth="1" collapsed="1"/>
    <col min="8196" max="8196" width="11.25" style="529" bestFit="1" customWidth="1" collapsed="1"/>
    <col min="8197" max="8197" width="4.125" style="529" customWidth="1" collapsed="1"/>
    <col min="8198" max="8198" width="11.25" style="529" customWidth="1" collapsed="1"/>
    <col min="8199" max="8199" width="4" style="529" customWidth="1" collapsed="1"/>
    <col min="8200" max="8200" width="12.5" style="529" bestFit="1" customWidth="1" collapsed="1"/>
    <col min="8201" max="8448" width="9" style="529" collapsed="1"/>
    <col min="8449" max="8449" width="28.25" style="529" customWidth="1" collapsed="1"/>
    <col min="8450" max="8450" width="10.125" style="529" bestFit="1" customWidth="1" collapsed="1"/>
    <col min="8451" max="8451" width="4.125" style="529" customWidth="1" collapsed="1"/>
    <col min="8452" max="8452" width="11.25" style="529" bestFit="1" customWidth="1" collapsed="1"/>
    <col min="8453" max="8453" width="4.125" style="529" customWidth="1" collapsed="1"/>
    <col min="8454" max="8454" width="11.25" style="529" customWidth="1" collapsed="1"/>
    <col min="8455" max="8455" width="4" style="529" customWidth="1" collapsed="1"/>
    <col min="8456" max="8456" width="12.5" style="529" bestFit="1" customWidth="1" collapsed="1"/>
    <col min="8457" max="8704" width="9" style="529" collapsed="1"/>
    <col min="8705" max="8705" width="28.25" style="529" customWidth="1" collapsed="1"/>
    <col min="8706" max="8706" width="10.125" style="529" bestFit="1" customWidth="1" collapsed="1"/>
    <col min="8707" max="8707" width="4.125" style="529" customWidth="1" collapsed="1"/>
    <col min="8708" max="8708" width="11.25" style="529" bestFit="1" customWidth="1" collapsed="1"/>
    <col min="8709" max="8709" width="4.125" style="529" customWidth="1" collapsed="1"/>
    <col min="8710" max="8710" width="11.25" style="529" customWidth="1" collapsed="1"/>
    <col min="8711" max="8711" width="4" style="529" customWidth="1" collapsed="1"/>
    <col min="8712" max="8712" width="12.5" style="529" bestFit="1" customWidth="1" collapsed="1"/>
    <col min="8713" max="8960" width="9" style="529" collapsed="1"/>
    <col min="8961" max="8961" width="28.25" style="529" customWidth="1" collapsed="1"/>
    <col min="8962" max="8962" width="10.125" style="529" bestFit="1" customWidth="1" collapsed="1"/>
    <col min="8963" max="8963" width="4.125" style="529" customWidth="1" collapsed="1"/>
    <col min="8964" max="8964" width="11.25" style="529" bestFit="1" customWidth="1" collapsed="1"/>
    <col min="8965" max="8965" width="4.125" style="529" customWidth="1" collapsed="1"/>
    <col min="8966" max="8966" width="11.25" style="529" customWidth="1" collapsed="1"/>
    <col min="8967" max="8967" width="4" style="529" customWidth="1" collapsed="1"/>
    <col min="8968" max="8968" width="12.5" style="529" bestFit="1" customWidth="1" collapsed="1"/>
    <col min="8969" max="9216" width="9" style="529" collapsed="1"/>
    <col min="9217" max="9217" width="28.25" style="529" customWidth="1" collapsed="1"/>
    <col min="9218" max="9218" width="10.125" style="529" bestFit="1" customWidth="1" collapsed="1"/>
    <col min="9219" max="9219" width="4.125" style="529" customWidth="1" collapsed="1"/>
    <col min="9220" max="9220" width="11.25" style="529" bestFit="1" customWidth="1" collapsed="1"/>
    <col min="9221" max="9221" width="4.125" style="529" customWidth="1" collapsed="1"/>
    <col min="9222" max="9222" width="11.25" style="529" customWidth="1" collapsed="1"/>
    <col min="9223" max="9223" width="4" style="529" customWidth="1" collapsed="1"/>
    <col min="9224" max="9224" width="12.5" style="529" bestFit="1" customWidth="1" collapsed="1"/>
    <col min="9225" max="9472" width="9" style="529" collapsed="1"/>
    <col min="9473" max="9473" width="28.25" style="529" customWidth="1" collapsed="1"/>
    <col min="9474" max="9474" width="10.125" style="529" bestFit="1" customWidth="1" collapsed="1"/>
    <col min="9475" max="9475" width="4.125" style="529" customWidth="1" collapsed="1"/>
    <col min="9476" max="9476" width="11.25" style="529" bestFit="1" customWidth="1" collapsed="1"/>
    <col min="9477" max="9477" width="4.125" style="529" customWidth="1" collapsed="1"/>
    <col min="9478" max="9478" width="11.25" style="529" customWidth="1" collapsed="1"/>
    <col min="9479" max="9479" width="4" style="529" customWidth="1" collapsed="1"/>
    <col min="9480" max="9480" width="12.5" style="529" bestFit="1" customWidth="1" collapsed="1"/>
    <col min="9481" max="9728" width="9" style="529" collapsed="1"/>
    <col min="9729" max="9729" width="28.25" style="529" customWidth="1" collapsed="1"/>
    <col min="9730" max="9730" width="10.125" style="529" bestFit="1" customWidth="1" collapsed="1"/>
    <col min="9731" max="9731" width="4.125" style="529" customWidth="1" collapsed="1"/>
    <col min="9732" max="9732" width="11.25" style="529" bestFit="1" customWidth="1" collapsed="1"/>
    <col min="9733" max="9733" width="4.125" style="529" customWidth="1" collapsed="1"/>
    <col min="9734" max="9734" width="11.25" style="529" customWidth="1" collapsed="1"/>
    <col min="9735" max="9735" width="4" style="529" customWidth="1" collapsed="1"/>
    <col min="9736" max="9736" width="12.5" style="529" bestFit="1" customWidth="1" collapsed="1"/>
    <col min="9737" max="9984" width="9" style="529" collapsed="1"/>
    <col min="9985" max="9985" width="28.25" style="529" customWidth="1" collapsed="1"/>
    <col min="9986" max="9986" width="10.125" style="529" bestFit="1" customWidth="1" collapsed="1"/>
    <col min="9987" max="9987" width="4.125" style="529" customWidth="1" collapsed="1"/>
    <col min="9988" max="9988" width="11.25" style="529" bestFit="1" customWidth="1" collapsed="1"/>
    <col min="9989" max="9989" width="4.125" style="529" customWidth="1" collapsed="1"/>
    <col min="9990" max="9990" width="11.25" style="529" customWidth="1" collapsed="1"/>
    <col min="9991" max="9991" width="4" style="529" customWidth="1" collapsed="1"/>
    <col min="9992" max="9992" width="12.5" style="529" bestFit="1" customWidth="1" collapsed="1"/>
    <col min="9993" max="10240" width="9" style="529" collapsed="1"/>
    <col min="10241" max="10241" width="28.25" style="529" customWidth="1" collapsed="1"/>
    <col min="10242" max="10242" width="10.125" style="529" bestFit="1" customWidth="1" collapsed="1"/>
    <col min="10243" max="10243" width="4.125" style="529" customWidth="1" collapsed="1"/>
    <col min="10244" max="10244" width="11.25" style="529" bestFit="1" customWidth="1" collapsed="1"/>
    <col min="10245" max="10245" width="4.125" style="529" customWidth="1" collapsed="1"/>
    <col min="10246" max="10246" width="11.25" style="529" customWidth="1" collapsed="1"/>
    <col min="10247" max="10247" width="4" style="529" customWidth="1" collapsed="1"/>
    <col min="10248" max="10248" width="12.5" style="529" bestFit="1" customWidth="1" collapsed="1"/>
    <col min="10249" max="10496" width="9" style="529" collapsed="1"/>
    <col min="10497" max="10497" width="28.25" style="529" customWidth="1" collapsed="1"/>
    <col min="10498" max="10498" width="10.125" style="529" bestFit="1" customWidth="1" collapsed="1"/>
    <col min="10499" max="10499" width="4.125" style="529" customWidth="1" collapsed="1"/>
    <col min="10500" max="10500" width="11.25" style="529" bestFit="1" customWidth="1" collapsed="1"/>
    <col min="10501" max="10501" width="4.125" style="529" customWidth="1" collapsed="1"/>
    <col min="10502" max="10502" width="11.25" style="529" customWidth="1" collapsed="1"/>
    <col min="10503" max="10503" width="4" style="529" customWidth="1" collapsed="1"/>
    <col min="10504" max="10504" width="12.5" style="529" bestFit="1" customWidth="1" collapsed="1"/>
    <col min="10505" max="10752" width="9" style="529" collapsed="1"/>
    <col min="10753" max="10753" width="28.25" style="529" customWidth="1" collapsed="1"/>
    <col min="10754" max="10754" width="10.125" style="529" bestFit="1" customWidth="1" collapsed="1"/>
    <col min="10755" max="10755" width="4.125" style="529" customWidth="1" collapsed="1"/>
    <col min="10756" max="10756" width="11.25" style="529" bestFit="1" customWidth="1" collapsed="1"/>
    <col min="10757" max="10757" width="4.125" style="529" customWidth="1" collapsed="1"/>
    <col min="10758" max="10758" width="11.25" style="529" customWidth="1" collapsed="1"/>
    <col min="10759" max="10759" width="4" style="529" customWidth="1" collapsed="1"/>
    <col min="10760" max="10760" width="12.5" style="529" bestFit="1" customWidth="1" collapsed="1"/>
    <col min="10761" max="11008" width="9" style="529" collapsed="1"/>
    <col min="11009" max="11009" width="28.25" style="529" customWidth="1" collapsed="1"/>
    <col min="11010" max="11010" width="10.125" style="529" bestFit="1" customWidth="1" collapsed="1"/>
    <col min="11011" max="11011" width="4.125" style="529" customWidth="1" collapsed="1"/>
    <col min="11012" max="11012" width="11.25" style="529" bestFit="1" customWidth="1" collapsed="1"/>
    <col min="11013" max="11013" width="4.125" style="529" customWidth="1" collapsed="1"/>
    <col min="11014" max="11014" width="11.25" style="529" customWidth="1" collapsed="1"/>
    <col min="11015" max="11015" width="4" style="529" customWidth="1" collapsed="1"/>
    <col min="11016" max="11016" width="12.5" style="529" bestFit="1" customWidth="1" collapsed="1"/>
    <col min="11017" max="11264" width="9" style="529" collapsed="1"/>
    <col min="11265" max="11265" width="28.25" style="529" customWidth="1" collapsed="1"/>
    <col min="11266" max="11266" width="10.125" style="529" bestFit="1" customWidth="1" collapsed="1"/>
    <col min="11267" max="11267" width="4.125" style="529" customWidth="1" collapsed="1"/>
    <col min="11268" max="11268" width="11.25" style="529" bestFit="1" customWidth="1" collapsed="1"/>
    <col min="11269" max="11269" width="4.125" style="529" customWidth="1" collapsed="1"/>
    <col min="11270" max="11270" width="11.25" style="529" customWidth="1" collapsed="1"/>
    <col min="11271" max="11271" width="4" style="529" customWidth="1" collapsed="1"/>
    <col min="11272" max="11272" width="12.5" style="529" bestFit="1" customWidth="1" collapsed="1"/>
    <col min="11273" max="11520" width="9" style="529" collapsed="1"/>
    <col min="11521" max="11521" width="28.25" style="529" customWidth="1" collapsed="1"/>
    <col min="11522" max="11522" width="10.125" style="529" bestFit="1" customWidth="1" collapsed="1"/>
    <col min="11523" max="11523" width="4.125" style="529" customWidth="1" collapsed="1"/>
    <col min="11524" max="11524" width="11.25" style="529" bestFit="1" customWidth="1" collapsed="1"/>
    <col min="11525" max="11525" width="4.125" style="529" customWidth="1" collapsed="1"/>
    <col min="11526" max="11526" width="11.25" style="529" customWidth="1" collapsed="1"/>
    <col min="11527" max="11527" width="4" style="529" customWidth="1" collapsed="1"/>
    <col min="11528" max="11528" width="12.5" style="529" bestFit="1" customWidth="1" collapsed="1"/>
    <col min="11529" max="11776" width="9" style="529" collapsed="1"/>
    <col min="11777" max="11777" width="28.25" style="529" customWidth="1" collapsed="1"/>
    <col min="11778" max="11778" width="10.125" style="529" bestFit="1" customWidth="1" collapsed="1"/>
    <col min="11779" max="11779" width="4.125" style="529" customWidth="1" collapsed="1"/>
    <col min="11780" max="11780" width="11.25" style="529" bestFit="1" customWidth="1" collapsed="1"/>
    <col min="11781" max="11781" width="4.125" style="529" customWidth="1" collapsed="1"/>
    <col min="11782" max="11782" width="11.25" style="529" customWidth="1" collapsed="1"/>
    <col min="11783" max="11783" width="4" style="529" customWidth="1" collapsed="1"/>
    <col min="11784" max="11784" width="12.5" style="529" bestFit="1" customWidth="1" collapsed="1"/>
    <col min="11785" max="12032" width="9" style="529" collapsed="1"/>
    <col min="12033" max="12033" width="28.25" style="529" customWidth="1" collapsed="1"/>
    <col min="12034" max="12034" width="10.125" style="529" bestFit="1" customWidth="1" collapsed="1"/>
    <col min="12035" max="12035" width="4.125" style="529" customWidth="1" collapsed="1"/>
    <col min="12036" max="12036" width="11.25" style="529" bestFit="1" customWidth="1" collapsed="1"/>
    <col min="12037" max="12037" width="4.125" style="529" customWidth="1" collapsed="1"/>
    <col min="12038" max="12038" width="11.25" style="529" customWidth="1" collapsed="1"/>
    <col min="12039" max="12039" width="4" style="529" customWidth="1" collapsed="1"/>
    <col min="12040" max="12040" width="12.5" style="529" bestFit="1" customWidth="1" collapsed="1"/>
    <col min="12041" max="12288" width="9" style="529" collapsed="1"/>
    <col min="12289" max="12289" width="28.25" style="529" customWidth="1" collapsed="1"/>
    <col min="12290" max="12290" width="10.125" style="529" bestFit="1" customWidth="1" collapsed="1"/>
    <col min="12291" max="12291" width="4.125" style="529" customWidth="1" collapsed="1"/>
    <col min="12292" max="12292" width="11.25" style="529" bestFit="1" customWidth="1" collapsed="1"/>
    <col min="12293" max="12293" width="4.125" style="529" customWidth="1" collapsed="1"/>
    <col min="12294" max="12294" width="11.25" style="529" customWidth="1" collapsed="1"/>
    <col min="12295" max="12295" width="4" style="529" customWidth="1" collapsed="1"/>
    <col min="12296" max="12296" width="12.5" style="529" bestFit="1" customWidth="1" collapsed="1"/>
    <col min="12297" max="12544" width="9" style="529" collapsed="1"/>
    <col min="12545" max="12545" width="28.25" style="529" customWidth="1" collapsed="1"/>
    <col min="12546" max="12546" width="10.125" style="529" bestFit="1" customWidth="1" collapsed="1"/>
    <col min="12547" max="12547" width="4.125" style="529" customWidth="1" collapsed="1"/>
    <col min="12548" max="12548" width="11.25" style="529" bestFit="1" customWidth="1" collapsed="1"/>
    <col min="12549" max="12549" width="4.125" style="529" customWidth="1" collapsed="1"/>
    <col min="12550" max="12550" width="11.25" style="529" customWidth="1" collapsed="1"/>
    <col min="12551" max="12551" width="4" style="529" customWidth="1" collapsed="1"/>
    <col min="12552" max="12552" width="12.5" style="529" bestFit="1" customWidth="1" collapsed="1"/>
    <col min="12553" max="12800" width="9" style="529" collapsed="1"/>
    <col min="12801" max="12801" width="28.25" style="529" customWidth="1" collapsed="1"/>
    <col min="12802" max="12802" width="10.125" style="529" bestFit="1" customWidth="1" collapsed="1"/>
    <col min="12803" max="12803" width="4.125" style="529" customWidth="1" collapsed="1"/>
    <col min="12804" max="12804" width="11.25" style="529" bestFit="1" customWidth="1" collapsed="1"/>
    <col min="12805" max="12805" width="4.125" style="529" customWidth="1" collapsed="1"/>
    <col min="12806" max="12806" width="11.25" style="529" customWidth="1" collapsed="1"/>
    <col min="12807" max="12807" width="4" style="529" customWidth="1" collapsed="1"/>
    <col min="12808" max="12808" width="12.5" style="529" bestFit="1" customWidth="1" collapsed="1"/>
    <col min="12809" max="13056" width="9" style="529" collapsed="1"/>
    <col min="13057" max="13057" width="28.25" style="529" customWidth="1" collapsed="1"/>
    <col min="13058" max="13058" width="10.125" style="529" bestFit="1" customWidth="1" collapsed="1"/>
    <col min="13059" max="13059" width="4.125" style="529" customWidth="1" collapsed="1"/>
    <col min="13060" max="13060" width="11.25" style="529" bestFit="1" customWidth="1" collapsed="1"/>
    <col min="13061" max="13061" width="4.125" style="529" customWidth="1" collapsed="1"/>
    <col min="13062" max="13062" width="11.25" style="529" customWidth="1" collapsed="1"/>
    <col min="13063" max="13063" width="4" style="529" customWidth="1" collapsed="1"/>
    <col min="13064" max="13064" width="12.5" style="529" bestFit="1" customWidth="1" collapsed="1"/>
    <col min="13065" max="13312" width="9" style="529" collapsed="1"/>
    <col min="13313" max="13313" width="28.25" style="529" customWidth="1" collapsed="1"/>
    <col min="13314" max="13314" width="10.125" style="529" bestFit="1" customWidth="1" collapsed="1"/>
    <col min="13315" max="13315" width="4.125" style="529" customWidth="1" collapsed="1"/>
    <col min="13316" max="13316" width="11.25" style="529" bestFit="1" customWidth="1" collapsed="1"/>
    <col min="13317" max="13317" width="4.125" style="529" customWidth="1" collapsed="1"/>
    <col min="13318" max="13318" width="11.25" style="529" customWidth="1" collapsed="1"/>
    <col min="13319" max="13319" width="4" style="529" customWidth="1" collapsed="1"/>
    <col min="13320" max="13320" width="12.5" style="529" bestFit="1" customWidth="1" collapsed="1"/>
    <col min="13321" max="13568" width="9" style="529" collapsed="1"/>
    <col min="13569" max="13569" width="28.25" style="529" customWidth="1" collapsed="1"/>
    <col min="13570" max="13570" width="10.125" style="529" bestFit="1" customWidth="1" collapsed="1"/>
    <col min="13571" max="13571" width="4.125" style="529" customWidth="1" collapsed="1"/>
    <col min="13572" max="13572" width="11.25" style="529" bestFit="1" customWidth="1" collapsed="1"/>
    <col min="13573" max="13573" width="4.125" style="529" customWidth="1" collapsed="1"/>
    <col min="13574" max="13574" width="11.25" style="529" customWidth="1" collapsed="1"/>
    <col min="13575" max="13575" width="4" style="529" customWidth="1" collapsed="1"/>
    <col min="13576" max="13576" width="12.5" style="529" bestFit="1" customWidth="1" collapsed="1"/>
    <col min="13577" max="13824" width="9" style="529" collapsed="1"/>
    <col min="13825" max="13825" width="28.25" style="529" customWidth="1" collapsed="1"/>
    <col min="13826" max="13826" width="10.125" style="529" bestFit="1" customWidth="1" collapsed="1"/>
    <col min="13827" max="13827" width="4.125" style="529" customWidth="1" collapsed="1"/>
    <col min="13828" max="13828" width="11.25" style="529" bestFit="1" customWidth="1" collapsed="1"/>
    <col min="13829" max="13829" width="4.125" style="529" customWidth="1" collapsed="1"/>
    <col min="13830" max="13830" width="11.25" style="529" customWidth="1" collapsed="1"/>
    <col min="13831" max="13831" width="4" style="529" customWidth="1" collapsed="1"/>
    <col min="13832" max="13832" width="12.5" style="529" bestFit="1" customWidth="1" collapsed="1"/>
    <col min="13833" max="14080" width="9" style="529" collapsed="1"/>
    <col min="14081" max="14081" width="28.25" style="529" customWidth="1" collapsed="1"/>
    <col min="14082" max="14082" width="10.125" style="529" bestFit="1" customWidth="1" collapsed="1"/>
    <col min="14083" max="14083" width="4.125" style="529" customWidth="1" collapsed="1"/>
    <col min="14084" max="14084" width="11.25" style="529" bestFit="1" customWidth="1" collapsed="1"/>
    <col min="14085" max="14085" width="4.125" style="529" customWidth="1" collapsed="1"/>
    <col min="14086" max="14086" width="11.25" style="529" customWidth="1" collapsed="1"/>
    <col min="14087" max="14087" width="4" style="529" customWidth="1" collapsed="1"/>
    <col min="14088" max="14088" width="12.5" style="529" bestFit="1" customWidth="1" collapsed="1"/>
    <col min="14089" max="14336" width="9" style="529" collapsed="1"/>
    <col min="14337" max="14337" width="28.25" style="529" customWidth="1" collapsed="1"/>
    <col min="14338" max="14338" width="10.125" style="529" bestFit="1" customWidth="1" collapsed="1"/>
    <col min="14339" max="14339" width="4.125" style="529" customWidth="1" collapsed="1"/>
    <col min="14340" max="14340" width="11.25" style="529" bestFit="1" customWidth="1" collapsed="1"/>
    <col min="14341" max="14341" width="4.125" style="529" customWidth="1" collapsed="1"/>
    <col min="14342" max="14342" width="11.25" style="529" customWidth="1" collapsed="1"/>
    <col min="14343" max="14343" width="4" style="529" customWidth="1" collapsed="1"/>
    <col min="14344" max="14344" width="12.5" style="529" bestFit="1" customWidth="1" collapsed="1"/>
    <col min="14345" max="14592" width="9" style="529" collapsed="1"/>
    <col min="14593" max="14593" width="28.25" style="529" customWidth="1" collapsed="1"/>
    <col min="14594" max="14594" width="10.125" style="529" bestFit="1" customWidth="1" collapsed="1"/>
    <col min="14595" max="14595" width="4.125" style="529" customWidth="1" collapsed="1"/>
    <col min="14596" max="14596" width="11.25" style="529" bestFit="1" customWidth="1" collapsed="1"/>
    <col min="14597" max="14597" width="4.125" style="529" customWidth="1" collapsed="1"/>
    <col min="14598" max="14598" width="11.25" style="529" customWidth="1" collapsed="1"/>
    <col min="14599" max="14599" width="4" style="529" customWidth="1" collapsed="1"/>
    <col min="14600" max="14600" width="12.5" style="529" bestFit="1" customWidth="1" collapsed="1"/>
    <col min="14601" max="14848" width="9" style="529" collapsed="1"/>
    <col min="14849" max="14849" width="28.25" style="529" customWidth="1" collapsed="1"/>
    <col min="14850" max="14850" width="10.125" style="529" bestFit="1" customWidth="1" collapsed="1"/>
    <col min="14851" max="14851" width="4.125" style="529" customWidth="1" collapsed="1"/>
    <col min="14852" max="14852" width="11.25" style="529" bestFit="1" customWidth="1" collapsed="1"/>
    <col min="14853" max="14853" width="4.125" style="529" customWidth="1" collapsed="1"/>
    <col min="14854" max="14854" width="11.25" style="529" customWidth="1" collapsed="1"/>
    <col min="14855" max="14855" width="4" style="529" customWidth="1" collapsed="1"/>
    <col min="14856" max="14856" width="12.5" style="529" bestFit="1" customWidth="1" collapsed="1"/>
    <col min="14857" max="15104" width="9" style="529" collapsed="1"/>
    <col min="15105" max="15105" width="28.25" style="529" customWidth="1" collapsed="1"/>
    <col min="15106" max="15106" width="10.125" style="529" bestFit="1" customWidth="1" collapsed="1"/>
    <col min="15107" max="15107" width="4.125" style="529" customWidth="1" collapsed="1"/>
    <col min="15108" max="15108" width="11.25" style="529" bestFit="1" customWidth="1" collapsed="1"/>
    <col min="15109" max="15109" width="4.125" style="529" customWidth="1" collapsed="1"/>
    <col min="15110" max="15110" width="11.25" style="529" customWidth="1" collapsed="1"/>
    <col min="15111" max="15111" width="4" style="529" customWidth="1" collapsed="1"/>
    <col min="15112" max="15112" width="12.5" style="529" bestFit="1" customWidth="1" collapsed="1"/>
    <col min="15113" max="15360" width="9" style="529" collapsed="1"/>
    <col min="15361" max="15361" width="28.25" style="529" customWidth="1" collapsed="1"/>
    <col min="15362" max="15362" width="10.125" style="529" bestFit="1" customWidth="1" collapsed="1"/>
    <col min="15363" max="15363" width="4.125" style="529" customWidth="1" collapsed="1"/>
    <col min="15364" max="15364" width="11.25" style="529" bestFit="1" customWidth="1" collapsed="1"/>
    <col min="15365" max="15365" width="4.125" style="529" customWidth="1" collapsed="1"/>
    <col min="15366" max="15366" width="11.25" style="529" customWidth="1" collapsed="1"/>
    <col min="15367" max="15367" width="4" style="529" customWidth="1" collapsed="1"/>
    <col min="15368" max="15368" width="12.5" style="529" bestFit="1" customWidth="1" collapsed="1"/>
    <col min="15369" max="15616" width="9" style="529" collapsed="1"/>
    <col min="15617" max="15617" width="28.25" style="529" customWidth="1" collapsed="1"/>
    <col min="15618" max="15618" width="10.125" style="529" bestFit="1" customWidth="1" collapsed="1"/>
    <col min="15619" max="15619" width="4.125" style="529" customWidth="1" collapsed="1"/>
    <col min="15620" max="15620" width="11.25" style="529" bestFit="1" customWidth="1" collapsed="1"/>
    <col min="15621" max="15621" width="4.125" style="529" customWidth="1" collapsed="1"/>
    <col min="15622" max="15622" width="11.25" style="529" customWidth="1" collapsed="1"/>
    <col min="15623" max="15623" width="4" style="529" customWidth="1" collapsed="1"/>
    <col min="15624" max="15624" width="12.5" style="529" bestFit="1" customWidth="1" collapsed="1"/>
    <col min="15625" max="15872" width="9" style="529" collapsed="1"/>
    <col min="15873" max="15873" width="28.25" style="529" customWidth="1" collapsed="1"/>
    <col min="15874" max="15874" width="10.125" style="529" bestFit="1" customWidth="1" collapsed="1"/>
    <col min="15875" max="15875" width="4.125" style="529" customWidth="1" collapsed="1"/>
    <col min="15876" max="15876" width="11.25" style="529" bestFit="1" customWidth="1" collapsed="1"/>
    <col min="15877" max="15877" width="4.125" style="529" customWidth="1" collapsed="1"/>
    <col min="15878" max="15878" width="11.25" style="529" customWidth="1" collapsed="1"/>
    <col min="15879" max="15879" width="4" style="529" customWidth="1" collapsed="1"/>
    <col min="15880" max="15880" width="12.5" style="529" bestFit="1" customWidth="1" collapsed="1"/>
    <col min="15881" max="16128" width="9" style="529" collapsed="1"/>
    <col min="16129" max="16129" width="28.25" style="529" customWidth="1" collapsed="1"/>
    <col min="16130" max="16130" width="10.125" style="529" bestFit="1" customWidth="1" collapsed="1"/>
    <col min="16131" max="16131" width="4.125" style="529" customWidth="1" collapsed="1"/>
    <col min="16132" max="16132" width="11.25" style="529" bestFit="1" customWidth="1" collapsed="1"/>
    <col min="16133" max="16133" width="4.125" style="529" customWidth="1" collapsed="1"/>
    <col min="16134" max="16134" width="11.25" style="529" customWidth="1" collapsed="1"/>
    <col min="16135" max="16135" width="4" style="529" customWidth="1" collapsed="1"/>
    <col min="16136" max="16136" width="12.5" style="529" bestFit="1" customWidth="1" collapsed="1"/>
    <col min="16137" max="16384" width="9" style="529" collapsed="1"/>
  </cols>
  <sheetData>
    <row r="1" spans="1:8">
      <c r="A1" s="960" t="str">
        <f>+Control!D3</f>
        <v>MIC INCORPORATION LIMITED </v>
      </c>
      <c r="B1" s="960"/>
      <c r="C1" s="960"/>
      <c r="D1" s="960"/>
      <c r="E1" s="960"/>
      <c r="F1" s="960"/>
      <c r="G1" s="960"/>
      <c r="H1" s="960"/>
    </row>
    <row r="2" spans="1:8">
      <c r="A2" s="530"/>
      <c r="B2" s="530"/>
      <c r="C2" s="530"/>
      <c r="D2" s="530"/>
      <c r="E2" s="530"/>
      <c r="F2" s="530"/>
      <c r="G2" s="530"/>
      <c r="H2" s="530"/>
    </row>
    <row r="3" spans="1:8">
      <c r="A3" s="960" t="str">
        <f>+'T com (profit)'!A3:D3</f>
        <v>FILE NO. : 65476707-000</v>
      </c>
      <c r="B3" s="960"/>
      <c r="C3" s="960"/>
      <c r="D3" s="960"/>
      <c r="E3" s="960"/>
      <c r="F3" s="960"/>
      <c r="G3" s="960"/>
      <c r="H3" s="960"/>
    </row>
    <row r="4" spans="1:8">
      <c r="A4" s="530"/>
      <c r="B4" s="530"/>
      <c r="C4" s="530"/>
      <c r="D4" s="530"/>
      <c r="E4" s="530"/>
      <c r="F4" s="530"/>
      <c r="G4" s="530"/>
      <c r="H4" s="530"/>
    </row>
    <row r="5" spans="1:8">
      <c r="A5" s="960" t="str">
        <f>+'T com (profit)'!A9:D9</f>
        <v>2016/17</v>
      </c>
      <c r="B5" s="960"/>
      <c r="C5" s="960"/>
      <c r="D5" s="960"/>
      <c r="E5" s="960"/>
      <c r="F5" s="960"/>
      <c r="G5" s="960"/>
      <c r="H5" s="960"/>
    </row>
    <row r="6" spans="1:8">
      <c r="A6" s="530"/>
      <c r="B6" s="530"/>
      <c r="C6" s="530"/>
      <c r="D6" s="530"/>
      <c r="E6" s="530"/>
      <c r="F6" s="530"/>
      <c r="G6" s="530"/>
      <c r="H6" s="530"/>
    </row>
    <row r="7" spans="1:8">
      <c r="A7" s="960" t="s">
        <v>1335</v>
      </c>
      <c r="B7" s="960"/>
      <c r="C7" s="960"/>
      <c r="D7" s="960"/>
      <c r="E7" s="960"/>
      <c r="F7" s="960">
        <v>11346</v>
      </c>
      <c r="G7" s="960"/>
      <c r="H7" s="960"/>
    </row>
    <row r="9" spans="1:8" s="532" customFormat="1">
      <c r="B9" s="542"/>
      <c r="C9" s="543"/>
      <c r="D9" s="542"/>
      <c r="E9" s="544"/>
      <c r="F9" s="544" t="s">
        <v>1336</v>
      </c>
      <c r="H9" s="532" t="s">
        <v>1337</v>
      </c>
    </row>
    <row r="10" spans="1:8">
      <c r="B10" s="545"/>
      <c r="C10" s="545"/>
      <c r="D10" s="545"/>
      <c r="E10" s="531"/>
      <c r="F10" s="531" t="str">
        <f>+Control!D68</f>
        <v>US$</v>
      </c>
      <c r="G10" s="531"/>
      <c r="H10" s="531" t="str">
        <f>+Control!D68</f>
        <v>US$</v>
      </c>
    </row>
    <row r="11" spans="1:8">
      <c r="B11" s="536"/>
      <c r="C11" s="536"/>
      <c r="D11" s="536"/>
    </row>
    <row r="12" spans="1:8" ht="23.25" customHeight="1">
      <c r="A12" s="529" t="s">
        <v>1338</v>
      </c>
      <c r="B12" s="538"/>
      <c r="C12" s="536"/>
      <c r="D12" s="538"/>
      <c r="E12" s="538"/>
      <c r="F12" s="546">
        <v>11346</v>
      </c>
      <c r="H12" s="533"/>
    </row>
    <row r="13" spans="1:8" ht="23.25" customHeight="1">
      <c r="A13" s="529" t="s">
        <v>1339</v>
      </c>
      <c r="B13" s="538"/>
      <c r="C13" s="536"/>
      <c r="D13" s="538"/>
      <c r="E13" s="538"/>
      <c r="F13" s="538">
        <f>+FA!H15</f>
        <v>14830</v>
      </c>
      <c r="H13" s="533"/>
    </row>
    <row r="14" spans="1:8" ht="20.100000000000001" customHeight="1">
      <c r="A14" s="529" t="s">
        <v>1340</v>
      </c>
      <c r="B14" s="538"/>
      <c r="C14" s="536"/>
      <c r="D14" s="538"/>
      <c r="E14" s="538"/>
      <c r="F14" s="534">
        <f>-ROUND(F13*60%,0)</f>
        <v>-8898</v>
      </c>
      <c r="H14" s="533">
        <f>-B14-D14-F14</f>
        <v>8898</v>
      </c>
    </row>
    <row r="15" spans="1:8" ht="6" customHeight="1">
      <c r="B15" s="538"/>
      <c r="C15" s="536"/>
      <c r="D15" s="538"/>
      <c r="E15" s="538"/>
      <c r="F15" s="538"/>
      <c r="H15" s="533"/>
    </row>
    <row r="16" spans="1:8" ht="20.100000000000001" customHeight="1">
      <c r="B16" s="538"/>
      <c r="C16" s="536"/>
      <c r="D16" s="538"/>
      <c r="E16" s="538"/>
      <c r="F16" s="538">
        <f>SUM(F12:F15)</f>
        <v>17278</v>
      </c>
      <c r="H16" s="533"/>
    </row>
    <row r="17" spans="1:8" ht="20.100000000000001" customHeight="1">
      <c r="A17" s="529" t="s">
        <v>1341</v>
      </c>
      <c r="B17" s="538"/>
      <c r="C17" s="538"/>
      <c r="D17" s="538"/>
      <c r="E17" s="538"/>
      <c r="F17" s="534">
        <f>-ROUND(F16*0.2,0)</f>
        <v>-3456</v>
      </c>
      <c r="H17" s="533">
        <f>-SUM(B17:F17)</f>
        <v>3456</v>
      </c>
    </row>
    <row r="18" spans="1:8" ht="24.95" customHeight="1" thickBot="1">
      <c r="A18" s="529" t="s">
        <v>1342</v>
      </c>
      <c r="B18" s="538"/>
      <c r="C18" s="536"/>
      <c r="D18" s="538"/>
      <c r="E18" s="538"/>
      <c r="F18" s="547">
        <f>+F16+F17</f>
        <v>13822</v>
      </c>
      <c r="H18" s="534"/>
    </row>
    <row r="19" spans="1:8" ht="24.95" customHeight="1" thickTop="1" thickBot="1">
      <c r="B19" s="536"/>
      <c r="C19" s="536"/>
      <c r="D19" s="536"/>
      <c r="H19" s="547">
        <f>SUM(H14:H18)</f>
        <v>12354</v>
      </c>
    </row>
    <row r="20" spans="1:8" ht="16.5" thickTop="1"/>
    <row r="21" spans="1:8">
      <c r="A21"/>
      <c r="B21"/>
      <c r="C21"/>
      <c r="D21"/>
      <c r="E21"/>
      <c r="F21"/>
      <c r="G21"/>
      <c r="H21"/>
    </row>
    <row r="22" spans="1:8" hidden="1">
      <c r="A22" s="960" t="s">
        <v>1343</v>
      </c>
      <c r="B22" s="960"/>
      <c r="C22" s="960"/>
      <c r="D22" s="960"/>
      <c r="E22" s="960"/>
      <c r="F22" s="960"/>
      <c r="G22" s="960"/>
      <c r="H22" s="960"/>
    </row>
    <row r="23" spans="1:8" hidden="1"/>
    <row r="24" spans="1:8" ht="24.95" hidden="1" customHeight="1">
      <c r="A24" s="529" t="s">
        <v>1344</v>
      </c>
      <c r="H24" s="538">
        <v>6667752</v>
      </c>
    </row>
    <row r="25" spans="1:8" ht="24.95" hidden="1" customHeight="1">
      <c r="A25" s="529" t="s">
        <v>1345</v>
      </c>
      <c r="H25" s="538">
        <v>1475000</v>
      </c>
    </row>
    <row r="26" spans="1:8" ht="24.95" hidden="1" customHeight="1" thickBot="1">
      <c r="H26" s="547">
        <f>SUM(H24:H25)</f>
        <v>8142752</v>
      </c>
    </row>
    <row r="27" spans="1:8" ht="21.75" hidden="1" customHeight="1" thickTop="1">
      <c r="H27" s="533"/>
    </row>
    <row r="28" spans="1:8" ht="24.95" hidden="1" customHeight="1" thickBot="1">
      <c r="A28" s="529" t="s">
        <v>1346</v>
      </c>
      <c r="H28" s="540">
        <v>333755</v>
      </c>
    </row>
    <row r="30" spans="1:8" hidden="1">
      <c r="A30" s="960" t="s">
        <v>1343</v>
      </c>
      <c r="B30" s="960"/>
      <c r="C30" s="960"/>
      <c r="D30" s="960"/>
      <c r="E30" s="960"/>
      <c r="F30" s="960"/>
      <c r="G30" s="960"/>
      <c r="H30" s="960"/>
    </row>
    <row r="31" spans="1:8" hidden="1"/>
    <row r="32" spans="1:8" hidden="1">
      <c r="A32" s="529" t="s">
        <v>1347</v>
      </c>
      <c r="H32" s="538">
        <v>9255</v>
      </c>
    </row>
    <row r="33" spans="1:8" hidden="1">
      <c r="A33" s="529" t="s">
        <v>1348</v>
      </c>
      <c r="H33" s="538">
        <v>13800</v>
      </c>
    </row>
    <row r="34" spans="1:8" hidden="1">
      <c r="A34" s="529" t="s">
        <v>1349</v>
      </c>
      <c r="H34" s="538">
        <v>4050</v>
      </c>
    </row>
    <row r="35" spans="1:8" ht="16.5" hidden="1" thickBot="1">
      <c r="H35" s="547">
        <f>SUM(H32:H34)</f>
        <v>27105</v>
      </c>
    </row>
    <row r="36" spans="1:8" ht="16.5" hidden="1" thickTop="1">
      <c r="H36" s="538"/>
    </row>
    <row r="37" spans="1:8" hidden="1">
      <c r="A37" s="529" t="s">
        <v>1338</v>
      </c>
      <c r="H37" s="538">
        <v>16667</v>
      </c>
    </row>
    <row r="38" spans="1:8" hidden="1">
      <c r="A38" s="529" t="s">
        <v>1350</v>
      </c>
      <c r="H38" s="534">
        <v>-1084</v>
      </c>
    </row>
    <row r="39" spans="1:8" ht="16.5" hidden="1" thickBot="1">
      <c r="A39" s="529" t="s">
        <v>1351</v>
      </c>
      <c r="H39" s="540">
        <f>SUM(H37:H38)</f>
        <v>15583</v>
      </c>
    </row>
    <row r="40" spans="1:8" ht="16.5" hidden="1" thickTop="1"/>
  </sheetData>
  <mergeCells count="6">
    <mergeCell ref="A30:H30"/>
    <mergeCell ref="A1:H1"/>
    <mergeCell ref="A3:H3"/>
    <mergeCell ref="A5:H5"/>
    <mergeCell ref="A7:H7"/>
    <mergeCell ref="A22:H22"/>
  </mergeCells>
  <phoneticPr fontId="13" type="noConversion"/>
  <pageMargins left="0.74803149606299213" right="0.74803149606299213" top="0.78740157480314965" bottom="0.98425196850393704"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3">
    <pageSetUpPr fitToPage="1"/>
  </sheetPr>
  <dimension ref="A1:K19"/>
  <sheetViews>
    <sheetView zoomScale="80" workbookViewId="0">
      <selection activeCell="L9" sqref="L9"/>
    </sheetView>
  </sheetViews>
  <sheetFormatPr defaultRowHeight="15.75"/>
  <cols>
    <col min="1" max="1" width="5.25" style="529" customWidth="1" collapsed="1"/>
    <col min="2" max="4" width="9" style="529" collapsed="1"/>
    <col min="5" max="5" width="31.25" style="529" customWidth="1" collapsed="1"/>
    <col min="6" max="6" width="13.75" style="529" customWidth="1" collapsed="1"/>
    <col min="7" max="7" width="2.75" style="529" customWidth="1" collapsed="1"/>
    <col min="8" max="8" width="12.875" style="529" customWidth="1" collapsed="1"/>
    <col min="9" max="9" width="1.75" style="529" customWidth="1" collapsed="1"/>
    <col min="10" max="10" width="19.875" style="529" bestFit="1" customWidth="1" collapsed="1"/>
    <col min="11" max="11" width="12.75" style="529" hidden="1" customWidth="1" collapsed="1"/>
    <col min="12" max="254" width="9" style="529" collapsed="1"/>
    <col min="255" max="255" width="5.25" style="529" customWidth="1" collapsed="1"/>
    <col min="256" max="258" width="9" style="529" collapsed="1"/>
    <col min="259" max="259" width="31.25" style="529" customWidth="1" collapsed="1"/>
    <col min="260" max="260" width="13.75" style="529" customWidth="1" collapsed="1"/>
    <col min="261" max="261" width="2.75" style="529" customWidth="1" collapsed="1"/>
    <col min="262" max="262" width="12.875" style="529" customWidth="1" collapsed="1"/>
    <col min="263" max="263" width="1.75" style="529" customWidth="1" collapsed="1"/>
    <col min="264" max="264" width="12.875" style="529" customWidth="1" collapsed="1"/>
    <col min="265" max="265" width="1.375" style="529" customWidth="1" collapsed="1"/>
    <col min="266" max="266" width="19.875" style="529" bestFit="1" customWidth="1" collapsed="1"/>
    <col min="267" max="267" width="0" style="529" hidden="1" customWidth="1" collapsed="1"/>
    <col min="268" max="510" width="9" style="529" collapsed="1"/>
    <col min="511" max="511" width="5.25" style="529" customWidth="1" collapsed="1"/>
    <col min="512" max="514" width="9" style="529" collapsed="1"/>
    <col min="515" max="515" width="31.25" style="529" customWidth="1" collapsed="1"/>
    <col min="516" max="516" width="13.75" style="529" customWidth="1" collapsed="1"/>
    <col min="517" max="517" width="2.75" style="529" customWidth="1" collapsed="1"/>
    <col min="518" max="518" width="12.875" style="529" customWidth="1" collapsed="1"/>
    <col min="519" max="519" width="1.75" style="529" customWidth="1" collapsed="1"/>
    <col min="520" max="520" width="12.875" style="529" customWidth="1" collapsed="1"/>
    <col min="521" max="521" width="1.375" style="529" customWidth="1" collapsed="1"/>
    <col min="522" max="522" width="19.875" style="529" bestFit="1" customWidth="1" collapsed="1"/>
    <col min="523" max="523" width="0" style="529" hidden="1" customWidth="1" collapsed="1"/>
    <col min="524" max="766" width="9" style="529" collapsed="1"/>
    <col min="767" max="767" width="5.25" style="529" customWidth="1" collapsed="1"/>
    <col min="768" max="770" width="9" style="529" collapsed="1"/>
    <col min="771" max="771" width="31.25" style="529" customWidth="1" collapsed="1"/>
    <col min="772" max="772" width="13.75" style="529" customWidth="1" collapsed="1"/>
    <col min="773" max="773" width="2.75" style="529" customWidth="1" collapsed="1"/>
    <col min="774" max="774" width="12.875" style="529" customWidth="1" collapsed="1"/>
    <col min="775" max="775" width="1.75" style="529" customWidth="1" collapsed="1"/>
    <col min="776" max="776" width="12.875" style="529" customWidth="1" collapsed="1"/>
    <col min="777" max="777" width="1.375" style="529" customWidth="1" collapsed="1"/>
    <col min="778" max="778" width="19.875" style="529" bestFit="1" customWidth="1" collapsed="1"/>
    <col min="779" max="779" width="0" style="529" hidden="1" customWidth="1" collapsed="1"/>
    <col min="780" max="1022" width="9" style="529" collapsed="1"/>
    <col min="1023" max="1023" width="5.25" style="529" customWidth="1" collapsed="1"/>
    <col min="1024" max="1026" width="9" style="529" collapsed="1"/>
    <col min="1027" max="1027" width="31.25" style="529" customWidth="1" collapsed="1"/>
    <col min="1028" max="1028" width="13.75" style="529" customWidth="1" collapsed="1"/>
    <col min="1029" max="1029" width="2.75" style="529" customWidth="1" collapsed="1"/>
    <col min="1030" max="1030" width="12.875" style="529" customWidth="1" collapsed="1"/>
    <col min="1031" max="1031" width="1.75" style="529" customWidth="1" collapsed="1"/>
    <col min="1032" max="1032" width="12.875" style="529" customWidth="1" collapsed="1"/>
    <col min="1033" max="1033" width="1.375" style="529" customWidth="1" collapsed="1"/>
    <col min="1034" max="1034" width="19.875" style="529" bestFit="1" customWidth="1" collapsed="1"/>
    <col min="1035" max="1035" width="0" style="529" hidden="1" customWidth="1" collapsed="1"/>
    <col min="1036" max="1278" width="9" style="529" collapsed="1"/>
    <col min="1279" max="1279" width="5.25" style="529" customWidth="1" collapsed="1"/>
    <col min="1280" max="1282" width="9" style="529" collapsed="1"/>
    <col min="1283" max="1283" width="31.25" style="529" customWidth="1" collapsed="1"/>
    <col min="1284" max="1284" width="13.75" style="529" customWidth="1" collapsed="1"/>
    <col min="1285" max="1285" width="2.75" style="529" customWidth="1" collapsed="1"/>
    <col min="1286" max="1286" width="12.875" style="529" customWidth="1" collapsed="1"/>
    <col min="1287" max="1287" width="1.75" style="529" customWidth="1" collapsed="1"/>
    <col min="1288" max="1288" width="12.875" style="529" customWidth="1" collapsed="1"/>
    <col min="1289" max="1289" width="1.375" style="529" customWidth="1" collapsed="1"/>
    <col min="1290" max="1290" width="19.875" style="529" bestFit="1" customWidth="1" collapsed="1"/>
    <col min="1291" max="1291" width="0" style="529" hidden="1" customWidth="1" collapsed="1"/>
    <col min="1292" max="1534" width="9" style="529" collapsed="1"/>
    <col min="1535" max="1535" width="5.25" style="529" customWidth="1" collapsed="1"/>
    <col min="1536" max="1538" width="9" style="529" collapsed="1"/>
    <col min="1539" max="1539" width="31.25" style="529" customWidth="1" collapsed="1"/>
    <col min="1540" max="1540" width="13.75" style="529" customWidth="1" collapsed="1"/>
    <col min="1541" max="1541" width="2.75" style="529" customWidth="1" collapsed="1"/>
    <col min="1542" max="1542" width="12.875" style="529" customWidth="1" collapsed="1"/>
    <col min="1543" max="1543" width="1.75" style="529" customWidth="1" collapsed="1"/>
    <col min="1544" max="1544" width="12.875" style="529" customWidth="1" collapsed="1"/>
    <col min="1545" max="1545" width="1.375" style="529" customWidth="1" collapsed="1"/>
    <col min="1546" max="1546" width="19.875" style="529" bestFit="1" customWidth="1" collapsed="1"/>
    <col min="1547" max="1547" width="0" style="529" hidden="1" customWidth="1" collapsed="1"/>
    <col min="1548" max="1790" width="9" style="529" collapsed="1"/>
    <col min="1791" max="1791" width="5.25" style="529" customWidth="1" collapsed="1"/>
    <col min="1792" max="1794" width="9" style="529" collapsed="1"/>
    <col min="1795" max="1795" width="31.25" style="529" customWidth="1" collapsed="1"/>
    <col min="1796" max="1796" width="13.75" style="529" customWidth="1" collapsed="1"/>
    <col min="1797" max="1797" width="2.75" style="529" customWidth="1" collapsed="1"/>
    <col min="1798" max="1798" width="12.875" style="529" customWidth="1" collapsed="1"/>
    <col min="1799" max="1799" width="1.75" style="529" customWidth="1" collapsed="1"/>
    <col min="1800" max="1800" width="12.875" style="529" customWidth="1" collapsed="1"/>
    <col min="1801" max="1801" width="1.375" style="529" customWidth="1" collapsed="1"/>
    <col min="1802" max="1802" width="19.875" style="529" bestFit="1" customWidth="1" collapsed="1"/>
    <col min="1803" max="1803" width="0" style="529" hidden="1" customWidth="1" collapsed="1"/>
    <col min="1804" max="2046" width="9" style="529" collapsed="1"/>
    <col min="2047" max="2047" width="5.25" style="529" customWidth="1" collapsed="1"/>
    <col min="2048" max="2050" width="9" style="529" collapsed="1"/>
    <col min="2051" max="2051" width="31.25" style="529" customWidth="1" collapsed="1"/>
    <col min="2052" max="2052" width="13.75" style="529" customWidth="1" collapsed="1"/>
    <col min="2053" max="2053" width="2.75" style="529" customWidth="1" collapsed="1"/>
    <col min="2054" max="2054" width="12.875" style="529" customWidth="1" collapsed="1"/>
    <col min="2055" max="2055" width="1.75" style="529" customWidth="1" collapsed="1"/>
    <col min="2056" max="2056" width="12.875" style="529" customWidth="1" collapsed="1"/>
    <col min="2057" max="2057" width="1.375" style="529" customWidth="1" collapsed="1"/>
    <col min="2058" max="2058" width="19.875" style="529" bestFit="1" customWidth="1" collapsed="1"/>
    <col min="2059" max="2059" width="0" style="529" hidden="1" customWidth="1" collapsed="1"/>
    <col min="2060" max="2302" width="9" style="529" collapsed="1"/>
    <col min="2303" max="2303" width="5.25" style="529" customWidth="1" collapsed="1"/>
    <col min="2304" max="2306" width="9" style="529" collapsed="1"/>
    <col min="2307" max="2307" width="31.25" style="529" customWidth="1" collapsed="1"/>
    <col min="2308" max="2308" width="13.75" style="529" customWidth="1" collapsed="1"/>
    <col min="2309" max="2309" width="2.75" style="529" customWidth="1" collapsed="1"/>
    <col min="2310" max="2310" width="12.875" style="529" customWidth="1" collapsed="1"/>
    <col min="2311" max="2311" width="1.75" style="529" customWidth="1" collapsed="1"/>
    <col min="2312" max="2312" width="12.875" style="529" customWidth="1" collapsed="1"/>
    <col min="2313" max="2313" width="1.375" style="529" customWidth="1" collapsed="1"/>
    <col min="2314" max="2314" width="19.875" style="529" bestFit="1" customWidth="1" collapsed="1"/>
    <col min="2315" max="2315" width="0" style="529" hidden="1" customWidth="1" collapsed="1"/>
    <col min="2316" max="2558" width="9" style="529" collapsed="1"/>
    <col min="2559" max="2559" width="5.25" style="529" customWidth="1" collapsed="1"/>
    <col min="2560" max="2562" width="9" style="529" collapsed="1"/>
    <col min="2563" max="2563" width="31.25" style="529" customWidth="1" collapsed="1"/>
    <col min="2564" max="2564" width="13.75" style="529" customWidth="1" collapsed="1"/>
    <col min="2565" max="2565" width="2.75" style="529" customWidth="1" collapsed="1"/>
    <col min="2566" max="2566" width="12.875" style="529" customWidth="1" collapsed="1"/>
    <col min="2567" max="2567" width="1.75" style="529" customWidth="1" collapsed="1"/>
    <col min="2568" max="2568" width="12.875" style="529" customWidth="1" collapsed="1"/>
    <col min="2569" max="2569" width="1.375" style="529" customWidth="1" collapsed="1"/>
    <col min="2570" max="2570" width="19.875" style="529" bestFit="1" customWidth="1" collapsed="1"/>
    <col min="2571" max="2571" width="0" style="529" hidden="1" customWidth="1" collapsed="1"/>
    <col min="2572" max="2814" width="9" style="529" collapsed="1"/>
    <col min="2815" max="2815" width="5.25" style="529" customWidth="1" collapsed="1"/>
    <col min="2816" max="2818" width="9" style="529" collapsed="1"/>
    <col min="2819" max="2819" width="31.25" style="529" customWidth="1" collapsed="1"/>
    <col min="2820" max="2820" width="13.75" style="529" customWidth="1" collapsed="1"/>
    <col min="2821" max="2821" width="2.75" style="529" customWidth="1" collapsed="1"/>
    <col min="2822" max="2822" width="12.875" style="529" customWidth="1" collapsed="1"/>
    <col min="2823" max="2823" width="1.75" style="529" customWidth="1" collapsed="1"/>
    <col min="2824" max="2824" width="12.875" style="529" customWidth="1" collapsed="1"/>
    <col min="2825" max="2825" width="1.375" style="529" customWidth="1" collapsed="1"/>
    <col min="2826" max="2826" width="19.875" style="529" bestFit="1" customWidth="1" collapsed="1"/>
    <col min="2827" max="2827" width="0" style="529" hidden="1" customWidth="1" collapsed="1"/>
    <col min="2828" max="3070" width="9" style="529" collapsed="1"/>
    <col min="3071" max="3071" width="5.25" style="529" customWidth="1" collapsed="1"/>
    <col min="3072" max="3074" width="9" style="529" collapsed="1"/>
    <col min="3075" max="3075" width="31.25" style="529" customWidth="1" collapsed="1"/>
    <col min="3076" max="3076" width="13.75" style="529" customWidth="1" collapsed="1"/>
    <col min="3077" max="3077" width="2.75" style="529" customWidth="1" collapsed="1"/>
    <col min="3078" max="3078" width="12.875" style="529" customWidth="1" collapsed="1"/>
    <col min="3079" max="3079" width="1.75" style="529" customWidth="1" collapsed="1"/>
    <col min="3080" max="3080" width="12.875" style="529" customWidth="1" collapsed="1"/>
    <col min="3081" max="3081" width="1.375" style="529" customWidth="1" collapsed="1"/>
    <col min="3082" max="3082" width="19.875" style="529" bestFit="1" customWidth="1" collapsed="1"/>
    <col min="3083" max="3083" width="0" style="529" hidden="1" customWidth="1" collapsed="1"/>
    <col min="3084" max="3326" width="9" style="529" collapsed="1"/>
    <col min="3327" max="3327" width="5.25" style="529" customWidth="1" collapsed="1"/>
    <col min="3328" max="3330" width="9" style="529" collapsed="1"/>
    <col min="3331" max="3331" width="31.25" style="529" customWidth="1" collapsed="1"/>
    <col min="3332" max="3332" width="13.75" style="529" customWidth="1" collapsed="1"/>
    <col min="3333" max="3333" width="2.75" style="529" customWidth="1" collapsed="1"/>
    <col min="3334" max="3334" width="12.875" style="529" customWidth="1" collapsed="1"/>
    <col min="3335" max="3335" width="1.75" style="529" customWidth="1" collapsed="1"/>
    <col min="3336" max="3336" width="12.875" style="529" customWidth="1" collapsed="1"/>
    <col min="3337" max="3337" width="1.375" style="529" customWidth="1" collapsed="1"/>
    <col min="3338" max="3338" width="19.875" style="529" bestFit="1" customWidth="1" collapsed="1"/>
    <col min="3339" max="3339" width="0" style="529" hidden="1" customWidth="1" collapsed="1"/>
    <col min="3340" max="3582" width="9" style="529" collapsed="1"/>
    <col min="3583" max="3583" width="5.25" style="529" customWidth="1" collapsed="1"/>
    <col min="3584" max="3586" width="9" style="529" collapsed="1"/>
    <col min="3587" max="3587" width="31.25" style="529" customWidth="1" collapsed="1"/>
    <col min="3588" max="3588" width="13.75" style="529" customWidth="1" collapsed="1"/>
    <col min="3589" max="3589" width="2.75" style="529" customWidth="1" collapsed="1"/>
    <col min="3590" max="3590" width="12.875" style="529" customWidth="1" collapsed="1"/>
    <col min="3591" max="3591" width="1.75" style="529" customWidth="1" collapsed="1"/>
    <col min="3592" max="3592" width="12.875" style="529" customWidth="1" collapsed="1"/>
    <col min="3593" max="3593" width="1.375" style="529" customWidth="1" collapsed="1"/>
    <col min="3594" max="3594" width="19.875" style="529" bestFit="1" customWidth="1" collapsed="1"/>
    <col min="3595" max="3595" width="0" style="529" hidden="1" customWidth="1" collapsed="1"/>
    <col min="3596" max="3838" width="9" style="529" collapsed="1"/>
    <col min="3839" max="3839" width="5.25" style="529" customWidth="1" collapsed="1"/>
    <col min="3840" max="3842" width="9" style="529" collapsed="1"/>
    <col min="3843" max="3843" width="31.25" style="529" customWidth="1" collapsed="1"/>
    <col min="3844" max="3844" width="13.75" style="529" customWidth="1" collapsed="1"/>
    <col min="3845" max="3845" width="2.75" style="529" customWidth="1" collapsed="1"/>
    <col min="3846" max="3846" width="12.875" style="529" customWidth="1" collapsed="1"/>
    <col min="3847" max="3847" width="1.75" style="529" customWidth="1" collapsed="1"/>
    <col min="3848" max="3848" width="12.875" style="529" customWidth="1" collapsed="1"/>
    <col min="3849" max="3849" width="1.375" style="529" customWidth="1" collapsed="1"/>
    <col min="3850" max="3850" width="19.875" style="529" bestFit="1" customWidth="1" collapsed="1"/>
    <col min="3851" max="3851" width="0" style="529" hidden="1" customWidth="1" collapsed="1"/>
    <col min="3852" max="4094" width="9" style="529" collapsed="1"/>
    <col min="4095" max="4095" width="5.25" style="529" customWidth="1" collapsed="1"/>
    <col min="4096" max="4098" width="9" style="529" collapsed="1"/>
    <col min="4099" max="4099" width="31.25" style="529" customWidth="1" collapsed="1"/>
    <col min="4100" max="4100" width="13.75" style="529" customWidth="1" collapsed="1"/>
    <col min="4101" max="4101" width="2.75" style="529" customWidth="1" collapsed="1"/>
    <col min="4102" max="4102" width="12.875" style="529" customWidth="1" collapsed="1"/>
    <col min="4103" max="4103" width="1.75" style="529" customWidth="1" collapsed="1"/>
    <col min="4104" max="4104" width="12.875" style="529" customWidth="1" collapsed="1"/>
    <col min="4105" max="4105" width="1.375" style="529" customWidth="1" collapsed="1"/>
    <col min="4106" max="4106" width="19.875" style="529" bestFit="1" customWidth="1" collapsed="1"/>
    <col min="4107" max="4107" width="0" style="529" hidden="1" customWidth="1" collapsed="1"/>
    <col min="4108" max="4350" width="9" style="529" collapsed="1"/>
    <col min="4351" max="4351" width="5.25" style="529" customWidth="1" collapsed="1"/>
    <col min="4352" max="4354" width="9" style="529" collapsed="1"/>
    <col min="4355" max="4355" width="31.25" style="529" customWidth="1" collapsed="1"/>
    <col min="4356" max="4356" width="13.75" style="529" customWidth="1" collapsed="1"/>
    <col min="4357" max="4357" width="2.75" style="529" customWidth="1" collapsed="1"/>
    <col min="4358" max="4358" width="12.875" style="529" customWidth="1" collapsed="1"/>
    <col min="4359" max="4359" width="1.75" style="529" customWidth="1" collapsed="1"/>
    <col min="4360" max="4360" width="12.875" style="529" customWidth="1" collapsed="1"/>
    <col min="4361" max="4361" width="1.375" style="529" customWidth="1" collapsed="1"/>
    <col min="4362" max="4362" width="19.875" style="529" bestFit="1" customWidth="1" collapsed="1"/>
    <col min="4363" max="4363" width="0" style="529" hidden="1" customWidth="1" collapsed="1"/>
    <col min="4364" max="4606" width="9" style="529" collapsed="1"/>
    <col min="4607" max="4607" width="5.25" style="529" customWidth="1" collapsed="1"/>
    <col min="4608" max="4610" width="9" style="529" collapsed="1"/>
    <col min="4611" max="4611" width="31.25" style="529" customWidth="1" collapsed="1"/>
    <col min="4612" max="4612" width="13.75" style="529" customWidth="1" collapsed="1"/>
    <col min="4613" max="4613" width="2.75" style="529" customWidth="1" collapsed="1"/>
    <col min="4614" max="4614" width="12.875" style="529" customWidth="1" collapsed="1"/>
    <col min="4615" max="4615" width="1.75" style="529" customWidth="1" collapsed="1"/>
    <col min="4616" max="4616" width="12.875" style="529" customWidth="1" collapsed="1"/>
    <col min="4617" max="4617" width="1.375" style="529" customWidth="1" collapsed="1"/>
    <col min="4618" max="4618" width="19.875" style="529" bestFit="1" customWidth="1" collapsed="1"/>
    <col min="4619" max="4619" width="0" style="529" hidden="1" customWidth="1" collapsed="1"/>
    <col min="4620" max="4862" width="9" style="529" collapsed="1"/>
    <col min="4863" max="4863" width="5.25" style="529" customWidth="1" collapsed="1"/>
    <col min="4864" max="4866" width="9" style="529" collapsed="1"/>
    <col min="4867" max="4867" width="31.25" style="529" customWidth="1" collapsed="1"/>
    <col min="4868" max="4868" width="13.75" style="529" customWidth="1" collapsed="1"/>
    <col min="4869" max="4869" width="2.75" style="529" customWidth="1" collapsed="1"/>
    <col min="4870" max="4870" width="12.875" style="529" customWidth="1" collapsed="1"/>
    <col min="4871" max="4871" width="1.75" style="529" customWidth="1" collapsed="1"/>
    <col min="4872" max="4872" width="12.875" style="529" customWidth="1" collapsed="1"/>
    <col min="4873" max="4873" width="1.375" style="529" customWidth="1" collapsed="1"/>
    <col min="4874" max="4874" width="19.875" style="529" bestFit="1" customWidth="1" collapsed="1"/>
    <col min="4875" max="4875" width="0" style="529" hidden="1" customWidth="1" collapsed="1"/>
    <col min="4876" max="5118" width="9" style="529" collapsed="1"/>
    <col min="5119" max="5119" width="5.25" style="529" customWidth="1" collapsed="1"/>
    <col min="5120" max="5122" width="9" style="529" collapsed="1"/>
    <col min="5123" max="5123" width="31.25" style="529" customWidth="1" collapsed="1"/>
    <col min="5124" max="5124" width="13.75" style="529" customWidth="1" collapsed="1"/>
    <col min="5125" max="5125" width="2.75" style="529" customWidth="1" collapsed="1"/>
    <col min="5126" max="5126" width="12.875" style="529" customWidth="1" collapsed="1"/>
    <col min="5127" max="5127" width="1.75" style="529" customWidth="1" collapsed="1"/>
    <col min="5128" max="5128" width="12.875" style="529" customWidth="1" collapsed="1"/>
    <col min="5129" max="5129" width="1.375" style="529" customWidth="1" collapsed="1"/>
    <col min="5130" max="5130" width="19.875" style="529" bestFit="1" customWidth="1" collapsed="1"/>
    <col min="5131" max="5131" width="0" style="529" hidden="1" customWidth="1" collapsed="1"/>
    <col min="5132" max="5374" width="9" style="529" collapsed="1"/>
    <col min="5375" max="5375" width="5.25" style="529" customWidth="1" collapsed="1"/>
    <col min="5376" max="5378" width="9" style="529" collapsed="1"/>
    <col min="5379" max="5379" width="31.25" style="529" customWidth="1" collapsed="1"/>
    <col min="5380" max="5380" width="13.75" style="529" customWidth="1" collapsed="1"/>
    <col min="5381" max="5381" width="2.75" style="529" customWidth="1" collapsed="1"/>
    <col min="5382" max="5382" width="12.875" style="529" customWidth="1" collapsed="1"/>
    <col min="5383" max="5383" width="1.75" style="529" customWidth="1" collapsed="1"/>
    <col min="5384" max="5384" width="12.875" style="529" customWidth="1" collapsed="1"/>
    <col min="5385" max="5385" width="1.375" style="529" customWidth="1" collapsed="1"/>
    <col min="5386" max="5386" width="19.875" style="529" bestFit="1" customWidth="1" collapsed="1"/>
    <col min="5387" max="5387" width="0" style="529" hidden="1" customWidth="1" collapsed="1"/>
    <col min="5388" max="5630" width="9" style="529" collapsed="1"/>
    <col min="5631" max="5631" width="5.25" style="529" customWidth="1" collapsed="1"/>
    <col min="5632" max="5634" width="9" style="529" collapsed="1"/>
    <col min="5635" max="5635" width="31.25" style="529" customWidth="1" collapsed="1"/>
    <col min="5636" max="5636" width="13.75" style="529" customWidth="1" collapsed="1"/>
    <col min="5637" max="5637" width="2.75" style="529" customWidth="1" collapsed="1"/>
    <col min="5638" max="5638" width="12.875" style="529" customWidth="1" collapsed="1"/>
    <col min="5639" max="5639" width="1.75" style="529" customWidth="1" collapsed="1"/>
    <col min="5640" max="5640" width="12.875" style="529" customWidth="1" collapsed="1"/>
    <col min="5641" max="5641" width="1.375" style="529" customWidth="1" collapsed="1"/>
    <col min="5642" max="5642" width="19.875" style="529" bestFit="1" customWidth="1" collapsed="1"/>
    <col min="5643" max="5643" width="0" style="529" hidden="1" customWidth="1" collapsed="1"/>
    <col min="5644" max="5886" width="9" style="529" collapsed="1"/>
    <col min="5887" max="5887" width="5.25" style="529" customWidth="1" collapsed="1"/>
    <col min="5888" max="5890" width="9" style="529" collapsed="1"/>
    <col min="5891" max="5891" width="31.25" style="529" customWidth="1" collapsed="1"/>
    <col min="5892" max="5892" width="13.75" style="529" customWidth="1" collapsed="1"/>
    <col min="5893" max="5893" width="2.75" style="529" customWidth="1" collapsed="1"/>
    <col min="5894" max="5894" width="12.875" style="529" customWidth="1" collapsed="1"/>
    <col min="5895" max="5895" width="1.75" style="529" customWidth="1" collapsed="1"/>
    <col min="5896" max="5896" width="12.875" style="529" customWidth="1" collapsed="1"/>
    <col min="5897" max="5897" width="1.375" style="529" customWidth="1" collapsed="1"/>
    <col min="5898" max="5898" width="19.875" style="529" bestFit="1" customWidth="1" collapsed="1"/>
    <col min="5899" max="5899" width="0" style="529" hidden="1" customWidth="1" collapsed="1"/>
    <col min="5900" max="6142" width="9" style="529" collapsed="1"/>
    <col min="6143" max="6143" width="5.25" style="529" customWidth="1" collapsed="1"/>
    <col min="6144" max="6146" width="9" style="529" collapsed="1"/>
    <col min="6147" max="6147" width="31.25" style="529" customWidth="1" collapsed="1"/>
    <col min="6148" max="6148" width="13.75" style="529" customWidth="1" collapsed="1"/>
    <col min="6149" max="6149" width="2.75" style="529" customWidth="1" collapsed="1"/>
    <col min="6150" max="6150" width="12.875" style="529" customWidth="1" collapsed="1"/>
    <col min="6151" max="6151" width="1.75" style="529" customWidth="1" collapsed="1"/>
    <col min="6152" max="6152" width="12.875" style="529" customWidth="1" collapsed="1"/>
    <col min="6153" max="6153" width="1.375" style="529" customWidth="1" collapsed="1"/>
    <col min="6154" max="6154" width="19.875" style="529" bestFit="1" customWidth="1" collapsed="1"/>
    <col min="6155" max="6155" width="0" style="529" hidden="1" customWidth="1" collapsed="1"/>
    <col min="6156" max="6398" width="9" style="529" collapsed="1"/>
    <col min="6399" max="6399" width="5.25" style="529" customWidth="1" collapsed="1"/>
    <col min="6400" max="6402" width="9" style="529" collapsed="1"/>
    <col min="6403" max="6403" width="31.25" style="529" customWidth="1" collapsed="1"/>
    <col min="6404" max="6404" width="13.75" style="529" customWidth="1" collapsed="1"/>
    <col min="6405" max="6405" width="2.75" style="529" customWidth="1" collapsed="1"/>
    <col min="6406" max="6406" width="12.875" style="529" customWidth="1" collapsed="1"/>
    <col min="6407" max="6407" width="1.75" style="529" customWidth="1" collapsed="1"/>
    <col min="6408" max="6408" width="12.875" style="529" customWidth="1" collapsed="1"/>
    <col min="6409" max="6409" width="1.375" style="529" customWidth="1" collapsed="1"/>
    <col min="6410" max="6410" width="19.875" style="529" bestFit="1" customWidth="1" collapsed="1"/>
    <col min="6411" max="6411" width="0" style="529" hidden="1" customWidth="1" collapsed="1"/>
    <col min="6412" max="6654" width="9" style="529" collapsed="1"/>
    <col min="6655" max="6655" width="5.25" style="529" customWidth="1" collapsed="1"/>
    <col min="6656" max="6658" width="9" style="529" collapsed="1"/>
    <col min="6659" max="6659" width="31.25" style="529" customWidth="1" collapsed="1"/>
    <col min="6660" max="6660" width="13.75" style="529" customWidth="1" collapsed="1"/>
    <col min="6661" max="6661" width="2.75" style="529" customWidth="1" collapsed="1"/>
    <col min="6662" max="6662" width="12.875" style="529" customWidth="1" collapsed="1"/>
    <col min="6663" max="6663" width="1.75" style="529" customWidth="1" collapsed="1"/>
    <col min="6664" max="6664" width="12.875" style="529" customWidth="1" collapsed="1"/>
    <col min="6665" max="6665" width="1.375" style="529" customWidth="1" collapsed="1"/>
    <col min="6666" max="6666" width="19.875" style="529" bestFit="1" customWidth="1" collapsed="1"/>
    <col min="6667" max="6667" width="0" style="529" hidden="1" customWidth="1" collapsed="1"/>
    <col min="6668" max="6910" width="9" style="529" collapsed="1"/>
    <col min="6911" max="6911" width="5.25" style="529" customWidth="1" collapsed="1"/>
    <col min="6912" max="6914" width="9" style="529" collapsed="1"/>
    <col min="6915" max="6915" width="31.25" style="529" customWidth="1" collapsed="1"/>
    <col min="6916" max="6916" width="13.75" style="529" customWidth="1" collapsed="1"/>
    <col min="6917" max="6917" width="2.75" style="529" customWidth="1" collapsed="1"/>
    <col min="6918" max="6918" width="12.875" style="529" customWidth="1" collapsed="1"/>
    <col min="6919" max="6919" width="1.75" style="529" customWidth="1" collapsed="1"/>
    <col min="6920" max="6920" width="12.875" style="529" customWidth="1" collapsed="1"/>
    <col min="6921" max="6921" width="1.375" style="529" customWidth="1" collapsed="1"/>
    <col min="6922" max="6922" width="19.875" style="529" bestFit="1" customWidth="1" collapsed="1"/>
    <col min="6923" max="6923" width="0" style="529" hidden="1" customWidth="1" collapsed="1"/>
    <col min="6924" max="7166" width="9" style="529" collapsed="1"/>
    <col min="7167" max="7167" width="5.25" style="529" customWidth="1" collapsed="1"/>
    <col min="7168" max="7170" width="9" style="529" collapsed="1"/>
    <col min="7171" max="7171" width="31.25" style="529" customWidth="1" collapsed="1"/>
    <col min="7172" max="7172" width="13.75" style="529" customWidth="1" collapsed="1"/>
    <col min="7173" max="7173" width="2.75" style="529" customWidth="1" collapsed="1"/>
    <col min="7174" max="7174" width="12.875" style="529" customWidth="1" collapsed="1"/>
    <col min="7175" max="7175" width="1.75" style="529" customWidth="1" collapsed="1"/>
    <col min="7176" max="7176" width="12.875" style="529" customWidth="1" collapsed="1"/>
    <col min="7177" max="7177" width="1.375" style="529" customWidth="1" collapsed="1"/>
    <col min="7178" max="7178" width="19.875" style="529" bestFit="1" customWidth="1" collapsed="1"/>
    <col min="7179" max="7179" width="0" style="529" hidden="1" customWidth="1" collapsed="1"/>
    <col min="7180" max="7422" width="9" style="529" collapsed="1"/>
    <col min="7423" max="7423" width="5.25" style="529" customWidth="1" collapsed="1"/>
    <col min="7424" max="7426" width="9" style="529" collapsed="1"/>
    <col min="7427" max="7427" width="31.25" style="529" customWidth="1" collapsed="1"/>
    <col min="7428" max="7428" width="13.75" style="529" customWidth="1" collapsed="1"/>
    <col min="7429" max="7429" width="2.75" style="529" customWidth="1" collapsed="1"/>
    <col min="7430" max="7430" width="12.875" style="529" customWidth="1" collapsed="1"/>
    <col min="7431" max="7431" width="1.75" style="529" customWidth="1" collapsed="1"/>
    <col min="7432" max="7432" width="12.875" style="529" customWidth="1" collapsed="1"/>
    <col min="7433" max="7433" width="1.375" style="529" customWidth="1" collapsed="1"/>
    <col min="7434" max="7434" width="19.875" style="529" bestFit="1" customWidth="1" collapsed="1"/>
    <col min="7435" max="7435" width="0" style="529" hidden="1" customWidth="1" collapsed="1"/>
    <col min="7436" max="7678" width="9" style="529" collapsed="1"/>
    <col min="7679" max="7679" width="5.25" style="529" customWidth="1" collapsed="1"/>
    <col min="7680" max="7682" width="9" style="529" collapsed="1"/>
    <col min="7683" max="7683" width="31.25" style="529" customWidth="1" collapsed="1"/>
    <col min="7684" max="7684" width="13.75" style="529" customWidth="1" collapsed="1"/>
    <col min="7685" max="7685" width="2.75" style="529" customWidth="1" collapsed="1"/>
    <col min="7686" max="7686" width="12.875" style="529" customWidth="1" collapsed="1"/>
    <col min="7687" max="7687" width="1.75" style="529" customWidth="1" collapsed="1"/>
    <col min="7688" max="7688" width="12.875" style="529" customWidth="1" collapsed="1"/>
    <col min="7689" max="7689" width="1.375" style="529" customWidth="1" collapsed="1"/>
    <col min="7690" max="7690" width="19.875" style="529" bestFit="1" customWidth="1" collapsed="1"/>
    <col min="7691" max="7691" width="0" style="529" hidden="1" customWidth="1" collapsed="1"/>
    <col min="7692" max="7934" width="9" style="529" collapsed="1"/>
    <col min="7935" max="7935" width="5.25" style="529" customWidth="1" collapsed="1"/>
    <col min="7936" max="7938" width="9" style="529" collapsed="1"/>
    <col min="7939" max="7939" width="31.25" style="529" customWidth="1" collapsed="1"/>
    <col min="7940" max="7940" width="13.75" style="529" customWidth="1" collapsed="1"/>
    <col min="7941" max="7941" width="2.75" style="529" customWidth="1" collapsed="1"/>
    <col min="7942" max="7942" width="12.875" style="529" customWidth="1" collapsed="1"/>
    <col min="7943" max="7943" width="1.75" style="529" customWidth="1" collapsed="1"/>
    <col min="7944" max="7944" width="12.875" style="529" customWidth="1" collapsed="1"/>
    <col min="7945" max="7945" width="1.375" style="529" customWidth="1" collapsed="1"/>
    <col min="7946" max="7946" width="19.875" style="529" bestFit="1" customWidth="1" collapsed="1"/>
    <col min="7947" max="7947" width="0" style="529" hidden="1" customWidth="1" collapsed="1"/>
    <col min="7948" max="8190" width="9" style="529" collapsed="1"/>
    <col min="8191" max="8191" width="5.25" style="529" customWidth="1" collapsed="1"/>
    <col min="8192" max="8194" width="9" style="529" collapsed="1"/>
    <col min="8195" max="8195" width="31.25" style="529" customWidth="1" collapsed="1"/>
    <col min="8196" max="8196" width="13.75" style="529" customWidth="1" collapsed="1"/>
    <col min="8197" max="8197" width="2.75" style="529" customWidth="1" collapsed="1"/>
    <col min="8198" max="8198" width="12.875" style="529" customWidth="1" collapsed="1"/>
    <col min="8199" max="8199" width="1.75" style="529" customWidth="1" collapsed="1"/>
    <col min="8200" max="8200" width="12.875" style="529" customWidth="1" collapsed="1"/>
    <col min="8201" max="8201" width="1.375" style="529" customWidth="1" collapsed="1"/>
    <col min="8202" max="8202" width="19.875" style="529" bestFit="1" customWidth="1" collapsed="1"/>
    <col min="8203" max="8203" width="0" style="529" hidden="1" customWidth="1" collapsed="1"/>
    <col min="8204" max="8446" width="9" style="529" collapsed="1"/>
    <col min="8447" max="8447" width="5.25" style="529" customWidth="1" collapsed="1"/>
    <col min="8448" max="8450" width="9" style="529" collapsed="1"/>
    <col min="8451" max="8451" width="31.25" style="529" customWidth="1" collapsed="1"/>
    <col min="8452" max="8452" width="13.75" style="529" customWidth="1" collapsed="1"/>
    <col min="8453" max="8453" width="2.75" style="529" customWidth="1" collapsed="1"/>
    <col min="8454" max="8454" width="12.875" style="529" customWidth="1" collapsed="1"/>
    <col min="8455" max="8455" width="1.75" style="529" customWidth="1" collapsed="1"/>
    <col min="8456" max="8456" width="12.875" style="529" customWidth="1" collapsed="1"/>
    <col min="8457" max="8457" width="1.375" style="529" customWidth="1" collapsed="1"/>
    <col min="8458" max="8458" width="19.875" style="529" bestFit="1" customWidth="1" collapsed="1"/>
    <col min="8459" max="8459" width="0" style="529" hidden="1" customWidth="1" collapsed="1"/>
    <col min="8460" max="8702" width="9" style="529" collapsed="1"/>
    <col min="8703" max="8703" width="5.25" style="529" customWidth="1" collapsed="1"/>
    <col min="8704" max="8706" width="9" style="529" collapsed="1"/>
    <col min="8707" max="8707" width="31.25" style="529" customWidth="1" collapsed="1"/>
    <col min="8708" max="8708" width="13.75" style="529" customWidth="1" collapsed="1"/>
    <col min="8709" max="8709" width="2.75" style="529" customWidth="1" collapsed="1"/>
    <col min="8710" max="8710" width="12.875" style="529" customWidth="1" collapsed="1"/>
    <col min="8711" max="8711" width="1.75" style="529" customWidth="1" collapsed="1"/>
    <col min="8712" max="8712" width="12.875" style="529" customWidth="1" collapsed="1"/>
    <col min="8713" max="8713" width="1.375" style="529" customWidth="1" collapsed="1"/>
    <col min="8714" max="8714" width="19.875" style="529" bestFit="1" customWidth="1" collapsed="1"/>
    <col min="8715" max="8715" width="0" style="529" hidden="1" customWidth="1" collapsed="1"/>
    <col min="8716" max="8958" width="9" style="529" collapsed="1"/>
    <col min="8959" max="8959" width="5.25" style="529" customWidth="1" collapsed="1"/>
    <col min="8960" max="8962" width="9" style="529" collapsed="1"/>
    <col min="8963" max="8963" width="31.25" style="529" customWidth="1" collapsed="1"/>
    <col min="8964" max="8964" width="13.75" style="529" customWidth="1" collapsed="1"/>
    <col min="8965" max="8965" width="2.75" style="529" customWidth="1" collapsed="1"/>
    <col min="8966" max="8966" width="12.875" style="529" customWidth="1" collapsed="1"/>
    <col min="8967" max="8967" width="1.75" style="529" customWidth="1" collapsed="1"/>
    <col min="8968" max="8968" width="12.875" style="529" customWidth="1" collapsed="1"/>
    <col min="8969" max="8969" width="1.375" style="529" customWidth="1" collapsed="1"/>
    <col min="8970" max="8970" width="19.875" style="529" bestFit="1" customWidth="1" collapsed="1"/>
    <col min="8971" max="8971" width="0" style="529" hidden="1" customWidth="1" collapsed="1"/>
    <col min="8972" max="9214" width="9" style="529" collapsed="1"/>
    <col min="9215" max="9215" width="5.25" style="529" customWidth="1" collapsed="1"/>
    <col min="9216" max="9218" width="9" style="529" collapsed="1"/>
    <col min="9219" max="9219" width="31.25" style="529" customWidth="1" collapsed="1"/>
    <col min="9220" max="9220" width="13.75" style="529" customWidth="1" collapsed="1"/>
    <col min="9221" max="9221" width="2.75" style="529" customWidth="1" collapsed="1"/>
    <col min="9222" max="9222" width="12.875" style="529" customWidth="1" collapsed="1"/>
    <col min="9223" max="9223" width="1.75" style="529" customWidth="1" collapsed="1"/>
    <col min="9224" max="9224" width="12.875" style="529" customWidth="1" collapsed="1"/>
    <col min="9225" max="9225" width="1.375" style="529" customWidth="1" collapsed="1"/>
    <col min="9226" max="9226" width="19.875" style="529" bestFit="1" customWidth="1" collapsed="1"/>
    <col min="9227" max="9227" width="0" style="529" hidden="1" customWidth="1" collapsed="1"/>
    <col min="9228" max="9470" width="9" style="529" collapsed="1"/>
    <col min="9471" max="9471" width="5.25" style="529" customWidth="1" collapsed="1"/>
    <col min="9472" max="9474" width="9" style="529" collapsed="1"/>
    <col min="9475" max="9475" width="31.25" style="529" customWidth="1" collapsed="1"/>
    <col min="9476" max="9476" width="13.75" style="529" customWidth="1" collapsed="1"/>
    <col min="9477" max="9477" width="2.75" style="529" customWidth="1" collapsed="1"/>
    <col min="9478" max="9478" width="12.875" style="529" customWidth="1" collapsed="1"/>
    <col min="9479" max="9479" width="1.75" style="529" customWidth="1" collapsed="1"/>
    <col min="9480" max="9480" width="12.875" style="529" customWidth="1" collapsed="1"/>
    <col min="9481" max="9481" width="1.375" style="529" customWidth="1" collapsed="1"/>
    <col min="9482" max="9482" width="19.875" style="529" bestFit="1" customWidth="1" collapsed="1"/>
    <col min="9483" max="9483" width="0" style="529" hidden="1" customWidth="1" collapsed="1"/>
    <col min="9484" max="9726" width="9" style="529" collapsed="1"/>
    <col min="9727" max="9727" width="5.25" style="529" customWidth="1" collapsed="1"/>
    <col min="9728" max="9730" width="9" style="529" collapsed="1"/>
    <col min="9731" max="9731" width="31.25" style="529" customWidth="1" collapsed="1"/>
    <col min="9732" max="9732" width="13.75" style="529" customWidth="1" collapsed="1"/>
    <col min="9733" max="9733" width="2.75" style="529" customWidth="1" collapsed="1"/>
    <col min="9734" max="9734" width="12.875" style="529" customWidth="1" collapsed="1"/>
    <col min="9735" max="9735" width="1.75" style="529" customWidth="1" collapsed="1"/>
    <col min="9736" max="9736" width="12.875" style="529" customWidth="1" collapsed="1"/>
    <col min="9737" max="9737" width="1.375" style="529" customWidth="1" collapsed="1"/>
    <col min="9738" max="9738" width="19.875" style="529" bestFit="1" customWidth="1" collapsed="1"/>
    <col min="9739" max="9739" width="0" style="529" hidden="1" customWidth="1" collapsed="1"/>
    <col min="9740" max="9982" width="9" style="529" collapsed="1"/>
    <col min="9983" max="9983" width="5.25" style="529" customWidth="1" collapsed="1"/>
    <col min="9984" max="9986" width="9" style="529" collapsed="1"/>
    <col min="9987" max="9987" width="31.25" style="529" customWidth="1" collapsed="1"/>
    <col min="9988" max="9988" width="13.75" style="529" customWidth="1" collapsed="1"/>
    <col min="9989" max="9989" width="2.75" style="529" customWidth="1" collapsed="1"/>
    <col min="9990" max="9990" width="12.875" style="529" customWidth="1" collapsed="1"/>
    <col min="9991" max="9991" width="1.75" style="529" customWidth="1" collapsed="1"/>
    <col min="9992" max="9992" width="12.875" style="529" customWidth="1" collapsed="1"/>
    <col min="9993" max="9993" width="1.375" style="529" customWidth="1" collapsed="1"/>
    <col min="9994" max="9994" width="19.875" style="529" bestFit="1" customWidth="1" collapsed="1"/>
    <col min="9995" max="9995" width="0" style="529" hidden="1" customWidth="1" collapsed="1"/>
    <col min="9996" max="10238" width="9" style="529" collapsed="1"/>
    <col min="10239" max="10239" width="5.25" style="529" customWidth="1" collapsed="1"/>
    <col min="10240" max="10242" width="9" style="529" collapsed="1"/>
    <col min="10243" max="10243" width="31.25" style="529" customWidth="1" collapsed="1"/>
    <col min="10244" max="10244" width="13.75" style="529" customWidth="1" collapsed="1"/>
    <col min="10245" max="10245" width="2.75" style="529" customWidth="1" collapsed="1"/>
    <col min="10246" max="10246" width="12.875" style="529" customWidth="1" collapsed="1"/>
    <col min="10247" max="10247" width="1.75" style="529" customWidth="1" collapsed="1"/>
    <col min="10248" max="10248" width="12.875" style="529" customWidth="1" collapsed="1"/>
    <col min="10249" max="10249" width="1.375" style="529" customWidth="1" collapsed="1"/>
    <col min="10250" max="10250" width="19.875" style="529" bestFit="1" customWidth="1" collapsed="1"/>
    <col min="10251" max="10251" width="0" style="529" hidden="1" customWidth="1" collapsed="1"/>
    <col min="10252" max="10494" width="9" style="529" collapsed="1"/>
    <col min="10495" max="10495" width="5.25" style="529" customWidth="1" collapsed="1"/>
    <col min="10496" max="10498" width="9" style="529" collapsed="1"/>
    <col min="10499" max="10499" width="31.25" style="529" customWidth="1" collapsed="1"/>
    <col min="10500" max="10500" width="13.75" style="529" customWidth="1" collapsed="1"/>
    <col min="10501" max="10501" width="2.75" style="529" customWidth="1" collapsed="1"/>
    <col min="10502" max="10502" width="12.875" style="529" customWidth="1" collapsed="1"/>
    <col min="10503" max="10503" width="1.75" style="529" customWidth="1" collapsed="1"/>
    <col min="10504" max="10504" width="12.875" style="529" customWidth="1" collapsed="1"/>
    <col min="10505" max="10505" width="1.375" style="529" customWidth="1" collapsed="1"/>
    <col min="10506" max="10506" width="19.875" style="529" bestFit="1" customWidth="1" collapsed="1"/>
    <col min="10507" max="10507" width="0" style="529" hidden="1" customWidth="1" collapsed="1"/>
    <col min="10508" max="10750" width="9" style="529" collapsed="1"/>
    <col min="10751" max="10751" width="5.25" style="529" customWidth="1" collapsed="1"/>
    <col min="10752" max="10754" width="9" style="529" collapsed="1"/>
    <col min="10755" max="10755" width="31.25" style="529" customWidth="1" collapsed="1"/>
    <col min="10756" max="10756" width="13.75" style="529" customWidth="1" collapsed="1"/>
    <col min="10757" max="10757" width="2.75" style="529" customWidth="1" collapsed="1"/>
    <col min="10758" max="10758" width="12.875" style="529" customWidth="1" collapsed="1"/>
    <col min="10759" max="10759" width="1.75" style="529" customWidth="1" collapsed="1"/>
    <col min="10760" max="10760" width="12.875" style="529" customWidth="1" collapsed="1"/>
    <col min="10761" max="10761" width="1.375" style="529" customWidth="1" collapsed="1"/>
    <col min="10762" max="10762" width="19.875" style="529" bestFit="1" customWidth="1" collapsed="1"/>
    <col min="10763" max="10763" width="0" style="529" hidden="1" customWidth="1" collapsed="1"/>
    <col min="10764" max="11006" width="9" style="529" collapsed="1"/>
    <col min="11007" max="11007" width="5.25" style="529" customWidth="1" collapsed="1"/>
    <col min="11008" max="11010" width="9" style="529" collapsed="1"/>
    <col min="11011" max="11011" width="31.25" style="529" customWidth="1" collapsed="1"/>
    <col min="11012" max="11012" width="13.75" style="529" customWidth="1" collapsed="1"/>
    <col min="11013" max="11013" width="2.75" style="529" customWidth="1" collapsed="1"/>
    <col min="11014" max="11014" width="12.875" style="529" customWidth="1" collapsed="1"/>
    <col min="11015" max="11015" width="1.75" style="529" customWidth="1" collapsed="1"/>
    <col min="11016" max="11016" width="12.875" style="529" customWidth="1" collapsed="1"/>
    <col min="11017" max="11017" width="1.375" style="529" customWidth="1" collapsed="1"/>
    <col min="11018" max="11018" width="19.875" style="529" bestFit="1" customWidth="1" collapsed="1"/>
    <col min="11019" max="11019" width="0" style="529" hidden="1" customWidth="1" collapsed="1"/>
    <col min="11020" max="11262" width="9" style="529" collapsed="1"/>
    <col min="11263" max="11263" width="5.25" style="529" customWidth="1" collapsed="1"/>
    <col min="11264" max="11266" width="9" style="529" collapsed="1"/>
    <col min="11267" max="11267" width="31.25" style="529" customWidth="1" collapsed="1"/>
    <col min="11268" max="11268" width="13.75" style="529" customWidth="1" collapsed="1"/>
    <col min="11269" max="11269" width="2.75" style="529" customWidth="1" collapsed="1"/>
    <col min="11270" max="11270" width="12.875" style="529" customWidth="1" collapsed="1"/>
    <col min="11271" max="11271" width="1.75" style="529" customWidth="1" collapsed="1"/>
    <col min="11272" max="11272" width="12.875" style="529" customWidth="1" collapsed="1"/>
    <col min="11273" max="11273" width="1.375" style="529" customWidth="1" collapsed="1"/>
    <col min="11274" max="11274" width="19.875" style="529" bestFit="1" customWidth="1" collapsed="1"/>
    <col min="11275" max="11275" width="0" style="529" hidden="1" customWidth="1" collapsed="1"/>
    <col min="11276" max="11518" width="9" style="529" collapsed="1"/>
    <col min="11519" max="11519" width="5.25" style="529" customWidth="1" collapsed="1"/>
    <col min="11520" max="11522" width="9" style="529" collapsed="1"/>
    <col min="11523" max="11523" width="31.25" style="529" customWidth="1" collapsed="1"/>
    <col min="11524" max="11524" width="13.75" style="529" customWidth="1" collapsed="1"/>
    <col min="11525" max="11525" width="2.75" style="529" customWidth="1" collapsed="1"/>
    <col min="11526" max="11526" width="12.875" style="529" customWidth="1" collapsed="1"/>
    <col min="11527" max="11527" width="1.75" style="529" customWidth="1" collapsed="1"/>
    <col min="11528" max="11528" width="12.875" style="529" customWidth="1" collapsed="1"/>
    <col min="11529" max="11529" width="1.375" style="529" customWidth="1" collapsed="1"/>
    <col min="11530" max="11530" width="19.875" style="529" bestFit="1" customWidth="1" collapsed="1"/>
    <col min="11531" max="11531" width="0" style="529" hidden="1" customWidth="1" collapsed="1"/>
    <col min="11532" max="11774" width="9" style="529" collapsed="1"/>
    <col min="11775" max="11775" width="5.25" style="529" customWidth="1" collapsed="1"/>
    <col min="11776" max="11778" width="9" style="529" collapsed="1"/>
    <col min="11779" max="11779" width="31.25" style="529" customWidth="1" collapsed="1"/>
    <col min="11780" max="11780" width="13.75" style="529" customWidth="1" collapsed="1"/>
    <col min="11781" max="11781" width="2.75" style="529" customWidth="1" collapsed="1"/>
    <col min="11782" max="11782" width="12.875" style="529" customWidth="1" collapsed="1"/>
    <col min="11783" max="11783" width="1.75" style="529" customWidth="1" collapsed="1"/>
    <col min="11784" max="11784" width="12.875" style="529" customWidth="1" collapsed="1"/>
    <col min="11785" max="11785" width="1.375" style="529" customWidth="1" collapsed="1"/>
    <col min="11786" max="11786" width="19.875" style="529" bestFit="1" customWidth="1" collapsed="1"/>
    <col min="11787" max="11787" width="0" style="529" hidden="1" customWidth="1" collapsed="1"/>
    <col min="11788" max="12030" width="9" style="529" collapsed="1"/>
    <col min="12031" max="12031" width="5.25" style="529" customWidth="1" collapsed="1"/>
    <col min="12032" max="12034" width="9" style="529" collapsed="1"/>
    <col min="12035" max="12035" width="31.25" style="529" customWidth="1" collapsed="1"/>
    <col min="12036" max="12036" width="13.75" style="529" customWidth="1" collapsed="1"/>
    <col min="12037" max="12037" width="2.75" style="529" customWidth="1" collapsed="1"/>
    <col min="12038" max="12038" width="12.875" style="529" customWidth="1" collapsed="1"/>
    <col min="12039" max="12039" width="1.75" style="529" customWidth="1" collapsed="1"/>
    <col min="12040" max="12040" width="12.875" style="529" customWidth="1" collapsed="1"/>
    <col min="12041" max="12041" width="1.375" style="529" customWidth="1" collapsed="1"/>
    <col min="12042" max="12042" width="19.875" style="529" bestFit="1" customWidth="1" collapsed="1"/>
    <col min="12043" max="12043" width="0" style="529" hidden="1" customWidth="1" collapsed="1"/>
    <col min="12044" max="12286" width="9" style="529" collapsed="1"/>
    <col min="12287" max="12287" width="5.25" style="529" customWidth="1" collapsed="1"/>
    <col min="12288" max="12290" width="9" style="529" collapsed="1"/>
    <col min="12291" max="12291" width="31.25" style="529" customWidth="1" collapsed="1"/>
    <col min="12292" max="12292" width="13.75" style="529" customWidth="1" collapsed="1"/>
    <col min="12293" max="12293" width="2.75" style="529" customWidth="1" collapsed="1"/>
    <col min="12294" max="12294" width="12.875" style="529" customWidth="1" collapsed="1"/>
    <col min="12295" max="12295" width="1.75" style="529" customWidth="1" collapsed="1"/>
    <col min="12296" max="12296" width="12.875" style="529" customWidth="1" collapsed="1"/>
    <col min="12297" max="12297" width="1.375" style="529" customWidth="1" collapsed="1"/>
    <col min="12298" max="12298" width="19.875" style="529" bestFit="1" customWidth="1" collapsed="1"/>
    <col min="12299" max="12299" width="0" style="529" hidden="1" customWidth="1" collapsed="1"/>
    <col min="12300" max="12542" width="9" style="529" collapsed="1"/>
    <col min="12543" max="12543" width="5.25" style="529" customWidth="1" collapsed="1"/>
    <col min="12544" max="12546" width="9" style="529" collapsed="1"/>
    <col min="12547" max="12547" width="31.25" style="529" customWidth="1" collapsed="1"/>
    <col min="12548" max="12548" width="13.75" style="529" customWidth="1" collapsed="1"/>
    <col min="12549" max="12549" width="2.75" style="529" customWidth="1" collapsed="1"/>
    <col min="12550" max="12550" width="12.875" style="529" customWidth="1" collapsed="1"/>
    <col min="12551" max="12551" width="1.75" style="529" customWidth="1" collapsed="1"/>
    <col min="12552" max="12552" width="12.875" style="529" customWidth="1" collapsed="1"/>
    <col min="12553" max="12553" width="1.375" style="529" customWidth="1" collapsed="1"/>
    <col min="12554" max="12554" width="19.875" style="529" bestFit="1" customWidth="1" collapsed="1"/>
    <col min="12555" max="12555" width="0" style="529" hidden="1" customWidth="1" collapsed="1"/>
    <col min="12556" max="12798" width="9" style="529" collapsed="1"/>
    <col min="12799" max="12799" width="5.25" style="529" customWidth="1" collapsed="1"/>
    <col min="12800" max="12802" width="9" style="529" collapsed="1"/>
    <col min="12803" max="12803" width="31.25" style="529" customWidth="1" collapsed="1"/>
    <col min="12804" max="12804" width="13.75" style="529" customWidth="1" collapsed="1"/>
    <col min="12805" max="12805" width="2.75" style="529" customWidth="1" collapsed="1"/>
    <col min="12806" max="12806" width="12.875" style="529" customWidth="1" collapsed="1"/>
    <col min="12807" max="12807" width="1.75" style="529" customWidth="1" collapsed="1"/>
    <col min="12808" max="12808" width="12.875" style="529" customWidth="1" collapsed="1"/>
    <col min="12809" max="12809" width="1.375" style="529" customWidth="1" collapsed="1"/>
    <col min="12810" max="12810" width="19.875" style="529" bestFit="1" customWidth="1" collapsed="1"/>
    <col min="12811" max="12811" width="0" style="529" hidden="1" customWidth="1" collapsed="1"/>
    <col min="12812" max="13054" width="9" style="529" collapsed="1"/>
    <col min="13055" max="13055" width="5.25" style="529" customWidth="1" collapsed="1"/>
    <col min="13056" max="13058" width="9" style="529" collapsed="1"/>
    <col min="13059" max="13059" width="31.25" style="529" customWidth="1" collapsed="1"/>
    <col min="13060" max="13060" width="13.75" style="529" customWidth="1" collapsed="1"/>
    <col min="13061" max="13061" width="2.75" style="529" customWidth="1" collapsed="1"/>
    <col min="13062" max="13062" width="12.875" style="529" customWidth="1" collapsed="1"/>
    <col min="13063" max="13063" width="1.75" style="529" customWidth="1" collapsed="1"/>
    <col min="13064" max="13064" width="12.875" style="529" customWidth="1" collapsed="1"/>
    <col min="13065" max="13065" width="1.375" style="529" customWidth="1" collapsed="1"/>
    <col min="13066" max="13066" width="19.875" style="529" bestFit="1" customWidth="1" collapsed="1"/>
    <col min="13067" max="13067" width="0" style="529" hidden="1" customWidth="1" collapsed="1"/>
    <col min="13068" max="13310" width="9" style="529" collapsed="1"/>
    <col min="13311" max="13311" width="5.25" style="529" customWidth="1" collapsed="1"/>
    <col min="13312" max="13314" width="9" style="529" collapsed="1"/>
    <col min="13315" max="13315" width="31.25" style="529" customWidth="1" collapsed="1"/>
    <col min="13316" max="13316" width="13.75" style="529" customWidth="1" collapsed="1"/>
    <col min="13317" max="13317" width="2.75" style="529" customWidth="1" collapsed="1"/>
    <col min="13318" max="13318" width="12.875" style="529" customWidth="1" collapsed="1"/>
    <col min="13319" max="13319" width="1.75" style="529" customWidth="1" collapsed="1"/>
    <col min="13320" max="13320" width="12.875" style="529" customWidth="1" collapsed="1"/>
    <col min="13321" max="13321" width="1.375" style="529" customWidth="1" collapsed="1"/>
    <col min="13322" max="13322" width="19.875" style="529" bestFit="1" customWidth="1" collapsed="1"/>
    <col min="13323" max="13323" width="0" style="529" hidden="1" customWidth="1" collapsed="1"/>
    <col min="13324" max="13566" width="9" style="529" collapsed="1"/>
    <col min="13567" max="13567" width="5.25" style="529" customWidth="1" collapsed="1"/>
    <col min="13568" max="13570" width="9" style="529" collapsed="1"/>
    <col min="13571" max="13571" width="31.25" style="529" customWidth="1" collapsed="1"/>
    <col min="13572" max="13572" width="13.75" style="529" customWidth="1" collapsed="1"/>
    <col min="13573" max="13573" width="2.75" style="529" customWidth="1" collapsed="1"/>
    <col min="13574" max="13574" width="12.875" style="529" customWidth="1" collapsed="1"/>
    <col min="13575" max="13575" width="1.75" style="529" customWidth="1" collapsed="1"/>
    <col min="13576" max="13576" width="12.875" style="529" customWidth="1" collapsed="1"/>
    <col min="13577" max="13577" width="1.375" style="529" customWidth="1" collapsed="1"/>
    <col min="13578" max="13578" width="19.875" style="529" bestFit="1" customWidth="1" collapsed="1"/>
    <col min="13579" max="13579" width="0" style="529" hidden="1" customWidth="1" collapsed="1"/>
    <col min="13580" max="13822" width="9" style="529" collapsed="1"/>
    <col min="13823" max="13823" width="5.25" style="529" customWidth="1" collapsed="1"/>
    <col min="13824" max="13826" width="9" style="529" collapsed="1"/>
    <col min="13827" max="13827" width="31.25" style="529" customWidth="1" collapsed="1"/>
    <col min="13828" max="13828" width="13.75" style="529" customWidth="1" collapsed="1"/>
    <col min="13829" max="13829" width="2.75" style="529" customWidth="1" collapsed="1"/>
    <col min="13830" max="13830" width="12.875" style="529" customWidth="1" collapsed="1"/>
    <col min="13831" max="13831" width="1.75" style="529" customWidth="1" collapsed="1"/>
    <col min="13832" max="13832" width="12.875" style="529" customWidth="1" collapsed="1"/>
    <col min="13833" max="13833" width="1.375" style="529" customWidth="1" collapsed="1"/>
    <col min="13834" max="13834" width="19.875" style="529" bestFit="1" customWidth="1" collapsed="1"/>
    <col min="13835" max="13835" width="0" style="529" hidden="1" customWidth="1" collapsed="1"/>
    <col min="13836" max="14078" width="9" style="529" collapsed="1"/>
    <col min="14079" max="14079" width="5.25" style="529" customWidth="1" collapsed="1"/>
    <col min="14080" max="14082" width="9" style="529" collapsed="1"/>
    <col min="14083" max="14083" width="31.25" style="529" customWidth="1" collapsed="1"/>
    <col min="14084" max="14084" width="13.75" style="529" customWidth="1" collapsed="1"/>
    <col min="14085" max="14085" width="2.75" style="529" customWidth="1" collapsed="1"/>
    <col min="14086" max="14086" width="12.875" style="529" customWidth="1" collapsed="1"/>
    <col min="14087" max="14087" width="1.75" style="529" customWidth="1" collapsed="1"/>
    <col min="14088" max="14088" width="12.875" style="529" customWidth="1" collapsed="1"/>
    <col min="14089" max="14089" width="1.375" style="529" customWidth="1" collapsed="1"/>
    <col min="14090" max="14090" width="19.875" style="529" bestFit="1" customWidth="1" collapsed="1"/>
    <col min="14091" max="14091" width="0" style="529" hidden="1" customWidth="1" collapsed="1"/>
    <col min="14092" max="14334" width="9" style="529" collapsed="1"/>
    <col min="14335" max="14335" width="5.25" style="529" customWidth="1" collapsed="1"/>
    <col min="14336" max="14338" width="9" style="529" collapsed="1"/>
    <col min="14339" max="14339" width="31.25" style="529" customWidth="1" collapsed="1"/>
    <col min="14340" max="14340" width="13.75" style="529" customWidth="1" collapsed="1"/>
    <col min="14341" max="14341" width="2.75" style="529" customWidth="1" collapsed="1"/>
    <col min="14342" max="14342" width="12.875" style="529" customWidth="1" collapsed="1"/>
    <col min="14343" max="14343" width="1.75" style="529" customWidth="1" collapsed="1"/>
    <col min="14344" max="14344" width="12.875" style="529" customWidth="1" collapsed="1"/>
    <col min="14345" max="14345" width="1.375" style="529" customWidth="1" collapsed="1"/>
    <col min="14346" max="14346" width="19.875" style="529" bestFit="1" customWidth="1" collapsed="1"/>
    <col min="14347" max="14347" width="0" style="529" hidden="1" customWidth="1" collapsed="1"/>
    <col min="14348" max="14590" width="9" style="529" collapsed="1"/>
    <col min="14591" max="14591" width="5.25" style="529" customWidth="1" collapsed="1"/>
    <col min="14592" max="14594" width="9" style="529" collapsed="1"/>
    <col min="14595" max="14595" width="31.25" style="529" customWidth="1" collapsed="1"/>
    <col min="14596" max="14596" width="13.75" style="529" customWidth="1" collapsed="1"/>
    <col min="14597" max="14597" width="2.75" style="529" customWidth="1" collapsed="1"/>
    <col min="14598" max="14598" width="12.875" style="529" customWidth="1" collapsed="1"/>
    <col min="14599" max="14599" width="1.75" style="529" customWidth="1" collapsed="1"/>
    <col min="14600" max="14600" width="12.875" style="529" customWidth="1" collapsed="1"/>
    <col min="14601" max="14601" width="1.375" style="529" customWidth="1" collapsed="1"/>
    <col min="14602" max="14602" width="19.875" style="529" bestFit="1" customWidth="1" collapsed="1"/>
    <col min="14603" max="14603" width="0" style="529" hidden="1" customWidth="1" collapsed="1"/>
    <col min="14604" max="14846" width="9" style="529" collapsed="1"/>
    <col min="14847" max="14847" width="5.25" style="529" customWidth="1" collapsed="1"/>
    <col min="14848" max="14850" width="9" style="529" collapsed="1"/>
    <col min="14851" max="14851" width="31.25" style="529" customWidth="1" collapsed="1"/>
    <col min="14852" max="14852" width="13.75" style="529" customWidth="1" collapsed="1"/>
    <col min="14853" max="14853" width="2.75" style="529" customWidth="1" collapsed="1"/>
    <col min="14854" max="14854" width="12.875" style="529" customWidth="1" collapsed="1"/>
    <col min="14855" max="14855" width="1.75" style="529" customWidth="1" collapsed="1"/>
    <col min="14856" max="14856" width="12.875" style="529" customWidth="1" collapsed="1"/>
    <col min="14857" max="14857" width="1.375" style="529" customWidth="1" collapsed="1"/>
    <col min="14858" max="14858" width="19.875" style="529" bestFit="1" customWidth="1" collapsed="1"/>
    <col min="14859" max="14859" width="0" style="529" hidden="1" customWidth="1" collapsed="1"/>
    <col min="14860" max="15102" width="9" style="529" collapsed="1"/>
    <col min="15103" max="15103" width="5.25" style="529" customWidth="1" collapsed="1"/>
    <col min="15104" max="15106" width="9" style="529" collapsed="1"/>
    <col min="15107" max="15107" width="31.25" style="529" customWidth="1" collapsed="1"/>
    <col min="15108" max="15108" width="13.75" style="529" customWidth="1" collapsed="1"/>
    <col min="15109" max="15109" width="2.75" style="529" customWidth="1" collapsed="1"/>
    <col min="15110" max="15110" width="12.875" style="529" customWidth="1" collapsed="1"/>
    <col min="15111" max="15111" width="1.75" style="529" customWidth="1" collapsed="1"/>
    <col min="15112" max="15112" width="12.875" style="529" customWidth="1" collapsed="1"/>
    <col min="15113" max="15113" width="1.375" style="529" customWidth="1" collapsed="1"/>
    <col min="15114" max="15114" width="19.875" style="529" bestFit="1" customWidth="1" collapsed="1"/>
    <col min="15115" max="15115" width="0" style="529" hidden="1" customWidth="1" collapsed="1"/>
    <col min="15116" max="15358" width="9" style="529" collapsed="1"/>
    <col min="15359" max="15359" width="5.25" style="529" customWidth="1" collapsed="1"/>
    <col min="15360" max="15362" width="9" style="529" collapsed="1"/>
    <col min="15363" max="15363" width="31.25" style="529" customWidth="1" collapsed="1"/>
    <col min="15364" max="15364" width="13.75" style="529" customWidth="1" collapsed="1"/>
    <col min="15365" max="15365" width="2.75" style="529" customWidth="1" collapsed="1"/>
    <col min="15366" max="15366" width="12.875" style="529" customWidth="1" collapsed="1"/>
    <col min="15367" max="15367" width="1.75" style="529" customWidth="1" collapsed="1"/>
    <col min="15368" max="15368" width="12.875" style="529" customWidth="1" collapsed="1"/>
    <col min="15369" max="15369" width="1.375" style="529" customWidth="1" collapsed="1"/>
    <col min="15370" max="15370" width="19.875" style="529" bestFit="1" customWidth="1" collapsed="1"/>
    <col min="15371" max="15371" width="0" style="529" hidden="1" customWidth="1" collapsed="1"/>
    <col min="15372" max="15614" width="9" style="529" collapsed="1"/>
    <col min="15615" max="15615" width="5.25" style="529" customWidth="1" collapsed="1"/>
    <col min="15616" max="15618" width="9" style="529" collapsed="1"/>
    <col min="15619" max="15619" width="31.25" style="529" customWidth="1" collapsed="1"/>
    <col min="15620" max="15620" width="13.75" style="529" customWidth="1" collapsed="1"/>
    <col min="15621" max="15621" width="2.75" style="529" customWidth="1" collapsed="1"/>
    <col min="15622" max="15622" width="12.875" style="529" customWidth="1" collapsed="1"/>
    <col min="15623" max="15623" width="1.75" style="529" customWidth="1" collapsed="1"/>
    <col min="15624" max="15624" width="12.875" style="529" customWidth="1" collapsed="1"/>
    <col min="15625" max="15625" width="1.375" style="529" customWidth="1" collapsed="1"/>
    <col min="15626" max="15626" width="19.875" style="529" bestFit="1" customWidth="1" collapsed="1"/>
    <col min="15627" max="15627" width="0" style="529" hidden="1" customWidth="1" collapsed="1"/>
    <col min="15628" max="15870" width="9" style="529" collapsed="1"/>
    <col min="15871" max="15871" width="5.25" style="529" customWidth="1" collapsed="1"/>
    <col min="15872" max="15874" width="9" style="529" collapsed="1"/>
    <col min="15875" max="15875" width="31.25" style="529" customWidth="1" collapsed="1"/>
    <col min="15876" max="15876" width="13.75" style="529" customWidth="1" collapsed="1"/>
    <col min="15877" max="15877" width="2.75" style="529" customWidth="1" collapsed="1"/>
    <col min="15878" max="15878" width="12.875" style="529" customWidth="1" collapsed="1"/>
    <col min="15879" max="15879" width="1.75" style="529" customWidth="1" collapsed="1"/>
    <col min="15880" max="15880" width="12.875" style="529" customWidth="1" collapsed="1"/>
    <col min="15881" max="15881" width="1.375" style="529" customWidth="1" collapsed="1"/>
    <col min="15882" max="15882" width="19.875" style="529" bestFit="1" customWidth="1" collapsed="1"/>
    <col min="15883" max="15883" width="0" style="529" hidden="1" customWidth="1" collapsed="1"/>
    <col min="15884" max="16126" width="9" style="529" collapsed="1"/>
    <col min="16127" max="16127" width="5.25" style="529" customWidth="1" collapsed="1"/>
    <col min="16128" max="16130" width="9" style="529" collapsed="1"/>
    <col min="16131" max="16131" width="31.25" style="529" customWidth="1" collapsed="1"/>
    <col min="16132" max="16132" width="13.75" style="529" customWidth="1" collapsed="1"/>
    <col min="16133" max="16133" width="2.75" style="529" customWidth="1" collapsed="1"/>
    <col min="16134" max="16134" width="12.875" style="529" customWidth="1" collapsed="1"/>
    <col min="16135" max="16135" width="1.75" style="529" customWidth="1" collapsed="1"/>
    <col min="16136" max="16136" width="12.875" style="529" customWidth="1" collapsed="1"/>
    <col min="16137" max="16137" width="1.375" style="529" customWidth="1" collapsed="1"/>
    <col min="16138" max="16138" width="19.875" style="529" bestFit="1" customWidth="1" collapsed="1"/>
    <col min="16139" max="16139" width="0" style="529" hidden="1" customWidth="1" collapsed="1"/>
    <col min="16140" max="16384" width="9" style="529" collapsed="1"/>
  </cols>
  <sheetData>
    <row r="1" spans="1:10">
      <c r="A1" s="527" t="str">
        <f>+Control!D3</f>
        <v>MIC INCORPORATION LIMITED </v>
      </c>
      <c r="B1" s="528"/>
      <c r="C1" s="528"/>
      <c r="D1" s="528"/>
      <c r="E1" s="528"/>
      <c r="F1" s="528"/>
      <c r="G1" s="528"/>
      <c r="H1" s="528"/>
      <c r="I1" s="528"/>
    </row>
    <row r="2" spans="1:10">
      <c r="A2" s="527" t="str">
        <f>+'T com (profit)'!A3:D3</f>
        <v>FILE NO. : 65476707-000</v>
      </c>
      <c r="B2" s="528"/>
      <c r="C2" s="528"/>
      <c r="D2" s="528"/>
      <c r="E2" s="528"/>
      <c r="F2" s="528"/>
      <c r="G2" s="528"/>
      <c r="H2" s="528"/>
      <c r="I2" s="528"/>
    </row>
    <row r="3" spans="1:10">
      <c r="A3" s="527" t="str">
        <f>+'T com (profit)'!A9:D9</f>
        <v>2016/17</v>
      </c>
      <c r="B3" s="528"/>
      <c r="C3" s="528"/>
      <c r="D3" s="528"/>
      <c r="E3" s="528"/>
      <c r="F3" s="528"/>
      <c r="G3" s="528"/>
      <c r="H3" s="528"/>
      <c r="I3" s="528"/>
    </row>
    <row r="4" spans="1:10">
      <c r="A4" s="527"/>
      <c r="B4" s="528"/>
      <c r="C4" s="528"/>
      <c r="D4" s="528"/>
      <c r="E4" s="528"/>
      <c r="F4" s="528"/>
      <c r="G4" s="528"/>
      <c r="H4" s="528"/>
      <c r="I4" s="528"/>
    </row>
    <row r="5" spans="1:10">
      <c r="A5" s="530"/>
      <c r="B5" s="530"/>
      <c r="C5" s="530"/>
      <c r="D5" s="530"/>
      <c r="E5" s="530"/>
      <c r="F5" s="530"/>
      <c r="G5" s="530"/>
      <c r="H5" s="530"/>
      <c r="I5" s="530"/>
    </row>
    <row r="6" spans="1:10">
      <c r="A6" s="960" t="s">
        <v>1326</v>
      </c>
      <c r="B6" s="960"/>
      <c r="C6" s="960"/>
      <c r="D6" s="960"/>
      <c r="E6" s="960"/>
      <c r="F6" s="960"/>
      <c r="G6" s="960"/>
      <c r="H6" s="960"/>
      <c r="I6" s="960"/>
      <c r="J6" s="960"/>
    </row>
    <row r="7" spans="1:10">
      <c r="F7" s="531"/>
      <c r="G7" s="531"/>
      <c r="H7" s="531"/>
      <c r="I7" s="531"/>
      <c r="J7" s="531" t="s">
        <v>1330</v>
      </c>
    </row>
    <row r="8" spans="1:10">
      <c r="F8" s="531">
        <f>32908-18078</f>
        <v>14830</v>
      </c>
      <c r="G8" s="531"/>
      <c r="H8" s="531">
        <f>+F8</f>
        <v>14830</v>
      </c>
      <c r="I8" s="531"/>
      <c r="J8" s="531" t="s">
        <v>1327</v>
      </c>
    </row>
    <row r="9" spans="1:10">
      <c r="F9" s="532">
        <f>17240+838</f>
        <v>18078</v>
      </c>
      <c r="G9" s="531"/>
      <c r="H9" s="532" t="str">
        <f>+Control!D68</f>
        <v>US$</v>
      </c>
      <c r="I9" s="532"/>
      <c r="J9" s="532">
        <f>+F9</f>
        <v>18078</v>
      </c>
    </row>
    <row r="10" spans="1:10">
      <c r="A10" s="530" t="s">
        <v>1328</v>
      </c>
    </row>
    <row r="11" spans="1:10">
      <c r="F11" s="541"/>
    </row>
    <row r="12" spans="1:10">
      <c r="B12" s="529" t="s">
        <v>1329</v>
      </c>
      <c r="F12" s="533">
        <f>32908-18078</f>
        <v>14830</v>
      </c>
      <c r="H12" s="533">
        <f>+F12</f>
        <v>14830</v>
      </c>
    </row>
    <row r="13" spans="1:10">
      <c r="B13" s="529" t="s">
        <v>1331</v>
      </c>
      <c r="F13" s="535">
        <f>17240+838</f>
        <v>18078</v>
      </c>
      <c r="H13" s="533"/>
      <c r="I13" s="533"/>
      <c r="J13" s="533">
        <f>+F13</f>
        <v>18078</v>
      </c>
    </row>
    <row r="14" spans="1:10">
      <c r="F14" s="537"/>
      <c r="H14" s="534"/>
      <c r="I14" s="538"/>
      <c r="J14" s="534"/>
    </row>
    <row r="15" spans="1:10">
      <c r="F15" s="539">
        <f>SUM(F12:F14)</f>
        <v>32908</v>
      </c>
      <c r="H15" s="539">
        <f>SUM(H12:H14)</f>
        <v>14830</v>
      </c>
      <c r="I15" s="533"/>
      <c r="J15" s="539">
        <f>SUM(J12:J14)</f>
        <v>18078</v>
      </c>
    </row>
    <row r="16" spans="1:10">
      <c r="F16" s="535"/>
      <c r="H16" s="533"/>
      <c r="I16" s="533"/>
      <c r="J16" s="533"/>
    </row>
    <row r="17" spans="6:10">
      <c r="F17" s="535"/>
      <c r="H17" s="533"/>
      <c r="I17" s="533"/>
      <c r="J17" s="533"/>
    </row>
    <row r="18" spans="6:10">
      <c r="F18" s="535"/>
      <c r="H18" s="533"/>
      <c r="I18" s="533"/>
      <c r="J18" s="533"/>
    </row>
    <row r="19" spans="6:10">
      <c r="F19" s="535"/>
      <c r="H19" s="533"/>
      <c r="I19" s="533"/>
      <c r="J19" s="533"/>
    </row>
  </sheetData>
  <mergeCells count="1">
    <mergeCell ref="A6:J6"/>
  </mergeCells>
  <phoneticPr fontId="13" type="noConversion"/>
  <pageMargins left="0.94488188976377963" right="0.35433070866141736" top="0.59055118110236227" bottom="0.98425196850393704" header="0.51181102362204722" footer="0.51181102362204722"/>
  <pageSetup paperSize="9" scale="68"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1:J27"/>
  <sheetViews>
    <sheetView workbookViewId="0">
      <selection activeCell="M13" sqref="M13"/>
    </sheetView>
  </sheetViews>
  <sheetFormatPr defaultRowHeight="15.75"/>
  <cols>
    <col min="1" max="1" width="4.125" style="72" customWidth="1" collapsed="1"/>
    <col min="2" max="2" width="3.625" style="72" customWidth="1" collapsed="1"/>
    <col min="3" max="3" width="31.875" style="72" customWidth="1" collapsed="1"/>
    <col min="4" max="4" width="10.125" style="85" customWidth="1" collapsed="1"/>
    <col min="5" max="5" width="1.625" style="86" customWidth="1" collapsed="1"/>
    <col min="6" max="6" width="9.625" style="85" customWidth="1" collapsed="1"/>
    <col min="7" max="7" width="1.625" style="86" customWidth="1" collapsed="1"/>
    <col min="8" max="8" width="16.375" style="72" customWidth="1" collapsed="1"/>
    <col min="9" max="9" width="9" style="73" collapsed="1"/>
    <col min="10" max="10" width="9" style="612" collapsed="1"/>
    <col min="11" max="256" width="9" style="73" collapsed="1"/>
    <col min="257" max="257" width="4.125" style="73" customWidth="1" collapsed="1"/>
    <col min="258" max="258" width="3.625" style="73" customWidth="1" collapsed="1"/>
    <col min="259" max="259" width="40.125" style="73" customWidth="1" collapsed="1"/>
    <col min="260" max="260" width="13.375" style="73" bestFit="1" customWidth="1" collapsed="1"/>
    <col min="261" max="261" width="1.625" style="73" customWidth="1" collapsed="1"/>
    <col min="262" max="262" width="11.875" style="73" customWidth="1" collapsed="1"/>
    <col min="263" max="263" width="1.625" style="73" customWidth="1" collapsed="1"/>
    <col min="264" max="264" width="16.375" style="73" customWidth="1" collapsed="1"/>
    <col min="265" max="512" width="9" style="73" collapsed="1"/>
    <col min="513" max="513" width="4.125" style="73" customWidth="1" collapsed="1"/>
    <col min="514" max="514" width="3.625" style="73" customWidth="1" collapsed="1"/>
    <col min="515" max="515" width="40.125" style="73" customWidth="1" collapsed="1"/>
    <col min="516" max="516" width="13.375" style="73" bestFit="1" customWidth="1" collapsed="1"/>
    <col min="517" max="517" width="1.625" style="73" customWidth="1" collapsed="1"/>
    <col min="518" max="518" width="11.875" style="73" customWidth="1" collapsed="1"/>
    <col min="519" max="519" width="1.625" style="73" customWidth="1" collapsed="1"/>
    <col min="520" max="520" width="16.375" style="73" customWidth="1" collapsed="1"/>
    <col min="521" max="768" width="9" style="73" collapsed="1"/>
    <col min="769" max="769" width="4.125" style="73" customWidth="1" collapsed="1"/>
    <col min="770" max="770" width="3.625" style="73" customWidth="1" collapsed="1"/>
    <col min="771" max="771" width="40.125" style="73" customWidth="1" collapsed="1"/>
    <col min="772" max="772" width="13.375" style="73" bestFit="1" customWidth="1" collapsed="1"/>
    <col min="773" max="773" width="1.625" style="73" customWidth="1" collapsed="1"/>
    <col min="774" max="774" width="11.875" style="73" customWidth="1" collapsed="1"/>
    <col min="775" max="775" width="1.625" style="73" customWidth="1" collapsed="1"/>
    <col min="776" max="776" width="16.375" style="73" customWidth="1" collapsed="1"/>
    <col min="777" max="1024" width="9" style="73" collapsed="1"/>
    <col min="1025" max="1025" width="4.125" style="73" customWidth="1" collapsed="1"/>
    <col min="1026" max="1026" width="3.625" style="73" customWidth="1" collapsed="1"/>
    <col min="1027" max="1027" width="40.125" style="73" customWidth="1" collapsed="1"/>
    <col min="1028" max="1028" width="13.375" style="73" bestFit="1" customWidth="1" collapsed="1"/>
    <col min="1029" max="1029" width="1.625" style="73" customWidth="1" collapsed="1"/>
    <col min="1030" max="1030" width="11.875" style="73" customWidth="1" collapsed="1"/>
    <col min="1031" max="1031" width="1.625" style="73" customWidth="1" collapsed="1"/>
    <col min="1032" max="1032" width="16.375" style="73" customWidth="1" collapsed="1"/>
    <col min="1033" max="1280" width="9" style="73" collapsed="1"/>
    <col min="1281" max="1281" width="4.125" style="73" customWidth="1" collapsed="1"/>
    <col min="1282" max="1282" width="3.625" style="73" customWidth="1" collapsed="1"/>
    <col min="1283" max="1283" width="40.125" style="73" customWidth="1" collapsed="1"/>
    <col min="1284" max="1284" width="13.375" style="73" bestFit="1" customWidth="1" collapsed="1"/>
    <col min="1285" max="1285" width="1.625" style="73" customWidth="1" collapsed="1"/>
    <col min="1286" max="1286" width="11.875" style="73" customWidth="1" collapsed="1"/>
    <col min="1287" max="1287" width="1.625" style="73" customWidth="1" collapsed="1"/>
    <col min="1288" max="1288" width="16.375" style="73" customWidth="1" collapsed="1"/>
    <col min="1289" max="1536" width="9" style="73" collapsed="1"/>
    <col min="1537" max="1537" width="4.125" style="73" customWidth="1" collapsed="1"/>
    <col min="1538" max="1538" width="3.625" style="73" customWidth="1" collapsed="1"/>
    <col min="1539" max="1539" width="40.125" style="73" customWidth="1" collapsed="1"/>
    <col min="1540" max="1540" width="13.375" style="73" bestFit="1" customWidth="1" collapsed="1"/>
    <col min="1541" max="1541" width="1.625" style="73" customWidth="1" collapsed="1"/>
    <col min="1542" max="1542" width="11.875" style="73" customWidth="1" collapsed="1"/>
    <col min="1543" max="1543" width="1.625" style="73" customWidth="1" collapsed="1"/>
    <col min="1544" max="1544" width="16.375" style="73" customWidth="1" collapsed="1"/>
    <col min="1545" max="1792" width="9" style="73" collapsed="1"/>
    <col min="1793" max="1793" width="4.125" style="73" customWidth="1" collapsed="1"/>
    <col min="1794" max="1794" width="3.625" style="73" customWidth="1" collapsed="1"/>
    <col min="1795" max="1795" width="40.125" style="73" customWidth="1" collapsed="1"/>
    <col min="1796" max="1796" width="13.375" style="73" bestFit="1" customWidth="1" collapsed="1"/>
    <col min="1797" max="1797" width="1.625" style="73" customWidth="1" collapsed="1"/>
    <col min="1798" max="1798" width="11.875" style="73" customWidth="1" collapsed="1"/>
    <col min="1799" max="1799" width="1.625" style="73" customWidth="1" collapsed="1"/>
    <col min="1800" max="1800" width="16.375" style="73" customWidth="1" collapsed="1"/>
    <col min="1801" max="2048" width="9" style="73" collapsed="1"/>
    <col min="2049" max="2049" width="4.125" style="73" customWidth="1" collapsed="1"/>
    <col min="2050" max="2050" width="3.625" style="73" customWidth="1" collapsed="1"/>
    <col min="2051" max="2051" width="40.125" style="73" customWidth="1" collapsed="1"/>
    <col min="2052" max="2052" width="13.375" style="73" bestFit="1" customWidth="1" collapsed="1"/>
    <col min="2053" max="2053" width="1.625" style="73" customWidth="1" collapsed="1"/>
    <col min="2054" max="2054" width="11.875" style="73" customWidth="1" collapsed="1"/>
    <col min="2055" max="2055" width="1.625" style="73" customWidth="1" collapsed="1"/>
    <col min="2056" max="2056" width="16.375" style="73" customWidth="1" collapsed="1"/>
    <col min="2057" max="2304" width="9" style="73" collapsed="1"/>
    <col min="2305" max="2305" width="4.125" style="73" customWidth="1" collapsed="1"/>
    <col min="2306" max="2306" width="3.625" style="73" customWidth="1" collapsed="1"/>
    <col min="2307" max="2307" width="40.125" style="73" customWidth="1" collapsed="1"/>
    <col min="2308" max="2308" width="13.375" style="73" bestFit="1" customWidth="1" collapsed="1"/>
    <col min="2309" max="2309" width="1.625" style="73" customWidth="1" collapsed="1"/>
    <col min="2310" max="2310" width="11.875" style="73" customWidth="1" collapsed="1"/>
    <col min="2311" max="2311" width="1.625" style="73" customWidth="1" collapsed="1"/>
    <col min="2312" max="2312" width="16.375" style="73" customWidth="1" collapsed="1"/>
    <col min="2313" max="2560" width="9" style="73" collapsed="1"/>
    <col min="2561" max="2561" width="4.125" style="73" customWidth="1" collapsed="1"/>
    <col min="2562" max="2562" width="3.625" style="73" customWidth="1" collapsed="1"/>
    <col min="2563" max="2563" width="40.125" style="73" customWidth="1" collapsed="1"/>
    <col min="2564" max="2564" width="13.375" style="73" bestFit="1" customWidth="1" collapsed="1"/>
    <col min="2565" max="2565" width="1.625" style="73" customWidth="1" collapsed="1"/>
    <col min="2566" max="2566" width="11.875" style="73" customWidth="1" collapsed="1"/>
    <col min="2567" max="2567" width="1.625" style="73" customWidth="1" collapsed="1"/>
    <col min="2568" max="2568" width="16.375" style="73" customWidth="1" collapsed="1"/>
    <col min="2569" max="2816" width="9" style="73" collapsed="1"/>
    <col min="2817" max="2817" width="4.125" style="73" customWidth="1" collapsed="1"/>
    <col min="2818" max="2818" width="3.625" style="73" customWidth="1" collapsed="1"/>
    <col min="2819" max="2819" width="40.125" style="73" customWidth="1" collapsed="1"/>
    <col min="2820" max="2820" width="13.375" style="73" bestFit="1" customWidth="1" collapsed="1"/>
    <col min="2821" max="2821" width="1.625" style="73" customWidth="1" collapsed="1"/>
    <col min="2822" max="2822" width="11.875" style="73" customWidth="1" collapsed="1"/>
    <col min="2823" max="2823" width="1.625" style="73" customWidth="1" collapsed="1"/>
    <col min="2824" max="2824" width="16.375" style="73" customWidth="1" collapsed="1"/>
    <col min="2825" max="3072" width="9" style="73" collapsed="1"/>
    <col min="3073" max="3073" width="4.125" style="73" customWidth="1" collapsed="1"/>
    <col min="3074" max="3074" width="3.625" style="73" customWidth="1" collapsed="1"/>
    <col min="3075" max="3075" width="40.125" style="73" customWidth="1" collapsed="1"/>
    <col min="3076" max="3076" width="13.375" style="73" bestFit="1" customWidth="1" collapsed="1"/>
    <col min="3077" max="3077" width="1.625" style="73" customWidth="1" collapsed="1"/>
    <col min="3078" max="3078" width="11.875" style="73" customWidth="1" collapsed="1"/>
    <col min="3079" max="3079" width="1.625" style="73" customWidth="1" collapsed="1"/>
    <col min="3080" max="3080" width="16.375" style="73" customWidth="1" collapsed="1"/>
    <col min="3081" max="3328" width="9" style="73" collapsed="1"/>
    <col min="3329" max="3329" width="4.125" style="73" customWidth="1" collapsed="1"/>
    <col min="3330" max="3330" width="3.625" style="73" customWidth="1" collapsed="1"/>
    <col min="3331" max="3331" width="40.125" style="73" customWidth="1" collapsed="1"/>
    <col min="3332" max="3332" width="13.375" style="73" bestFit="1" customWidth="1" collapsed="1"/>
    <col min="3333" max="3333" width="1.625" style="73" customWidth="1" collapsed="1"/>
    <col min="3334" max="3334" width="11.875" style="73" customWidth="1" collapsed="1"/>
    <col min="3335" max="3335" width="1.625" style="73" customWidth="1" collapsed="1"/>
    <col min="3336" max="3336" width="16.375" style="73" customWidth="1" collapsed="1"/>
    <col min="3337" max="3584" width="9" style="73" collapsed="1"/>
    <col min="3585" max="3585" width="4.125" style="73" customWidth="1" collapsed="1"/>
    <col min="3586" max="3586" width="3.625" style="73" customWidth="1" collapsed="1"/>
    <col min="3587" max="3587" width="40.125" style="73" customWidth="1" collapsed="1"/>
    <col min="3588" max="3588" width="13.375" style="73" bestFit="1" customWidth="1" collapsed="1"/>
    <col min="3589" max="3589" width="1.625" style="73" customWidth="1" collapsed="1"/>
    <col min="3590" max="3590" width="11.875" style="73" customWidth="1" collapsed="1"/>
    <col min="3591" max="3591" width="1.625" style="73" customWidth="1" collapsed="1"/>
    <col min="3592" max="3592" width="16.375" style="73" customWidth="1" collapsed="1"/>
    <col min="3593" max="3840" width="9" style="73" collapsed="1"/>
    <col min="3841" max="3841" width="4.125" style="73" customWidth="1" collapsed="1"/>
    <col min="3842" max="3842" width="3.625" style="73" customWidth="1" collapsed="1"/>
    <col min="3843" max="3843" width="40.125" style="73" customWidth="1" collapsed="1"/>
    <col min="3844" max="3844" width="13.375" style="73" bestFit="1" customWidth="1" collapsed="1"/>
    <col min="3845" max="3845" width="1.625" style="73" customWidth="1" collapsed="1"/>
    <col min="3846" max="3846" width="11.875" style="73" customWidth="1" collapsed="1"/>
    <col min="3847" max="3847" width="1.625" style="73" customWidth="1" collapsed="1"/>
    <col min="3848" max="3848" width="16.375" style="73" customWidth="1" collapsed="1"/>
    <col min="3849" max="4096" width="9" style="73" collapsed="1"/>
    <col min="4097" max="4097" width="4.125" style="73" customWidth="1" collapsed="1"/>
    <col min="4098" max="4098" width="3.625" style="73" customWidth="1" collapsed="1"/>
    <col min="4099" max="4099" width="40.125" style="73" customWidth="1" collapsed="1"/>
    <col min="4100" max="4100" width="13.375" style="73" bestFit="1" customWidth="1" collapsed="1"/>
    <col min="4101" max="4101" width="1.625" style="73" customWidth="1" collapsed="1"/>
    <col min="4102" max="4102" width="11.875" style="73" customWidth="1" collapsed="1"/>
    <col min="4103" max="4103" width="1.625" style="73" customWidth="1" collapsed="1"/>
    <col min="4104" max="4104" width="16.375" style="73" customWidth="1" collapsed="1"/>
    <col min="4105" max="4352" width="9" style="73" collapsed="1"/>
    <col min="4353" max="4353" width="4.125" style="73" customWidth="1" collapsed="1"/>
    <col min="4354" max="4354" width="3.625" style="73" customWidth="1" collapsed="1"/>
    <col min="4355" max="4355" width="40.125" style="73" customWidth="1" collapsed="1"/>
    <col min="4356" max="4356" width="13.375" style="73" bestFit="1" customWidth="1" collapsed="1"/>
    <col min="4357" max="4357" width="1.625" style="73" customWidth="1" collapsed="1"/>
    <col min="4358" max="4358" width="11.875" style="73" customWidth="1" collapsed="1"/>
    <col min="4359" max="4359" width="1.625" style="73" customWidth="1" collapsed="1"/>
    <col min="4360" max="4360" width="16.375" style="73" customWidth="1" collapsed="1"/>
    <col min="4361" max="4608" width="9" style="73" collapsed="1"/>
    <col min="4609" max="4609" width="4.125" style="73" customWidth="1" collapsed="1"/>
    <col min="4610" max="4610" width="3.625" style="73" customWidth="1" collapsed="1"/>
    <col min="4611" max="4611" width="40.125" style="73" customWidth="1" collapsed="1"/>
    <col min="4612" max="4612" width="13.375" style="73" bestFit="1" customWidth="1" collapsed="1"/>
    <col min="4613" max="4613" width="1.625" style="73" customWidth="1" collapsed="1"/>
    <col min="4614" max="4614" width="11.875" style="73" customWidth="1" collapsed="1"/>
    <col min="4615" max="4615" width="1.625" style="73" customWidth="1" collapsed="1"/>
    <col min="4616" max="4616" width="16.375" style="73" customWidth="1" collapsed="1"/>
    <col min="4617" max="4864" width="9" style="73" collapsed="1"/>
    <col min="4865" max="4865" width="4.125" style="73" customWidth="1" collapsed="1"/>
    <col min="4866" max="4866" width="3.625" style="73" customWidth="1" collapsed="1"/>
    <col min="4867" max="4867" width="40.125" style="73" customWidth="1" collapsed="1"/>
    <col min="4868" max="4868" width="13.375" style="73" bestFit="1" customWidth="1" collapsed="1"/>
    <col min="4869" max="4869" width="1.625" style="73" customWidth="1" collapsed="1"/>
    <col min="4870" max="4870" width="11.875" style="73" customWidth="1" collapsed="1"/>
    <col min="4871" max="4871" width="1.625" style="73" customWidth="1" collapsed="1"/>
    <col min="4872" max="4872" width="16.375" style="73" customWidth="1" collapsed="1"/>
    <col min="4873" max="5120" width="9" style="73" collapsed="1"/>
    <col min="5121" max="5121" width="4.125" style="73" customWidth="1" collapsed="1"/>
    <col min="5122" max="5122" width="3.625" style="73" customWidth="1" collapsed="1"/>
    <col min="5123" max="5123" width="40.125" style="73" customWidth="1" collapsed="1"/>
    <col min="5124" max="5124" width="13.375" style="73" bestFit="1" customWidth="1" collapsed="1"/>
    <col min="5125" max="5125" width="1.625" style="73" customWidth="1" collapsed="1"/>
    <col min="5126" max="5126" width="11.875" style="73" customWidth="1" collapsed="1"/>
    <col min="5127" max="5127" width="1.625" style="73" customWidth="1" collapsed="1"/>
    <col min="5128" max="5128" width="16.375" style="73" customWidth="1" collapsed="1"/>
    <col min="5129" max="5376" width="9" style="73" collapsed="1"/>
    <col min="5377" max="5377" width="4.125" style="73" customWidth="1" collapsed="1"/>
    <col min="5378" max="5378" width="3.625" style="73" customWidth="1" collapsed="1"/>
    <col min="5379" max="5379" width="40.125" style="73" customWidth="1" collapsed="1"/>
    <col min="5380" max="5380" width="13.375" style="73" bestFit="1" customWidth="1" collapsed="1"/>
    <col min="5381" max="5381" width="1.625" style="73" customWidth="1" collapsed="1"/>
    <col min="5382" max="5382" width="11.875" style="73" customWidth="1" collapsed="1"/>
    <col min="5383" max="5383" width="1.625" style="73" customWidth="1" collapsed="1"/>
    <col min="5384" max="5384" width="16.375" style="73" customWidth="1" collapsed="1"/>
    <col min="5385" max="5632" width="9" style="73" collapsed="1"/>
    <col min="5633" max="5633" width="4.125" style="73" customWidth="1" collapsed="1"/>
    <col min="5634" max="5634" width="3.625" style="73" customWidth="1" collapsed="1"/>
    <col min="5635" max="5635" width="40.125" style="73" customWidth="1" collapsed="1"/>
    <col min="5636" max="5636" width="13.375" style="73" bestFit="1" customWidth="1" collapsed="1"/>
    <col min="5637" max="5637" width="1.625" style="73" customWidth="1" collapsed="1"/>
    <col min="5638" max="5638" width="11.875" style="73" customWidth="1" collapsed="1"/>
    <col min="5639" max="5639" width="1.625" style="73" customWidth="1" collapsed="1"/>
    <col min="5640" max="5640" width="16.375" style="73" customWidth="1" collapsed="1"/>
    <col min="5641" max="5888" width="9" style="73" collapsed="1"/>
    <col min="5889" max="5889" width="4.125" style="73" customWidth="1" collapsed="1"/>
    <col min="5890" max="5890" width="3.625" style="73" customWidth="1" collapsed="1"/>
    <col min="5891" max="5891" width="40.125" style="73" customWidth="1" collapsed="1"/>
    <col min="5892" max="5892" width="13.375" style="73" bestFit="1" customWidth="1" collapsed="1"/>
    <col min="5893" max="5893" width="1.625" style="73" customWidth="1" collapsed="1"/>
    <col min="5894" max="5894" width="11.875" style="73" customWidth="1" collapsed="1"/>
    <col min="5895" max="5895" width="1.625" style="73" customWidth="1" collapsed="1"/>
    <col min="5896" max="5896" width="16.375" style="73" customWidth="1" collapsed="1"/>
    <col min="5897" max="6144" width="9" style="73" collapsed="1"/>
    <col min="6145" max="6145" width="4.125" style="73" customWidth="1" collapsed="1"/>
    <col min="6146" max="6146" width="3.625" style="73" customWidth="1" collapsed="1"/>
    <col min="6147" max="6147" width="40.125" style="73" customWidth="1" collapsed="1"/>
    <col min="6148" max="6148" width="13.375" style="73" bestFit="1" customWidth="1" collapsed="1"/>
    <col min="6149" max="6149" width="1.625" style="73" customWidth="1" collapsed="1"/>
    <col min="6150" max="6150" width="11.875" style="73" customWidth="1" collapsed="1"/>
    <col min="6151" max="6151" width="1.625" style="73" customWidth="1" collapsed="1"/>
    <col min="6152" max="6152" width="16.375" style="73" customWidth="1" collapsed="1"/>
    <col min="6153" max="6400" width="9" style="73" collapsed="1"/>
    <col min="6401" max="6401" width="4.125" style="73" customWidth="1" collapsed="1"/>
    <col min="6402" max="6402" width="3.625" style="73" customWidth="1" collapsed="1"/>
    <col min="6403" max="6403" width="40.125" style="73" customWidth="1" collapsed="1"/>
    <col min="6404" max="6404" width="13.375" style="73" bestFit="1" customWidth="1" collapsed="1"/>
    <col min="6405" max="6405" width="1.625" style="73" customWidth="1" collapsed="1"/>
    <col min="6406" max="6406" width="11.875" style="73" customWidth="1" collapsed="1"/>
    <col min="6407" max="6407" width="1.625" style="73" customWidth="1" collapsed="1"/>
    <col min="6408" max="6408" width="16.375" style="73" customWidth="1" collapsed="1"/>
    <col min="6409" max="6656" width="9" style="73" collapsed="1"/>
    <col min="6657" max="6657" width="4.125" style="73" customWidth="1" collapsed="1"/>
    <col min="6658" max="6658" width="3.625" style="73" customWidth="1" collapsed="1"/>
    <col min="6659" max="6659" width="40.125" style="73" customWidth="1" collapsed="1"/>
    <col min="6660" max="6660" width="13.375" style="73" bestFit="1" customWidth="1" collapsed="1"/>
    <col min="6661" max="6661" width="1.625" style="73" customWidth="1" collapsed="1"/>
    <col min="6662" max="6662" width="11.875" style="73" customWidth="1" collapsed="1"/>
    <col min="6663" max="6663" width="1.625" style="73" customWidth="1" collapsed="1"/>
    <col min="6664" max="6664" width="16.375" style="73" customWidth="1" collapsed="1"/>
    <col min="6665" max="6912" width="9" style="73" collapsed="1"/>
    <col min="6913" max="6913" width="4.125" style="73" customWidth="1" collapsed="1"/>
    <col min="6914" max="6914" width="3.625" style="73" customWidth="1" collapsed="1"/>
    <col min="6915" max="6915" width="40.125" style="73" customWidth="1" collapsed="1"/>
    <col min="6916" max="6916" width="13.375" style="73" bestFit="1" customWidth="1" collapsed="1"/>
    <col min="6917" max="6917" width="1.625" style="73" customWidth="1" collapsed="1"/>
    <col min="6918" max="6918" width="11.875" style="73" customWidth="1" collapsed="1"/>
    <col min="6919" max="6919" width="1.625" style="73" customWidth="1" collapsed="1"/>
    <col min="6920" max="6920" width="16.375" style="73" customWidth="1" collapsed="1"/>
    <col min="6921" max="7168" width="9" style="73" collapsed="1"/>
    <col min="7169" max="7169" width="4.125" style="73" customWidth="1" collapsed="1"/>
    <col min="7170" max="7170" width="3.625" style="73" customWidth="1" collapsed="1"/>
    <col min="7171" max="7171" width="40.125" style="73" customWidth="1" collapsed="1"/>
    <col min="7172" max="7172" width="13.375" style="73" bestFit="1" customWidth="1" collapsed="1"/>
    <col min="7173" max="7173" width="1.625" style="73" customWidth="1" collapsed="1"/>
    <col min="7174" max="7174" width="11.875" style="73" customWidth="1" collapsed="1"/>
    <col min="7175" max="7175" width="1.625" style="73" customWidth="1" collapsed="1"/>
    <col min="7176" max="7176" width="16.375" style="73" customWidth="1" collapsed="1"/>
    <col min="7177" max="7424" width="9" style="73" collapsed="1"/>
    <col min="7425" max="7425" width="4.125" style="73" customWidth="1" collapsed="1"/>
    <col min="7426" max="7426" width="3.625" style="73" customWidth="1" collapsed="1"/>
    <col min="7427" max="7427" width="40.125" style="73" customWidth="1" collapsed="1"/>
    <col min="7428" max="7428" width="13.375" style="73" bestFit="1" customWidth="1" collapsed="1"/>
    <col min="7429" max="7429" width="1.625" style="73" customWidth="1" collapsed="1"/>
    <col min="7430" max="7430" width="11.875" style="73" customWidth="1" collapsed="1"/>
    <col min="7431" max="7431" width="1.625" style="73" customWidth="1" collapsed="1"/>
    <col min="7432" max="7432" width="16.375" style="73" customWidth="1" collapsed="1"/>
    <col min="7433" max="7680" width="9" style="73" collapsed="1"/>
    <col min="7681" max="7681" width="4.125" style="73" customWidth="1" collapsed="1"/>
    <col min="7682" max="7682" width="3.625" style="73" customWidth="1" collapsed="1"/>
    <col min="7683" max="7683" width="40.125" style="73" customWidth="1" collapsed="1"/>
    <col min="7684" max="7684" width="13.375" style="73" bestFit="1" customWidth="1" collapsed="1"/>
    <col min="7685" max="7685" width="1.625" style="73" customWidth="1" collapsed="1"/>
    <col min="7686" max="7686" width="11.875" style="73" customWidth="1" collapsed="1"/>
    <col min="7687" max="7687" width="1.625" style="73" customWidth="1" collapsed="1"/>
    <col min="7688" max="7688" width="16.375" style="73" customWidth="1" collapsed="1"/>
    <col min="7689" max="7936" width="9" style="73" collapsed="1"/>
    <col min="7937" max="7937" width="4.125" style="73" customWidth="1" collapsed="1"/>
    <col min="7938" max="7938" width="3.625" style="73" customWidth="1" collapsed="1"/>
    <col min="7939" max="7939" width="40.125" style="73" customWidth="1" collapsed="1"/>
    <col min="7940" max="7940" width="13.375" style="73" bestFit="1" customWidth="1" collapsed="1"/>
    <col min="7941" max="7941" width="1.625" style="73" customWidth="1" collapsed="1"/>
    <col min="7942" max="7942" width="11.875" style="73" customWidth="1" collapsed="1"/>
    <col min="7943" max="7943" width="1.625" style="73" customWidth="1" collapsed="1"/>
    <col min="7944" max="7944" width="16.375" style="73" customWidth="1" collapsed="1"/>
    <col min="7945" max="8192" width="9" style="73" collapsed="1"/>
    <col min="8193" max="8193" width="4.125" style="73" customWidth="1" collapsed="1"/>
    <col min="8194" max="8194" width="3.625" style="73" customWidth="1" collapsed="1"/>
    <col min="8195" max="8195" width="40.125" style="73" customWidth="1" collapsed="1"/>
    <col min="8196" max="8196" width="13.375" style="73" bestFit="1" customWidth="1" collapsed="1"/>
    <col min="8197" max="8197" width="1.625" style="73" customWidth="1" collapsed="1"/>
    <col min="8198" max="8198" width="11.875" style="73" customWidth="1" collapsed="1"/>
    <col min="8199" max="8199" width="1.625" style="73" customWidth="1" collapsed="1"/>
    <col min="8200" max="8200" width="16.375" style="73" customWidth="1" collapsed="1"/>
    <col min="8201" max="8448" width="9" style="73" collapsed="1"/>
    <col min="8449" max="8449" width="4.125" style="73" customWidth="1" collapsed="1"/>
    <col min="8450" max="8450" width="3.625" style="73" customWidth="1" collapsed="1"/>
    <col min="8451" max="8451" width="40.125" style="73" customWidth="1" collapsed="1"/>
    <col min="8452" max="8452" width="13.375" style="73" bestFit="1" customWidth="1" collapsed="1"/>
    <col min="8453" max="8453" width="1.625" style="73" customWidth="1" collapsed="1"/>
    <col min="8454" max="8454" width="11.875" style="73" customWidth="1" collapsed="1"/>
    <col min="8455" max="8455" width="1.625" style="73" customWidth="1" collapsed="1"/>
    <col min="8456" max="8456" width="16.375" style="73" customWidth="1" collapsed="1"/>
    <col min="8457" max="8704" width="9" style="73" collapsed="1"/>
    <col min="8705" max="8705" width="4.125" style="73" customWidth="1" collapsed="1"/>
    <col min="8706" max="8706" width="3.625" style="73" customWidth="1" collapsed="1"/>
    <col min="8707" max="8707" width="40.125" style="73" customWidth="1" collapsed="1"/>
    <col min="8708" max="8708" width="13.375" style="73" bestFit="1" customWidth="1" collapsed="1"/>
    <col min="8709" max="8709" width="1.625" style="73" customWidth="1" collapsed="1"/>
    <col min="8710" max="8710" width="11.875" style="73" customWidth="1" collapsed="1"/>
    <col min="8711" max="8711" width="1.625" style="73" customWidth="1" collapsed="1"/>
    <col min="8712" max="8712" width="16.375" style="73" customWidth="1" collapsed="1"/>
    <col min="8713" max="8960" width="9" style="73" collapsed="1"/>
    <col min="8961" max="8961" width="4.125" style="73" customWidth="1" collapsed="1"/>
    <col min="8962" max="8962" width="3.625" style="73" customWidth="1" collapsed="1"/>
    <col min="8963" max="8963" width="40.125" style="73" customWidth="1" collapsed="1"/>
    <col min="8964" max="8964" width="13.375" style="73" bestFit="1" customWidth="1" collapsed="1"/>
    <col min="8965" max="8965" width="1.625" style="73" customWidth="1" collapsed="1"/>
    <col min="8966" max="8966" width="11.875" style="73" customWidth="1" collapsed="1"/>
    <col min="8967" max="8967" width="1.625" style="73" customWidth="1" collapsed="1"/>
    <col min="8968" max="8968" width="16.375" style="73" customWidth="1" collapsed="1"/>
    <col min="8969" max="9216" width="9" style="73" collapsed="1"/>
    <col min="9217" max="9217" width="4.125" style="73" customWidth="1" collapsed="1"/>
    <col min="9218" max="9218" width="3.625" style="73" customWidth="1" collapsed="1"/>
    <col min="9219" max="9219" width="40.125" style="73" customWidth="1" collapsed="1"/>
    <col min="9220" max="9220" width="13.375" style="73" bestFit="1" customWidth="1" collapsed="1"/>
    <col min="9221" max="9221" width="1.625" style="73" customWidth="1" collapsed="1"/>
    <col min="9222" max="9222" width="11.875" style="73" customWidth="1" collapsed="1"/>
    <col min="9223" max="9223" width="1.625" style="73" customWidth="1" collapsed="1"/>
    <col min="9224" max="9224" width="16.375" style="73" customWidth="1" collapsed="1"/>
    <col min="9225" max="9472" width="9" style="73" collapsed="1"/>
    <col min="9473" max="9473" width="4.125" style="73" customWidth="1" collapsed="1"/>
    <col min="9474" max="9474" width="3.625" style="73" customWidth="1" collapsed="1"/>
    <col min="9475" max="9475" width="40.125" style="73" customWidth="1" collapsed="1"/>
    <col min="9476" max="9476" width="13.375" style="73" bestFit="1" customWidth="1" collapsed="1"/>
    <col min="9477" max="9477" width="1.625" style="73" customWidth="1" collapsed="1"/>
    <col min="9478" max="9478" width="11.875" style="73" customWidth="1" collapsed="1"/>
    <col min="9479" max="9479" width="1.625" style="73" customWidth="1" collapsed="1"/>
    <col min="9480" max="9480" width="16.375" style="73" customWidth="1" collapsed="1"/>
    <col min="9481" max="9728" width="9" style="73" collapsed="1"/>
    <col min="9729" max="9729" width="4.125" style="73" customWidth="1" collapsed="1"/>
    <col min="9730" max="9730" width="3.625" style="73" customWidth="1" collapsed="1"/>
    <col min="9731" max="9731" width="40.125" style="73" customWidth="1" collapsed="1"/>
    <col min="9732" max="9732" width="13.375" style="73" bestFit="1" customWidth="1" collapsed="1"/>
    <col min="9733" max="9733" width="1.625" style="73" customWidth="1" collapsed="1"/>
    <col min="9734" max="9734" width="11.875" style="73" customWidth="1" collapsed="1"/>
    <col min="9735" max="9735" width="1.625" style="73" customWidth="1" collapsed="1"/>
    <col min="9736" max="9736" width="16.375" style="73" customWidth="1" collapsed="1"/>
    <col min="9737" max="9984" width="9" style="73" collapsed="1"/>
    <col min="9985" max="9985" width="4.125" style="73" customWidth="1" collapsed="1"/>
    <col min="9986" max="9986" width="3.625" style="73" customWidth="1" collapsed="1"/>
    <col min="9987" max="9987" width="40.125" style="73" customWidth="1" collapsed="1"/>
    <col min="9988" max="9988" width="13.375" style="73" bestFit="1" customWidth="1" collapsed="1"/>
    <col min="9989" max="9989" width="1.625" style="73" customWidth="1" collapsed="1"/>
    <col min="9990" max="9990" width="11.875" style="73" customWidth="1" collapsed="1"/>
    <col min="9991" max="9991" width="1.625" style="73" customWidth="1" collapsed="1"/>
    <col min="9992" max="9992" width="16.375" style="73" customWidth="1" collapsed="1"/>
    <col min="9993" max="10240" width="9" style="73" collapsed="1"/>
    <col min="10241" max="10241" width="4.125" style="73" customWidth="1" collapsed="1"/>
    <col min="10242" max="10242" width="3.625" style="73" customWidth="1" collapsed="1"/>
    <col min="10243" max="10243" width="40.125" style="73" customWidth="1" collapsed="1"/>
    <col min="10244" max="10244" width="13.375" style="73" bestFit="1" customWidth="1" collapsed="1"/>
    <col min="10245" max="10245" width="1.625" style="73" customWidth="1" collapsed="1"/>
    <col min="10246" max="10246" width="11.875" style="73" customWidth="1" collapsed="1"/>
    <col min="10247" max="10247" width="1.625" style="73" customWidth="1" collapsed="1"/>
    <col min="10248" max="10248" width="16.375" style="73" customWidth="1" collapsed="1"/>
    <col min="10249" max="10496" width="9" style="73" collapsed="1"/>
    <col min="10497" max="10497" width="4.125" style="73" customWidth="1" collapsed="1"/>
    <col min="10498" max="10498" width="3.625" style="73" customWidth="1" collapsed="1"/>
    <col min="10499" max="10499" width="40.125" style="73" customWidth="1" collapsed="1"/>
    <col min="10500" max="10500" width="13.375" style="73" bestFit="1" customWidth="1" collapsed="1"/>
    <col min="10501" max="10501" width="1.625" style="73" customWidth="1" collapsed="1"/>
    <col min="10502" max="10502" width="11.875" style="73" customWidth="1" collapsed="1"/>
    <col min="10503" max="10503" width="1.625" style="73" customWidth="1" collapsed="1"/>
    <col min="10504" max="10504" width="16.375" style="73" customWidth="1" collapsed="1"/>
    <col min="10505" max="10752" width="9" style="73" collapsed="1"/>
    <col min="10753" max="10753" width="4.125" style="73" customWidth="1" collapsed="1"/>
    <col min="10754" max="10754" width="3.625" style="73" customWidth="1" collapsed="1"/>
    <col min="10755" max="10755" width="40.125" style="73" customWidth="1" collapsed="1"/>
    <col min="10756" max="10756" width="13.375" style="73" bestFit="1" customWidth="1" collapsed="1"/>
    <col min="10757" max="10757" width="1.625" style="73" customWidth="1" collapsed="1"/>
    <col min="10758" max="10758" width="11.875" style="73" customWidth="1" collapsed="1"/>
    <col min="10759" max="10759" width="1.625" style="73" customWidth="1" collapsed="1"/>
    <col min="10760" max="10760" width="16.375" style="73" customWidth="1" collapsed="1"/>
    <col min="10761" max="11008" width="9" style="73" collapsed="1"/>
    <col min="11009" max="11009" width="4.125" style="73" customWidth="1" collapsed="1"/>
    <col min="11010" max="11010" width="3.625" style="73" customWidth="1" collapsed="1"/>
    <col min="11011" max="11011" width="40.125" style="73" customWidth="1" collapsed="1"/>
    <col min="11012" max="11012" width="13.375" style="73" bestFit="1" customWidth="1" collapsed="1"/>
    <col min="11013" max="11013" width="1.625" style="73" customWidth="1" collapsed="1"/>
    <col min="11014" max="11014" width="11.875" style="73" customWidth="1" collapsed="1"/>
    <col min="11015" max="11015" width="1.625" style="73" customWidth="1" collapsed="1"/>
    <col min="11016" max="11016" width="16.375" style="73" customWidth="1" collapsed="1"/>
    <col min="11017" max="11264" width="9" style="73" collapsed="1"/>
    <col min="11265" max="11265" width="4.125" style="73" customWidth="1" collapsed="1"/>
    <col min="11266" max="11266" width="3.625" style="73" customWidth="1" collapsed="1"/>
    <col min="11267" max="11267" width="40.125" style="73" customWidth="1" collapsed="1"/>
    <col min="11268" max="11268" width="13.375" style="73" bestFit="1" customWidth="1" collapsed="1"/>
    <col min="11269" max="11269" width="1.625" style="73" customWidth="1" collapsed="1"/>
    <col min="11270" max="11270" width="11.875" style="73" customWidth="1" collapsed="1"/>
    <col min="11271" max="11271" width="1.625" style="73" customWidth="1" collapsed="1"/>
    <col min="11272" max="11272" width="16.375" style="73" customWidth="1" collapsed="1"/>
    <col min="11273" max="11520" width="9" style="73" collapsed="1"/>
    <col min="11521" max="11521" width="4.125" style="73" customWidth="1" collapsed="1"/>
    <col min="11522" max="11522" width="3.625" style="73" customWidth="1" collapsed="1"/>
    <col min="11523" max="11523" width="40.125" style="73" customWidth="1" collapsed="1"/>
    <col min="11524" max="11524" width="13.375" style="73" bestFit="1" customWidth="1" collapsed="1"/>
    <col min="11525" max="11525" width="1.625" style="73" customWidth="1" collapsed="1"/>
    <col min="11526" max="11526" width="11.875" style="73" customWidth="1" collapsed="1"/>
    <col min="11527" max="11527" width="1.625" style="73" customWidth="1" collapsed="1"/>
    <col min="11528" max="11528" width="16.375" style="73" customWidth="1" collapsed="1"/>
    <col min="11529" max="11776" width="9" style="73" collapsed="1"/>
    <col min="11777" max="11777" width="4.125" style="73" customWidth="1" collapsed="1"/>
    <col min="11778" max="11778" width="3.625" style="73" customWidth="1" collapsed="1"/>
    <col min="11779" max="11779" width="40.125" style="73" customWidth="1" collapsed="1"/>
    <col min="11780" max="11780" width="13.375" style="73" bestFit="1" customWidth="1" collapsed="1"/>
    <col min="11781" max="11781" width="1.625" style="73" customWidth="1" collapsed="1"/>
    <col min="11782" max="11782" width="11.875" style="73" customWidth="1" collapsed="1"/>
    <col min="11783" max="11783" width="1.625" style="73" customWidth="1" collapsed="1"/>
    <col min="11784" max="11784" width="16.375" style="73" customWidth="1" collapsed="1"/>
    <col min="11785" max="12032" width="9" style="73" collapsed="1"/>
    <col min="12033" max="12033" width="4.125" style="73" customWidth="1" collapsed="1"/>
    <col min="12034" max="12034" width="3.625" style="73" customWidth="1" collapsed="1"/>
    <col min="12035" max="12035" width="40.125" style="73" customWidth="1" collapsed="1"/>
    <col min="12036" max="12036" width="13.375" style="73" bestFit="1" customWidth="1" collapsed="1"/>
    <col min="12037" max="12037" width="1.625" style="73" customWidth="1" collapsed="1"/>
    <col min="12038" max="12038" width="11.875" style="73" customWidth="1" collapsed="1"/>
    <col min="12039" max="12039" width="1.625" style="73" customWidth="1" collapsed="1"/>
    <col min="12040" max="12040" width="16.375" style="73" customWidth="1" collapsed="1"/>
    <col min="12041" max="12288" width="9" style="73" collapsed="1"/>
    <col min="12289" max="12289" width="4.125" style="73" customWidth="1" collapsed="1"/>
    <col min="12290" max="12290" width="3.625" style="73" customWidth="1" collapsed="1"/>
    <col min="12291" max="12291" width="40.125" style="73" customWidth="1" collapsed="1"/>
    <col min="12292" max="12292" width="13.375" style="73" bestFit="1" customWidth="1" collapsed="1"/>
    <col min="12293" max="12293" width="1.625" style="73" customWidth="1" collapsed="1"/>
    <col min="12294" max="12294" width="11.875" style="73" customWidth="1" collapsed="1"/>
    <col min="12295" max="12295" width="1.625" style="73" customWidth="1" collapsed="1"/>
    <col min="12296" max="12296" width="16.375" style="73" customWidth="1" collapsed="1"/>
    <col min="12297" max="12544" width="9" style="73" collapsed="1"/>
    <col min="12545" max="12545" width="4.125" style="73" customWidth="1" collapsed="1"/>
    <col min="12546" max="12546" width="3.625" style="73" customWidth="1" collapsed="1"/>
    <col min="12547" max="12547" width="40.125" style="73" customWidth="1" collapsed="1"/>
    <col min="12548" max="12548" width="13.375" style="73" bestFit="1" customWidth="1" collapsed="1"/>
    <col min="12549" max="12549" width="1.625" style="73" customWidth="1" collapsed="1"/>
    <col min="12550" max="12550" width="11.875" style="73" customWidth="1" collapsed="1"/>
    <col min="12551" max="12551" width="1.625" style="73" customWidth="1" collapsed="1"/>
    <col min="12552" max="12552" width="16.375" style="73" customWidth="1" collapsed="1"/>
    <col min="12553" max="12800" width="9" style="73" collapsed="1"/>
    <col min="12801" max="12801" width="4.125" style="73" customWidth="1" collapsed="1"/>
    <col min="12802" max="12802" width="3.625" style="73" customWidth="1" collapsed="1"/>
    <col min="12803" max="12803" width="40.125" style="73" customWidth="1" collapsed="1"/>
    <col min="12804" max="12804" width="13.375" style="73" bestFit="1" customWidth="1" collapsed="1"/>
    <col min="12805" max="12805" width="1.625" style="73" customWidth="1" collapsed="1"/>
    <col min="12806" max="12806" width="11.875" style="73" customWidth="1" collapsed="1"/>
    <col min="12807" max="12807" width="1.625" style="73" customWidth="1" collapsed="1"/>
    <col min="12808" max="12808" width="16.375" style="73" customWidth="1" collapsed="1"/>
    <col min="12809" max="13056" width="9" style="73" collapsed="1"/>
    <col min="13057" max="13057" width="4.125" style="73" customWidth="1" collapsed="1"/>
    <col min="13058" max="13058" width="3.625" style="73" customWidth="1" collapsed="1"/>
    <col min="13059" max="13059" width="40.125" style="73" customWidth="1" collapsed="1"/>
    <col min="13060" max="13060" width="13.375" style="73" bestFit="1" customWidth="1" collapsed="1"/>
    <col min="13061" max="13061" width="1.625" style="73" customWidth="1" collapsed="1"/>
    <col min="13062" max="13062" width="11.875" style="73" customWidth="1" collapsed="1"/>
    <col min="13063" max="13063" width="1.625" style="73" customWidth="1" collapsed="1"/>
    <col min="13064" max="13064" width="16.375" style="73" customWidth="1" collapsed="1"/>
    <col min="13065" max="13312" width="9" style="73" collapsed="1"/>
    <col min="13313" max="13313" width="4.125" style="73" customWidth="1" collapsed="1"/>
    <col min="13314" max="13314" width="3.625" style="73" customWidth="1" collapsed="1"/>
    <col min="13315" max="13315" width="40.125" style="73" customWidth="1" collapsed="1"/>
    <col min="13316" max="13316" width="13.375" style="73" bestFit="1" customWidth="1" collapsed="1"/>
    <col min="13317" max="13317" width="1.625" style="73" customWidth="1" collapsed="1"/>
    <col min="13318" max="13318" width="11.875" style="73" customWidth="1" collapsed="1"/>
    <col min="13319" max="13319" width="1.625" style="73" customWidth="1" collapsed="1"/>
    <col min="13320" max="13320" width="16.375" style="73" customWidth="1" collapsed="1"/>
    <col min="13321" max="13568" width="9" style="73" collapsed="1"/>
    <col min="13569" max="13569" width="4.125" style="73" customWidth="1" collapsed="1"/>
    <col min="13570" max="13570" width="3.625" style="73" customWidth="1" collapsed="1"/>
    <col min="13571" max="13571" width="40.125" style="73" customWidth="1" collapsed="1"/>
    <col min="13572" max="13572" width="13.375" style="73" bestFit="1" customWidth="1" collapsed="1"/>
    <col min="13573" max="13573" width="1.625" style="73" customWidth="1" collapsed="1"/>
    <col min="13574" max="13574" width="11.875" style="73" customWidth="1" collapsed="1"/>
    <col min="13575" max="13575" width="1.625" style="73" customWidth="1" collapsed="1"/>
    <col min="13576" max="13576" width="16.375" style="73" customWidth="1" collapsed="1"/>
    <col min="13577" max="13824" width="9" style="73" collapsed="1"/>
    <col min="13825" max="13825" width="4.125" style="73" customWidth="1" collapsed="1"/>
    <col min="13826" max="13826" width="3.625" style="73" customWidth="1" collapsed="1"/>
    <col min="13827" max="13827" width="40.125" style="73" customWidth="1" collapsed="1"/>
    <col min="13828" max="13828" width="13.375" style="73" bestFit="1" customWidth="1" collapsed="1"/>
    <col min="13829" max="13829" width="1.625" style="73" customWidth="1" collapsed="1"/>
    <col min="13830" max="13830" width="11.875" style="73" customWidth="1" collapsed="1"/>
    <col min="13831" max="13831" width="1.625" style="73" customWidth="1" collapsed="1"/>
    <col min="13832" max="13832" width="16.375" style="73" customWidth="1" collapsed="1"/>
    <col min="13833" max="14080" width="9" style="73" collapsed="1"/>
    <col min="14081" max="14081" width="4.125" style="73" customWidth="1" collapsed="1"/>
    <col min="14082" max="14082" width="3.625" style="73" customWidth="1" collapsed="1"/>
    <col min="14083" max="14083" width="40.125" style="73" customWidth="1" collapsed="1"/>
    <col min="14084" max="14084" width="13.375" style="73" bestFit="1" customWidth="1" collapsed="1"/>
    <col min="14085" max="14085" width="1.625" style="73" customWidth="1" collapsed="1"/>
    <col min="14086" max="14086" width="11.875" style="73" customWidth="1" collapsed="1"/>
    <col min="14087" max="14087" width="1.625" style="73" customWidth="1" collapsed="1"/>
    <col min="14088" max="14088" width="16.375" style="73" customWidth="1" collapsed="1"/>
    <col min="14089" max="14336" width="9" style="73" collapsed="1"/>
    <col min="14337" max="14337" width="4.125" style="73" customWidth="1" collapsed="1"/>
    <col min="14338" max="14338" width="3.625" style="73" customWidth="1" collapsed="1"/>
    <col min="14339" max="14339" width="40.125" style="73" customWidth="1" collapsed="1"/>
    <col min="14340" max="14340" width="13.375" style="73" bestFit="1" customWidth="1" collapsed="1"/>
    <col min="14341" max="14341" width="1.625" style="73" customWidth="1" collapsed="1"/>
    <col min="14342" max="14342" width="11.875" style="73" customWidth="1" collapsed="1"/>
    <col min="14343" max="14343" width="1.625" style="73" customWidth="1" collapsed="1"/>
    <col min="14344" max="14344" width="16.375" style="73" customWidth="1" collapsed="1"/>
    <col min="14345" max="14592" width="9" style="73" collapsed="1"/>
    <col min="14593" max="14593" width="4.125" style="73" customWidth="1" collapsed="1"/>
    <col min="14594" max="14594" width="3.625" style="73" customWidth="1" collapsed="1"/>
    <col min="14595" max="14595" width="40.125" style="73" customWidth="1" collapsed="1"/>
    <col min="14596" max="14596" width="13.375" style="73" bestFit="1" customWidth="1" collapsed="1"/>
    <col min="14597" max="14597" width="1.625" style="73" customWidth="1" collapsed="1"/>
    <col min="14598" max="14598" width="11.875" style="73" customWidth="1" collapsed="1"/>
    <col min="14599" max="14599" width="1.625" style="73" customWidth="1" collapsed="1"/>
    <col min="14600" max="14600" width="16.375" style="73" customWidth="1" collapsed="1"/>
    <col min="14601" max="14848" width="9" style="73" collapsed="1"/>
    <col min="14849" max="14849" width="4.125" style="73" customWidth="1" collapsed="1"/>
    <col min="14850" max="14850" width="3.625" style="73" customWidth="1" collapsed="1"/>
    <col min="14851" max="14851" width="40.125" style="73" customWidth="1" collapsed="1"/>
    <col min="14852" max="14852" width="13.375" style="73" bestFit="1" customWidth="1" collapsed="1"/>
    <col min="14853" max="14853" width="1.625" style="73" customWidth="1" collapsed="1"/>
    <col min="14854" max="14854" width="11.875" style="73" customWidth="1" collapsed="1"/>
    <col min="14855" max="14855" width="1.625" style="73" customWidth="1" collapsed="1"/>
    <col min="14856" max="14856" width="16.375" style="73" customWidth="1" collapsed="1"/>
    <col min="14857" max="15104" width="9" style="73" collapsed="1"/>
    <col min="15105" max="15105" width="4.125" style="73" customWidth="1" collapsed="1"/>
    <col min="15106" max="15106" width="3.625" style="73" customWidth="1" collapsed="1"/>
    <col min="15107" max="15107" width="40.125" style="73" customWidth="1" collapsed="1"/>
    <col min="15108" max="15108" width="13.375" style="73" bestFit="1" customWidth="1" collapsed="1"/>
    <col min="15109" max="15109" width="1.625" style="73" customWidth="1" collapsed="1"/>
    <col min="15110" max="15110" width="11.875" style="73" customWidth="1" collapsed="1"/>
    <col min="15111" max="15111" width="1.625" style="73" customWidth="1" collapsed="1"/>
    <col min="15112" max="15112" width="16.375" style="73" customWidth="1" collapsed="1"/>
    <col min="15113" max="15360" width="9" style="73" collapsed="1"/>
    <col min="15361" max="15361" width="4.125" style="73" customWidth="1" collapsed="1"/>
    <col min="15362" max="15362" width="3.625" style="73" customWidth="1" collapsed="1"/>
    <col min="15363" max="15363" width="40.125" style="73" customWidth="1" collapsed="1"/>
    <col min="15364" max="15364" width="13.375" style="73" bestFit="1" customWidth="1" collapsed="1"/>
    <col min="15365" max="15365" width="1.625" style="73" customWidth="1" collapsed="1"/>
    <col min="15366" max="15366" width="11.875" style="73" customWidth="1" collapsed="1"/>
    <col min="15367" max="15367" width="1.625" style="73" customWidth="1" collapsed="1"/>
    <col min="15368" max="15368" width="16.375" style="73" customWidth="1" collapsed="1"/>
    <col min="15369" max="15616" width="9" style="73" collapsed="1"/>
    <col min="15617" max="15617" width="4.125" style="73" customWidth="1" collapsed="1"/>
    <col min="15618" max="15618" width="3.625" style="73" customWidth="1" collapsed="1"/>
    <col min="15619" max="15619" width="40.125" style="73" customWidth="1" collapsed="1"/>
    <col min="15620" max="15620" width="13.375" style="73" bestFit="1" customWidth="1" collapsed="1"/>
    <col min="15621" max="15621" width="1.625" style="73" customWidth="1" collapsed="1"/>
    <col min="15622" max="15622" width="11.875" style="73" customWidth="1" collapsed="1"/>
    <col min="15623" max="15623" width="1.625" style="73" customWidth="1" collapsed="1"/>
    <col min="15624" max="15624" width="16.375" style="73" customWidth="1" collapsed="1"/>
    <col min="15625" max="15872" width="9" style="73" collapsed="1"/>
    <col min="15873" max="15873" width="4.125" style="73" customWidth="1" collapsed="1"/>
    <col min="15874" max="15874" width="3.625" style="73" customWidth="1" collapsed="1"/>
    <col min="15875" max="15875" width="40.125" style="73" customWidth="1" collapsed="1"/>
    <col min="15876" max="15876" width="13.375" style="73" bestFit="1" customWidth="1" collapsed="1"/>
    <col min="15877" max="15877" width="1.625" style="73" customWidth="1" collapsed="1"/>
    <col min="15878" max="15878" width="11.875" style="73" customWidth="1" collapsed="1"/>
    <col min="15879" max="15879" width="1.625" style="73" customWidth="1" collapsed="1"/>
    <col min="15880" max="15880" width="16.375" style="73" customWidth="1" collapsed="1"/>
    <col min="15881" max="16128" width="9" style="73" collapsed="1"/>
    <col min="16129" max="16129" width="4.125" style="73" customWidth="1" collapsed="1"/>
    <col min="16130" max="16130" width="3.625" style="73" customWidth="1" collapsed="1"/>
    <col min="16131" max="16131" width="40.125" style="73" customWidth="1" collapsed="1"/>
    <col min="16132" max="16132" width="13.375" style="73" bestFit="1" customWidth="1" collapsed="1"/>
    <col min="16133" max="16133" width="1.625" style="73" customWidth="1" collapsed="1"/>
    <col min="16134" max="16134" width="11.875" style="73" customWidth="1" collapsed="1"/>
    <col min="16135" max="16135" width="1.625" style="73" customWidth="1" collapsed="1"/>
    <col min="16136" max="16136" width="16.375" style="73" customWidth="1" collapsed="1"/>
    <col min="16137" max="16384" width="9" style="73" collapsed="1"/>
  </cols>
  <sheetData>
    <row r="1" spans="1:10">
      <c r="A1" s="962" t="str">
        <f>+Control!D3</f>
        <v>MIC INCORPORATION LIMITED </v>
      </c>
      <c r="B1" s="962"/>
      <c r="C1" s="962"/>
      <c r="D1" s="962"/>
      <c r="E1" s="962"/>
      <c r="F1" s="962"/>
      <c r="G1" s="962"/>
      <c r="H1" s="962"/>
      <c r="J1" s="612" t="s">
        <v>7</v>
      </c>
    </row>
    <row r="2" spans="1:10" ht="15.75" customHeight="1">
      <c r="A2" s="961"/>
      <c r="B2" s="961"/>
      <c r="C2" s="961"/>
      <c r="D2" s="961"/>
      <c r="E2" s="961"/>
      <c r="F2" s="961"/>
      <c r="G2" s="961"/>
      <c r="J2" s="613" t="str">
        <f>+CONCATENATE(Control!F8,J5)</f>
        <v xml:space="preserve">PERIOD </v>
      </c>
    </row>
    <row r="3" spans="1:10">
      <c r="A3" s="961" t="s">
        <v>491</v>
      </c>
      <c r="B3" s="961"/>
      <c r="C3" s="961"/>
      <c r="D3" s="961"/>
      <c r="E3" s="961"/>
      <c r="F3" s="961"/>
      <c r="G3" s="961"/>
      <c r="H3" s="961">
        <v>-1537691</v>
      </c>
      <c r="J3" s="612" t="s">
        <v>171</v>
      </c>
    </row>
    <row r="4" spans="1:10">
      <c r="A4" s="963" t="str">
        <f>+CONCATENATE(J1,J2,J3,J4)</f>
        <v>FOR THE PERIOD ENDED 31 DECEMBER, 2016</v>
      </c>
      <c r="B4" s="963"/>
      <c r="C4" s="963"/>
      <c r="D4" s="963"/>
      <c r="E4" s="963"/>
      <c r="F4" s="963"/>
      <c r="G4" s="963"/>
      <c r="H4" s="963"/>
      <c r="J4" s="614" t="str">
        <f>+Control!D7</f>
        <v>31 DECEMBER, 2016</v>
      </c>
    </row>
    <row r="5" spans="1:10" s="74" customFormat="1" ht="25.5">
      <c r="D5" s="75" t="s">
        <v>492</v>
      </c>
      <c r="E5" s="76"/>
      <c r="F5" s="75" t="s">
        <v>493</v>
      </c>
      <c r="G5" s="76"/>
      <c r="H5" s="77" t="str">
        <f>+CONCATENATE(J6,J7)</f>
        <v xml:space="preserve"> Increase/
(decrease) in Profit</v>
      </c>
      <c r="J5" s="615" t="s">
        <v>172</v>
      </c>
    </row>
    <row r="6" spans="1:10" s="78" customFormat="1" ht="38.25">
      <c r="A6" s="453"/>
      <c r="B6" s="453" t="s">
        <v>2090</v>
      </c>
      <c r="C6" s="453"/>
      <c r="D6" s="79">
        <f>+Control!D68</f>
        <v>0</v>
      </c>
      <c r="E6" s="80"/>
      <c r="F6" s="79" t="str">
        <f>+Control!D68</f>
        <v>US$</v>
      </c>
      <c r="G6" s="80"/>
      <c r="H6" s="453">
        <v>0</v>
      </c>
      <c r="I6" s="453"/>
      <c r="J6" s="616" t="s">
        <v>494</v>
      </c>
    </row>
    <row r="7" spans="1:10" s="81" customFormat="1" ht="12.75">
      <c r="A7" s="81" t="str">
        <f>+CONCATENATE(J10,J11)</f>
        <v>Profit as per client's management accounts</v>
      </c>
      <c r="D7" s="82"/>
      <c r="E7" s="83"/>
      <c r="F7" s="82">
        <v>0</v>
      </c>
      <c r="G7" s="83"/>
      <c r="H7" s="98">
        <f>+Control!D114</f>
        <v>0</v>
      </c>
      <c r="J7" s="617" t="str">
        <f>+IF(H7&gt;=0,"Profit","Loss")</f>
        <v>Profit</v>
      </c>
    </row>
    <row r="8" spans="1:10" s="72" customFormat="1" ht="12.75" hidden="1">
      <c r="A8" s="84"/>
      <c r="D8" s="85"/>
      <c r="E8" s="86"/>
      <c r="F8" s="85"/>
      <c r="G8" s="86"/>
      <c r="J8" s="618"/>
    </row>
    <row r="9" spans="1:10" s="72" customFormat="1" ht="12.75">
      <c r="A9" s="84"/>
      <c r="D9" s="85"/>
      <c r="E9" s="86"/>
      <c r="F9" s="85"/>
      <c r="G9" s="86"/>
      <c r="J9" s="618"/>
    </row>
    <row r="10" spans="1:10" s="72" customFormat="1" ht="12.75">
      <c r="A10" s="84" t="s">
        <v>189</v>
      </c>
      <c r="B10" s="72" t="s">
        <v>495</v>
      </c>
      <c r="D10" s="85">
        <f>+Control!D116</f>
        <v>0</v>
      </c>
      <c r="E10" s="86"/>
      <c r="F10" s="85"/>
      <c r="G10" s="86"/>
      <c r="H10" s="99">
        <f>-D10</f>
        <v>0</v>
      </c>
      <c r="J10" s="618" t="str">
        <f>+IF(H7&gt;=0,"Profit ","Loss ")</f>
        <v xml:space="preserve">Profit </v>
      </c>
    </row>
    <row r="11" spans="1:10" s="72" customFormat="1" ht="12.75">
      <c r="A11" s="84"/>
      <c r="C11" s="72" t="s">
        <v>496</v>
      </c>
      <c r="D11" s="85"/>
      <c r="E11" s="86"/>
      <c r="F11" s="85">
        <f>+D10</f>
        <v>0</v>
      </c>
      <c r="G11" s="86"/>
      <c r="H11" s="87"/>
      <c r="J11" s="618" t="s">
        <v>497</v>
      </c>
    </row>
    <row r="12" spans="1:10" s="89" customFormat="1" ht="12.75">
      <c r="A12" s="88"/>
      <c r="D12" s="90"/>
      <c r="E12" s="91"/>
      <c r="F12" s="90"/>
      <c r="G12" s="91"/>
      <c r="H12" s="72"/>
      <c r="J12" s="619"/>
    </row>
    <row r="13" spans="1:10" s="89" customFormat="1" ht="12.75">
      <c r="A13" s="88"/>
      <c r="B13" s="89" t="str">
        <f>+CONCATENATE(J20,J21)</f>
        <v>To record the tax expenses for the period</v>
      </c>
      <c r="D13" s="90"/>
      <c r="E13" s="91"/>
      <c r="F13" s="90"/>
      <c r="G13" s="91"/>
      <c r="H13" s="72"/>
      <c r="J13" s="619"/>
    </row>
    <row r="14" spans="1:10" s="89" customFormat="1" ht="12.75">
      <c r="A14" s="88"/>
      <c r="D14" s="90"/>
      <c r="E14" s="91"/>
      <c r="F14" s="90"/>
      <c r="G14" s="91"/>
      <c r="H14" s="72"/>
      <c r="J14" s="619"/>
    </row>
    <row r="15" spans="1:10" s="89" customFormat="1" ht="12.75">
      <c r="A15" s="88"/>
      <c r="D15" s="90"/>
      <c r="E15" s="91"/>
      <c r="F15" s="90"/>
      <c r="G15" s="91"/>
      <c r="H15" s="72"/>
      <c r="J15" s="619"/>
    </row>
    <row r="16" spans="1:10" s="89" customFormat="1" ht="12.75">
      <c r="A16" s="88"/>
      <c r="C16" s="72"/>
      <c r="D16" s="90"/>
      <c r="E16" s="91"/>
      <c r="F16" s="90"/>
      <c r="G16" s="91"/>
      <c r="H16" s="72"/>
      <c r="J16" s="619"/>
    </row>
    <row r="17" spans="1:10" s="81" customFormat="1" ht="13.5" thickBot="1">
      <c r="A17" s="92" t="str">
        <f>+CONCATENATE(J17,J18)</f>
        <v>Profit as per audit account</v>
      </c>
      <c r="D17" s="82"/>
      <c r="E17" s="83"/>
      <c r="F17" s="82"/>
      <c r="G17" s="83"/>
      <c r="H17" s="93">
        <f>SUM(H7:H12)</f>
        <v>0</v>
      </c>
      <c r="J17" s="617" t="str">
        <f>+IF(H17&gt;=0,"Profit ","Loss ")</f>
        <v xml:space="preserve">Profit </v>
      </c>
    </row>
    <row r="18" spans="1:10" s="81" customFormat="1" ht="13.5" thickTop="1">
      <c r="A18" s="92"/>
      <c r="D18" s="82"/>
      <c r="E18" s="83"/>
      <c r="F18" s="82"/>
      <c r="G18" s="83"/>
      <c r="H18" s="94"/>
      <c r="J18" s="620" t="s">
        <v>498</v>
      </c>
    </row>
    <row r="19" spans="1:10" s="89" customFormat="1" ht="12.75">
      <c r="A19" s="88"/>
      <c r="D19" s="90"/>
      <c r="E19" s="91"/>
      <c r="F19" s="90"/>
      <c r="G19" s="91"/>
      <c r="H19" s="72"/>
      <c r="J19" s="619"/>
    </row>
    <row r="20" spans="1:10" s="72" customFormat="1" ht="12.75">
      <c r="D20" s="85"/>
      <c r="E20" s="86"/>
      <c r="F20" s="85"/>
      <c r="G20" s="86"/>
      <c r="J20" s="618" t="s">
        <v>499</v>
      </c>
    </row>
    <row r="21" spans="1:10" s="72" customFormat="1" ht="12.75">
      <c r="D21" s="85"/>
      <c r="E21" s="86" t="s">
        <v>500</v>
      </c>
      <c r="F21" s="85"/>
      <c r="G21" s="86"/>
      <c r="J21" s="618" t="str">
        <f>+Control!E8</f>
        <v>period</v>
      </c>
    </row>
    <row r="22" spans="1:10" s="72" customFormat="1" ht="12.75">
      <c r="D22" s="85"/>
      <c r="E22" s="86"/>
      <c r="F22" s="85"/>
      <c r="G22" s="86"/>
      <c r="J22" s="618"/>
    </row>
    <row r="23" spans="1:10" s="72" customFormat="1" ht="12.75">
      <c r="D23" s="85"/>
      <c r="E23" s="86"/>
      <c r="F23" s="85"/>
      <c r="G23" s="86"/>
      <c r="H23" s="85"/>
      <c r="J23" s="618"/>
    </row>
    <row r="24" spans="1:10" s="72" customFormat="1" ht="12.75">
      <c r="D24" s="85"/>
      <c r="E24" s="86"/>
      <c r="F24" s="85"/>
      <c r="G24" s="86"/>
      <c r="J24" s="618"/>
    </row>
    <row r="25" spans="1:10" s="72" customFormat="1" ht="12.75">
      <c r="D25" s="85"/>
      <c r="E25" s="86"/>
      <c r="F25" s="85"/>
      <c r="G25" s="86"/>
      <c r="J25" s="618"/>
    </row>
    <row r="26" spans="1:10" s="72" customFormat="1" ht="12.75">
      <c r="D26" s="85"/>
      <c r="E26" s="95"/>
      <c r="F26" s="96"/>
      <c r="G26" s="95"/>
      <c r="H26" s="95"/>
      <c r="J26" s="618"/>
    </row>
    <row r="27" spans="1:10" s="72" customFormat="1" ht="12.75">
      <c r="D27" s="85"/>
      <c r="E27" s="86" t="s">
        <v>437</v>
      </c>
      <c r="F27" s="85"/>
      <c r="G27" s="86"/>
      <c r="J27" s="618"/>
    </row>
  </sheetData>
  <mergeCells count="4">
    <mergeCell ref="A2:G2"/>
    <mergeCell ref="A1:H1"/>
    <mergeCell ref="A3:H3"/>
    <mergeCell ref="A4:H4"/>
  </mergeCells>
  <phoneticPr fontId="13" type="noConversion"/>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pageSetUpPr fitToPage="1"/>
  </sheetPr>
  <dimension ref="A1:O296"/>
  <sheetViews>
    <sheetView topLeftCell="A10" workbookViewId="0">
      <selection activeCell="K31" sqref="K31"/>
    </sheetView>
  </sheetViews>
  <sheetFormatPr defaultRowHeight="15.75"/>
  <cols>
    <col min="1" max="1" width="3.625" customWidth="1" collapsed="1"/>
    <col min="2" max="2" width="18.125" customWidth="1" collapsed="1"/>
    <col min="3" max="3" width="16.125" customWidth="1" collapsed="1"/>
    <col min="4" max="4" width="15.625" customWidth="1" collapsed="1"/>
    <col min="5" max="5" width="11.375" customWidth="1" collapsed="1"/>
    <col min="6" max="6" width="9.875" customWidth="1" collapsed="1"/>
    <col min="7" max="7" width="11.5" customWidth="1" collapsed="1"/>
    <col min="8" max="8" width="7" customWidth="1" collapsed="1"/>
    <col min="9" max="9" width="5.625" customWidth="1" collapsed="1"/>
    <col min="10" max="11" width="9" style="605" collapsed="1"/>
  </cols>
  <sheetData>
    <row r="1" spans="1:15" s="113" customFormat="1" ht="12.75">
      <c r="A1" s="113" t="s">
        <v>501</v>
      </c>
      <c r="J1" s="621"/>
      <c r="K1" s="621"/>
    </row>
    <row r="2" spans="1:15" s="113" customFormat="1" ht="12.75">
      <c r="A2" s="113" t="s">
        <v>502</v>
      </c>
      <c r="J2" s="621"/>
      <c r="K2" s="621"/>
    </row>
    <row r="4" spans="1:15">
      <c r="A4" s="114" t="s">
        <v>503</v>
      </c>
    </row>
    <row r="5" spans="1:15">
      <c r="F5" s="115" t="s">
        <v>504</v>
      </c>
      <c r="G5" s="25"/>
      <c r="H5" s="25"/>
      <c r="I5" s="110"/>
    </row>
    <row r="6" spans="1:15">
      <c r="A6" s="113" t="str">
        <f>+CONCATENATE(J6,J7,J8,J9)</f>
        <v>Messrs. Matthew S.H. Law, Certified Public Accountant (Practising)</v>
      </c>
      <c r="F6" s="111"/>
      <c r="I6" s="110"/>
      <c r="J6" s="605" t="s">
        <v>233</v>
      </c>
    </row>
    <row r="7" spans="1:15" s="112" customFormat="1" ht="12.75">
      <c r="A7" s="1037" t="str">
        <f>+Control!D142</f>
        <v>Unit 402, 4/F., Fourseas Building, No. 208 Nathan Road, Kowloon</v>
      </c>
      <c r="B7" s="1037"/>
      <c r="C7" s="1037"/>
      <c r="D7" s="1037"/>
      <c r="F7" s="115" t="s">
        <v>222</v>
      </c>
      <c r="G7" s="116"/>
      <c r="H7" s="116"/>
      <c r="I7" s="149"/>
      <c r="J7" s="622" t="str">
        <f>+Control!D136</f>
        <v>Matthew S.H. Law</v>
      </c>
      <c r="K7" s="622"/>
    </row>
    <row r="8" spans="1:15" s="112" customFormat="1" ht="12.75">
      <c r="A8" s="1037"/>
      <c r="B8" s="1037"/>
      <c r="C8" s="1037"/>
      <c r="D8" s="1037"/>
      <c r="I8" s="149"/>
      <c r="J8" s="622" t="s">
        <v>388</v>
      </c>
      <c r="K8" s="622"/>
    </row>
    <row r="9" spans="1:15" s="112" customFormat="1" ht="12.75">
      <c r="A9" s="1037"/>
      <c r="B9" s="1037"/>
      <c r="C9" s="1037"/>
      <c r="D9" s="1037"/>
      <c r="J9" s="622" t="str">
        <f>+Control!D137</f>
        <v>Certified Public Accountant (Practising)</v>
      </c>
      <c r="K9" s="622"/>
    </row>
    <row r="10" spans="1:15" s="112" customFormat="1" ht="12.75">
      <c r="A10" s="112" t="str">
        <f>+CONCATENATE(J11,J12,K13,J14)</f>
        <v>Tel: (852)96621161        Fax: (852)35823310</v>
      </c>
      <c r="J10" s="622"/>
      <c r="K10" s="622"/>
    </row>
    <row r="11" spans="1:15" s="112" customFormat="1" ht="12.75">
      <c r="J11" s="622" t="s">
        <v>505</v>
      </c>
      <c r="K11" s="622"/>
    </row>
    <row r="12" spans="1:15" s="112" customFormat="1" ht="12.75">
      <c r="A12" s="112" t="s">
        <v>506</v>
      </c>
      <c r="J12" s="622" t="str">
        <f>+Control!D147</f>
        <v>(852)96621161</v>
      </c>
      <c r="K12" s="622"/>
    </row>
    <row r="13" spans="1:15" s="112" customFormat="1" ht="12.75">
      <c r="A13" s="1039" t="str">
        <f>+CONCATENATE(J13,IF(Control!D130&gt;0,Control!D130," "))</f>
        <v xml:space="preserve">         </v>
      </c>
      <c r="B13" s="1039"/>
      <c r="C13" s="1039"/>
      <c r="D13" s="1039"/>
      <c r="E13" s="1039"/>
      <c r="F13" s="1039"/>
      <c r="G13" s="1039"/>
      <c r="H13" s="1039"/>
      <c r="J13" s="622" t="s">
        <v>507</v>
      </c>
      <c r="K13" s="622" t="s">
        <v>508</v>
      </c>
    </row>
    <row r="14" spans="1:15" s="112" customFormat="1" ht="12.75">
      <c r="J14" s="622" t="str">
        <f>+Control!D145</f>
        <v>(852)35823310</v>
      </c>
      <c r="K14" s="622"/>
    </row>
    <row r="15" spans="1:15" s="112" customFormat="1" ht="12.75">
      <c r="J15" s="622"/>
      <c r="K15" s="622"/>
    </row>
    <row r="16" spans="1:15" s="112" customFormat="1" ht="12.75">
      <c r="A16" s="112" t="s">
        <v>382</v>
      </c>
      <c r="J16" s="623"/>
      <c r="K16" s="623"/>
      <c r="L16" s="502"/>
      <c r="M16" s="502"/>
      <c r="N16" s="502"/>
      <c r="O16" s="502"/>
    </row>
    <row r="17" spans="1:15" s="112" customFormat="1" ht="12.75">
      <c r="J17" s="624"/>
      <c r="K17" s="624"/>
      <c r="L17" s="502"/>
      <c r="M17" s="502"/>
      <c r="N17" s="502"/>
      <c r="O17" s="502"/>
    </row>
    <row r="18" spans="1:15" s="112" customFormat="1" ht="14.25">
      <c r="A18" s="112" t="s">
        <v>509</v>
      </c>
      <c r="B18" s="1040" t="str">
        <f>+Control!D3</f>
        <v>MIC INCORPORATION LIMITED </v>
      </c>
      <c r="C18" s="1040"/>
      <c r="D18" s="1040"/>
      <c r="E18" s="1040"/>
      <c r="F18" s="1040"/>
      <c r="G18" s="1039" t="s">
        <v>510</v>
      </c>
      <c r="H18" s="1039"/>
      <c r="I18" s="1039"/>
      <c r="J18" s="623"/>
      <c r="K18" s="625"/>
      <c r="L18" s="502"/>
      <c r="M18" s="502"/>
      <c r="N18" s="502"/>
      <c r="O18" s="502"/>
    </row>
    <row r="19" spans="1:15" s="112" customFormat="1" ht="12.75">
      <c r="J19" s="622"/>
      <c r="K19" s="622"/>
    </row>
    <row r="20" spans="1:15" s="112" customFormat="1" ht="12.75" customHeight="1">
      <c r="A20" s="1041" t="s">
        <v>511</v>
      </c>
      <c r="B20" s="1041"/>
      <c r="C20" s="1041"/>
      <c r="D20" s="1041"/>
      <c r="E20" s="1041"/>
      <c r="F20" s="1041"/>
      <c r="G20" s="1041"/>
      <c r="H20" s="1041"/>
      <c r="I20" s="1041"/>
      <c r="J20" s="622"/>
      <c r="K20" s="622"/>
    </row>
    <row r="21" spans="1:15" s="112" customFormat="1" ht="12.75" customHeight="1">
      <c r="A21" s="1031" t="s">
        <v>512</v>
      </c>
      <c r="B21" s="1031"/>
      <c r="C21" s="1031"/>
      <c r="D21" s="132" t="str">
        <f>+Control!D6</f>
        <v>31 December, 2016</v>
      </c>
      <c r="E21" s="1041" t="s">
        <v>513</v>
      </c>
      <c r="F21" s="1041"/>
      <c r="G21" s="1041"/>
      <c r="H21" s="1041"/>
      <c r="I21" s="1041"/>
      <c r="J21" s="622"/>
      <c r="K21" s="622"/>
    </row>
    <row r="22" spans="1:15" s="112" customFormat="1" ht="12.75">
      <c r="A22" s="1031" t="s">
        <v>514</v>
      </c>
      <c r="B22" s="1031"/>
      <c r="C22" s="1031"/>
      <c r="D22" s="1031"/>
      <c r="E22" s="1031"/>
      <c r="F22" s="1031"/>
      <c r="G22" s="1031"/>
      <c r="H22" s="1031"/>
      <c r="I22" s="1031"/>
      <c r="J22" s="622"/>
      <c r="K22" s="622"/>
    </row>
    <row r="23" spans="1:15" s="112" customFormat="1" ht="12.75">
      <c r="A23" s="131"/>
      <c r="B23" s="131"/>
      <c r="C23" s="131"/>
      <c r="D23" s="131"/>
      <c r="E23" s="131"/>
      <c r="F23" s="131"/>
      <c r="G23" s="131"/>
      <c r="H23" s="131"/>
      <c r="I23" s="131"/>
      <c r="J23" s="622"/>
      <c r="K23" s="622"/>
    </row>
    <row r="24" spans="1:15" s="112" customFormat="1" ht="12.75">
      <c r="J24" s="622"/>
      <c r="K24" s="622"/>
    </row>
    <row r="25" spans="1:15" s="112" customFormat="1" ht="12.75">
      <c r="A25" s="1031" t="str">
        <f>+CONCATENATE(J25,J26,J27,J28,J29)</f>
        <v>Please confirm the position by completing the section headed “Bankers’ Confirmation ” on the final page of this request.  You are hereby authorized to return this request after completion and together with any remarks you may have to our auditors, Messrs. Matthew S.H. Law, Certified Public Accountant (Practising), at the address above.</v>
      </c>
      <c r="B25" s="1031"/>
      <c r="C25" s="1031"/>
      <c r="D25" s="1031"/>
      <c r="E25" s="1031"/>
      <c r="F25" s="1031"/>
      <c r="G25" s="1031"/>
      <c r="H25" s="1031"/>
      <c r="I25" s="1031"/>
      <c r="J25" s="622" t="s">
        <v>515</v>
      </c>
      <c r="K25" s="622"/>
    </row>
    <row r="26" spans="1:15" s="112" customFormat="1" ht="12.75">
      <c r="A26" s="1031"/>
      <c r="B26" s="1031"/>
      <c r="C26" s="1031"/>
      <c r="D26" s="1031"/>
      <c r="E26" s="1031"/>
      <c r="F26" s="1031"/>
      <c r="G26" s="1031"/>
      <c r="H26" s="1031"/>
      <c r="I26" s="1031"/>
      <c r="J26" s="622" t="str">
        <f>+Control!D136</f>
        <v>Matthew S.H. Law</v>
      </c>
      <c r="K26" s="622"/>
    </row>
    <row r="27" spans="1:15" s="112" customFormat="1" ht="12.75">
      <c r="A27" s="1031"/>
      <c r="B27" s="1031"/>
      <c r="C27" s="1031"/>
      <c r="D27" s="1031"/>
      <c r="E27" s="1031"/>
      <c r="F27" s="1031"/>
      <c r="G27" s="1031"/>
      <c r="H27" s="1031"/>
      <c r="I27" s="1031"/>
      <c r="J27" s="622" t="s">
        <v>388</v>
      </c>
      <c r="K27" s="622" t="str">
        <f>+CHAR(1)</f>
        <v>_x0001_</v>
      </c>
    </row>
    <row r="28" spans="1:15" s="112" customFormat="1" ht="12.75">
      <c r="A28" s="1031"/>
      <c r="B28" s="1031"/>
      <c r="C28" s="1031"/>
      <c r="D28" s="1031"/>
      <c r="E28" s="1031"/>
      <c r="F28" s="1031"/>
      <c r="G28" s="1031"/>
      <c r="H28" s="1031"/>
      <c r="I28" s="1031"/>
      <c r="J28" s="622" t="str">
        <f>+Control!D137</f>
        <v>Certified Public Accountant (Practising)</v>
      </c>
      <c r="K28" s="622"/>
    </row>
    <row r="29" spans="1:15" s="112" customFormat="1" ht="12.75">
      <c r="J29" s="622" t="s">
        <v>516</v>
      </c>
      <c r="K29" s="622"/>
    </row>
    <row r="30" spans="1:15" s="112" customFormat="1" ht="12.75" customHeight="1">
      <c r="A30" s="1031" t="s">
        <v>517</v>
      </c>
      <c r="B30" s="1031"/>
      <c r="C30" s="1031"/>
      <c r="D30" s="1031"/>
      <c r="E30" s="1031"/>
      <c r="F30" s="1038" t="str">
        <f>IF(Control!D132&gt;0,Control!D132," ")</f>
        <v xml:space="preserve"> </v>
      </c>
      <c r="G30" s="1038"/>
      <c r="H30" s="1038"/>
      <c r="I30" s="133" t="s">
        <v>239</v>
      </c>
      <c r="J30" s="622"/>
      <c r="K30" s="622"/>
    </row>
    <row r="31" spans="1:15" s="112" customFormat="1" ht="12.75">
      <c r="J31" s="622"/>
      <c r="K31" s="622"/>
    </row>
    <row r="32" spans="1:15" s="112" customFormat="1" ht="12.75">
      <c r="A32" s="1031" t="s">
        <v>518</v>
      </c>
      <c r="B32" s="1031"/>
      <c r="C32" s="1031"/>
      <c r="D32" s="1031"/>
      <c r="E32" s="1031"/>
      <c r="F32" s="1031"/>
      <c r="G32" s="1031"/>
      <c r="H32" s="1031"/>
      <c r="I32" s="1031"/>
      <c r="J32" s="622"/>
      <c r="K32" s="622"/>
    </row>
    <row r="33" spans="1:11" s="112" customFormat="1" ht="12.75">
      <c r="A33" s="1031"/>
      <c r="B33" s="1031"/>
      <c r="C33" s="1031"/>
      <c r="D33" s="1031"/>
      <c r="E33" s="1031"/>
      <c r="F33" s="1031"/>
      <c r="G33" s="1031"/>
      <c r="H33" s="1031"/>
      <c r="I33" s="1031"/>
      <c r="J33" s="622"/>
      <c r="K33" s="622"/>
    </row>
    <row r="34" spans="1:11" s="112" customFormat="1" ht="12.75">
      <c r="J34" s="622"/>
      <c r="K34" s="622"/>
    </row>
    <row r="35" spans="1:11" s="112" customFormat="1" ht="12.75">
      <c r="A35" s="112" t="s">
        <v>230</v>
      </c>
      <c r="J35" s="622"/>
      <c r="K35" s="622"/>
    </row>
    <row r="36" spans="1:11" s="112" customFormat="1" ht="12.75">
      <c r="J36" s="622"/>
      <c r="K36" s="622"/>
    </row>
    <row r="37" spans="1:11" s="112" customFormat="1" ht="12.75">
      <c r="J37" s="622"/>
      <c r="K37" s="622"/>
    </row>
    <row r="38" spans="1:11" s="112" customFormat="1" ht="12.75">
      <c r="J38" s="622"/>
      <c r="K38" s="622"/>
    </row>
    <row r="39" spans="1:11" s="112" customFormat="1" ht="12.75">
      <c r="J39" s="622"/>
      <c r="K39" s="622"/>
    </row>
    <row r="40" spans="1:11" s="112" customFormat="1" ht="12.75">
      <c r="J40" s="622"/>
      <c r="K40" s="622"/>
    </row>
    <row r="41" spans="1:11" s="112" customFormat="1" ht="12.75">
      <c r="A41" s="116"/>
      <c r="B41" s="116"/>
      <c r="C41" s="116"/>
      <c r="J41" s="622"/>
      <c r="K41" s="622"/>
    </row>
    <row r="42" spans="1:11" s="112" customFormat="1" ht="12.75">
      <c r="A42" s="112" t="s">
        <v>519</v>
      </c>
      <c r="J42" s="622"/>
      <c r="K42" s="622"/>
    </row>
    <row r="44" spans="1:11">
      <c r="A44" s="978" t="s">
        <v>520</v>
      </c>
      <c r="B44" s="979"/>
      <c r="C44" s="979"/>
      <c r="D44" s="979"/>
      <c r="E44" s="979"/>
      <c r="F44" s="979"/>
      <c r="G44" s="979"/>
      <c r="H44" s="979"/>
      <c r="I44" s="985"/>
    </row>
    <row r="45" spans="1:11" ht="29.25" customHeight="1">
      <c r="A45" s="460"/>
      <c r="B45" s="109"/>
      <c r="C45" s="150" t="s">
        <v>521</v>
      </c>
      <c r="D45" s="150" t="s">
        <v>522</v>
      </c>
      <c r="E45" s="150" t="s">
        <v>523</v>
      </c>
      <c r="F45" s="1024" t="s">
        <v>524</v>
      </c>
      <c r="G45" s="1025"/>
      <c r="H45" s="1024" t="s">
        <v>525</v>
      </c>
      <c r="I45" s="1025"/>
    </row>
    <row r="46" spans="1:11">
      <c r="A46" s="1026"/>
      <c r="B46" s="998" t="s">
        <v>526</v>
      </c>
      <c r="C46" s="1028"/>
      <c r="D46" s="990"/>
      <c r="E46" s="990"/>
      <c r="F46" s="990"/>
      <c r="G46" s="990"/>
      <c r="H46" s="990"/>
      <c r="I46" s="992"/>
    </row>
    <row r="47" spans="1:11" ht="10.5" customHeight="1">
      <c r="A47" s="1026"/>
      <c r="B47" s="999"/>
      <c r="C47" s="1029"/>
      <c r="D47" s="991"/>
      <c r="E47" s="991"/>
      <c r="F47" s="991"/>
      <c r="G47" s="991"/>
      <c r="H47" s="991"/>
      <c r="I47" s="993"/>
    </row>
    <row r="48" spans="1:11" ht="11.25" customHeight="1">
      <c r="A48" s="1026"/>
      <c r="B48" s="999"/>
      <c r="C48" s="1029"/>
      <c r="D48" s="991"/>
      <c r="E48" s="991"/>
      <c r="F48" s="991"/>
      <c r="G48" s="991"/>
      <c r="H48" s="991"/>
      <c r="I48" s="993"/>
    </row>
    <row r="49" spans="1:9" ht="9.75" customHeight="1">
      <c r="A49" s="1026"/>
      <c r="B49" s="1027"/>
      <c r="C49" s="1030"/>
      <c r="D49" s="1006"/>
      <c r="E49" s="1006"/>
      <c r="F49" s="1006"/>
      <c r="G49" s="1006"/>
      <c r="H49" s="1006"/>
      <c r="I49" s="1007"/>
    </row>
    <row r="50" spans="1:9">
      <c r="A50" s="1026"/>
      <c r="B50" s="1008" t="s">
        <v>527</v>
      </c>
      <c r="C50" s="1028"/>
      <c r="D50" s="990"/>
      <c r="E50" s="990"/>
      <c r="F50" s="990"/>
      <c r="G50" s="990"/>
      <c r="H50" s="990"/>
      <c r="I50" s="992"/>
    </row>
    <row r="51" spans="1:9" ht="12.75" customHeight="1">
      <c r="A51" s="1026"/>
      <c r="B51" s="1009"/>
      <c r="C51" s="1029"/>
      <c r="D51" s="991"/>
      <c r="E51" s="991"/>
      <c r="F51" s="991"/>
      <c r="G51" s="991"/>
      <c r="H51" s="991"/>
      <c r="I51" s="993"/>
    </row>
    <row r="52" spans="1:9" ht="9.75" customHeight="1">
      <c r="A52" s="1036"/>
      <c r="B52" s="1010"/>
      <c r="C52" s="1030"/>
      <c r="D52" s="1006"/>
      <c r="E52" s="1006"/>
      <c r="F52" s="1006"/>
      <c r="G52" s="1006"/>
      <c r="H52" s="1006"/>
      <c r="I52" s="1007"/>
    </row>
    <row r="53" spans="1:9">
      <c r="A53" s="978" t="s">
        <v>528</v>
      </c>
      <c r="B53" s="979"/>
      <c r="C53" s="979"/>
      <c r="D53" s="979"/>
      <c r="E53" s="979"/>
      <c r="F53" s="979"/>
      <c r="G53" s="979"/>
      <c r="H53" s="979"/>
      <c r="I53" s="985"/>
    </row>
    <row r="54" spans="1:9" ht="14.25" customHeight="1">
      <c r="A54" s="1032"/>
      <c r="B54" s="1033"/>
      <c r="C54" s="986" t="s">
        <v>529</v>
      </c>
      <c r="D54" s="987"/>
      <c r="E54" s="986" t="s">
        <v>530</v>
      </c>
      <c r="F54" s="1004"/>
      <c r="G54" s="990"/>
      <c r="H54" s="990"/>
      <c r="I54" s="992"/>
    </row>
    <row r="55" spans="1:9" ht="11.25" customHeight="1">
      <c r="A55" s="1026"/>
      <c r="B55" s="1034"/>
      <c r="C55" s="988"/>
      <c r="D55" s="989"/>
      <c r="E55" s="988"/>
      <c r="F55" s="1035"/>
      <c r="G55" s="1006"/>
      <c r="H55" s="1006"/>
      <c r="I55" s="1007"/>
    </row>
    <row r="56" spans="1:9" ht="11.25" customHeight="1">
      <c r="A56" s="1026"/>
      <c r="B56" s="1008" t="s">
        <v>526</v>
      </c>
      <c r="C56" s="1028"/>
      <c r="D56" s="990"/>
      <c r="E56" s="990"/>
      <c r="F56" s="990"/>
      <c r="G56" s="990"/>
      <c r="H56" s="990"/>
      <c r="I56" s="992"/>
    </row>
    <row r="57" spans="1:9" ht="13.5" customHeight="1">
      <c r="A57" s="1026"/>
      <c r="B57" s="1009"/>
      <c r="C57" s="1029"/>
      <c r="D57" s="991"/>
      <c r="E57" s="991"/>
      <c r="F57" s="991"/>
      <c r="G57" s="991"/>
      <c r="H57" s="991"/>
      <c r="I57" s="993"/>
    </row>
    <row r="58" spans="1:9" ht="9.75" customHeight="1">
      <c r="A58" s="1026"/>
      <c r="B58" s="1009"/>
      <c r="C58" s="1029"/>
      <c r="D58" s="991"/>
      <c r="E58" s="991"/>
      <c r="F58" s="991"/>
      <c r="G58" s="991"/>
      <c r="H58" s="991"/>
      <c r="I58" s="993"/>
    </row>
    <row r="59" spans="1:9" ht="12.75" customHeight="1">
      <c r="A59" s="1026"/>
      <c r="B59" s="1010"/>
      <c r="C59" s="1030"/>
      <c r="D59" s="1006"/>
      <c r="E59" s="1006"/>
      <c r="F59" s="1006"/>
      <c r="G59" s="1006"/>
      <c r="H59" s="1006"/>
      <c r="I59" s="1007"/>
    </row>
    <row r="60" spans="1:9">
      <c r="A60" s="1026"/>
      <c r="B60" s="1008" t="s">
        <v>527</v>
      </c>
      <c r="C60" s="1028"/>
      <c r="D60" s="990"/>
      <c r="E60" s="990"/>
      <c r="F60" s="990"/>
      <c r="G60" s="990"/>
      <c r="H60" s="990"/>
      <c r="I60" s="992"/>
    </row>
    <row r="61" spans="1:9" ht="13.5" customHeight="1">
      <c r="A61" s="1026"/>
      <c r="B61" s="1009"/>
      <c r="C61" s="1029"/>
      <c r="D61" s="991"/>
      <c r="E61" s="991"/>
      <c r="F61" s="991"/>
      <c r="G61" s="991"/>
      <c r="H61" s="991"/>
      <c r="I61" s="993"/>
    </row>
    <row r="62" spans="1:9" ht="10.5" customHeight="1">
      <c r="A62" s="1026"/>
      <c r="B62" s="1010"/>
      <c r="C62" s="1030"/>
      <c r="D62" s="1006"/>
      <c r="E62" s="1006"/>
      <c r="F62" s="1006"/>
      <c r="G62" s="1006"/>
      <c r="H62" s="1006"/>
      <c r="I62" s="1007"/>
    </row>
    <row r="63" spans="1:9">
      <c r="A63" s="110"/>
    </row>
    <row r="64" spans="1:9">
      <c r="A64" s="110"/>
    </row>
    <row r="65" spans="1:11" s="110" customFormat="1">
      <c r="A65" s="969" t="s">
        <v>531</v>
      </c>
      <c r="B65" s="970"/>
      <c r="C65" s="970"/>
      <c r="D65" s="970"/>
      <c r="E65" s="970"/>
      <c r="F65" s="970"/>
      <c r="G65" s="970"/>
      <c r="H65" s="970"/>
      <c r="I65" s="970"/>
      <c r="J65" s="626"/>
      <c r="K65" s="626"/>
    </row>
    <row r="66" spans="1:11">
      <c r="A66" s="978" t="s">
        <v>532</v>
      </c>
      <c r="B66" s="979"/>
      <c r="C66" s="979"/>
      <c r="D66" s="979"/>
      <c r="E66" s="979"/>
      <c r="F66" s="979"/>
      <c r="G66" s="979"/>
      <c r="H66" s="979"/>
      <c r="I66" s="985"/>
    </row>
    <row r="67" spans="1:11" ht="11.25" customHeight="1">
      <c r="B67" s="118"/>
      <c r="C67" s="974" t="s">
        <v>529</v>
      </c>
      <c r="D67" s="964"/>
      <c r="E67" s="974" t="s">
        <v>530</v>
      </c>
      <c r="F67" s="976"/>
      <c r="G67" s="990"/>
      <c r="H67" s="990"/>
      <c r="I67" s="992"/>
    </row>
    <row r="68" spans="1:11" ht="16.5" customHeight="1">
      <c r="B68" s="119"/>
      <c r="C68" s="996"/>
      <c r="D68" s="997"/>
      <c r="E68" s="996"/>
      <c r="F68" s="1011"/>
      <c r="G68" s="1006"/>
      <c r="H68" s="1006"/>
      <c r="I68" s="1007"/>
    </row>
    <row r="69" spans="1:11">
      <c r="B69" s="1008" t="s">
        <v>526</v>
      </c>
      <c r="C69" s="120"/>
      <c r="D69" s="124"/>
      <c r="E69" s="124"/>
      <c r="F69" s="124"/>
      <c r="G69" s="124"/>
      <c r="H69" s="124"/>
      <c r="I69" s="121"/>
    </row>
    <row r="70" spans="1:11" ht="11.25" customHeight="1">
      <c r="B70" s="1009"/>
      <c r="C70" s="125"/>
      <c r="D70" s="110"/>
      <c r="E70" s="110"/>
      <c r="F70" s="110"/>
      <c r="G70" s="110"/>
      <c r="H70" s="110"/>
      <c r="I70" s="126"/>
    </row>
    <row r="71" spans="1:11" ht="14.25" customHeight="1">
      <c r="B71" s="1010"/>
      <c r="C71" s="122"/>
      <c r="D71" s="25"/>
      <c r="E71" s="25"/>
      <c r="F71" s="25"/>
      <c r="G71" s="25"/>
      <c r="H71" s="25"/>
      <c r="I71" s="123"/>
    </row>
    <row r="72" spans="1:11">
      <c r="B72" s="1008" t="s">
        <v>527</v>
      </c>
      <c r="C72" s="120"/>
      <c r="D72" s="124"/>
      <c r="E72" s="124"/>
      <c r="F72" s="124"/>
      <c r="G72" s="124"/>
      <c r="H72" s="124"/>
      <c r="I72" s="121"/>
    </row>
    <row r="73" spans="1:11" ht="10.5" customHeight="1">
      <c r="B73" s="1009"/>
      <c r="C73" s="125"/>
      <c r="D73" s="110"/>
      <c r="E73" s="110"/>
      <c r="F73" s="110"/>
      <c r="G73" s="110"/>
      <c r="H73" s="110"/>
      <c r="I73" s="126"/>
    </row>
    <row r="74" spans="1:11" ht="12" customHeight="1">
      <c r="B74" s="1010"/>
      <c r="C74" s="122"/>
      <c r="D74" s="25"/>
      <c r="E74" s="25"/>
      <c r="F74" s="25"/>
      <c r="G74" s="25"/>
      <c r="H74" s="25"/>
      <c r="I74" s="123"/>
    </row>
    <row r="75" spans="1:11">
      <c r="A75" s="978" t="s">
        <v>533</v>
      </c>
      <c r="B75" s="979"/>
      <c r="C75" s="979"/>
      <c r="D75" s="979"/>
      <c r="E75" s="979"/>
      <c r="F75" s="979"/>
      <c r="G75" s="979"/>
      <c r="H75" s="979"/>
      <c r="I75" s="985"/>
    </row>
    <row r="76" spans="1:11" ht="11.25" customHeight="1">
      <c r="B76" s="118"/>
      <c r="C76" s="1012" t="s">
        <v>534</v>
      </c>
      <c r="D76" s="1012" t="s">
        <v>535</v>
      </c>
      <c r="E76" s="1012" t="s">
        <v>536</v>
      </c>
      <c r="F76" s="1012" t="s">
        <v>85</v>
      </c>
      <c r="G76" s="1022" t="s">
        <v>537</v>
      </c>
      <c r="H76" s="986" t="s">
        <v>538</v>
      </c>
      <c r="I76" s="987"/>
    </row>
    <row r="77" spans="1:11" ht="17.25" customHeight="1">
      <c r="B77" s="119"/>
      <c r="C77" s="1013"/>
      <c r="D77" s="1013"/>
      <c r="E77" s="1013"/>
      <c r="F77" s="1013"/>
      <c r="G77" s="1023"/>
      <c r="H77" s="988"/>
      <c r="I77" s="989"/>
    </row>
    <row r="78" spans="1:11" ht="11.25" customHeight="1">
      <c r="B78" s="1008" t="s">
        <v>526</v>
      </c>
      <c r="C78" s="120"/>
      <c r="D78" s="124"/>
      <c r="E78" s="124"/>
      <c r="F78" s="124"/>
      <c r="G78" s="124"/>
      <c r="H78" s="124"/>
      <c r="I78" s="121"/>
    </row>
    <row r="79" spans="1:11" ht="11.25" customHeight="1">
      <c r="B79" s="1009"/>
      <c r="C79" s="125"/>
      <c r="D79" s="110"/>
      <c r="E79" s="110"/>
      <c r="F79" s="110"/>
      <c r="G79" s="110"/>
      <c r="H79" s="110"/>
      <c r="I79" s="126"/>
    </row>
    <row r="80" spans="1:11" ht="14.25" customHeight="1">
      <c r="B80" s="1010"/>
      <c r="C80" s="122"/>
      <c r="D80" s="25"/>
      <c r="E80" s="25"/>
      <c r="F80" s="25"/>
      <c r="G80" s="25"/>
      <c r="H80" s="25"/>
      <c r="I80" s="123"/>
    </row>
    <row r="81" spans="1:9">
      <c r="B81" s="1008" t="s">
        <v>527</v>
      </c>
      <c r="C81" s="120"/>
      <c r="D81" s="124"/>
      <c r="E81" s="124"/>
      <c r="F81" s="124"/>
      <c r="G81" s="124"/>
      <c r="H81" s="124"/>
      <c r="I81" s="121"/>
    </row>
    <row r="82" spans="1:9" ht="10.5" customHeight="1">
      <c r="B82" s="1009"/>
      <c r="C82" s="125"/>
      <c r="D82" s="110"/>
      <c r="E82" s="110"/>
      <c r="F82" s="110"/>
      <c r="G82" s="110"/>
      <c r="H82" s="110"/>
      <c r="I82" s="126"/>
    </row>
    <row r="83" spans="1:9" ht="12" customHeight="1">
      <c r="B83" s="1010"/>
      <c r="C83" s="122"/>
      <c r="D83" s="25"/>
      <c r="E83" s="25"/>
      <c r="F83" s="25"/>
      <c r="G83" s="25"/>
      <c r="H83" s="25"/>
      <c r="I83" s="123"/>
    </row>
    <row r="84" spans="1:9">
      <c r="A84" s="978" t="s">
        <v>539</v>
      </c>
      <c r="B84" s="979"/>
      <c r="C84" s="979"/>
      <c r="D84" s="979"/>
      <c r="E84" s="979"/>
      <c r="F84" s="979"/>
      <c r="G84" s="979"/>
      <c r="H84" s="979"/>
      <c r="I84" s="985"/>
    </row>
    <row r="85" spans="1:9" ht="11.25" customHeight="1">
      <c r="B85" s="118"/>
      <c r="C85" s="974" t="s">
        <v>529</v>
      </c>
      <c r="D85" s="964"/>
      <c r="E85" s="974" t="s">
        <v>530</v>
      </c>
      <c r="F85" s="976"/>
      <c r="G85" s="990"/>
      <c r="H85" s="990"/>
      <c r="I85" s="992"/>
    </row>
    <row r="86" spans="1:9" ht="18.75" customHeight="1">
      <c r="B86" s="119"/>
      <c r="C86" s="996"/>
      <c r="D86" s="997"/>
      <c r="E86" s="996"/>
      <c r="F86" s="1011"/>
      <c r="G86" s="1006"/>
      <c r="H86" s="1006"/>
      <c r="I86" s="1007"/>
    </row>
    <row r="87" spans="1:9" ht="13.5" customHeight="1">
      <c r="B87" s="1008" t="s">
        <v>526</v>
      </c>
      <c r="C87" s="120"/>
      <c r="D87" s="124"/>
      <c r="E87" s="124"/>
      <c r="F87" s="124"/>
      <c r="G87" s="124"/>
      <c r="H87" s="124"/>
      <c r="I87" s="121"/>
    </row>
    <row r="88" spans="1:9" ht="11.25" customHeight="1">
      <c r="B88" s="1009"/>
      <c r="C88" s="125"/>
      <c r="D88" s="110"/>
      <c r="E88" s="110"/>
      <c r="F88" s="110"/>
      <c r="G88" s="110"/>
      <c r="H88" s="110"/>
      <c r="I88" s="126"/>
    </row>
    <row r="89" spans="1:9" ht="14.25" customHeight="1">
      <c r="B89" s="1010"/>
      <c r="C89" s="122"/>
      <c r="D89" s="25"/>
      <c r="E89" s="25"/>
      <c r="F89" s="25"/>
      <c r="G89" s="25"/>
      <c r="H89" s="25"/>
      <c r="I89" s="123"/>
    </row>
    <row r="90" spans="1:9">
      <c r="B90" s="1008" t="s">
        <v>527</v>
      </c>
      <c r="C90" s="120"/>
      <c r="D90" s="124"/>
      <c r="E90" s="124"/>
      <c r="F90" s="124"/>
      <c r="G90" s="124"/>
      <c r="H90" s="124"/>
      <c r="I90" s="121"/>
    </row>
    <row r="91" spans="1:9" ht="10.5" customHeight="1">
      <c r="B91" s="1009"/>
      <c r="C91" s="125"/>
      <c r="D91" s="110"/>
      <c r="E91" s="110"/>
      <c r="F91" s="110"/>
      <c r="G91" s="110"/>
      <c r="H91" s="110"/>
      <c r="I91" s="126"/>
    </row>
    <row r="92" spans="1:9" ht="12" customHeight="1">
      <c r="B92" s="1010"/>
      <c r="C92" s="122"/>
      <c r="D92" s="25"/>
      <c r="E92" s="25"/>
      <c r="F92" s="25"/>
      <c r="G92" s="25"/>
      <c r="H92" s="25"/>
      <c r="I92" s="123"/>
    </row>
    <row r="93" spans="1:9">
      <c r="A93" s="978" t="s">
        <v>540</v>
      </c>
      <c r="B93" s="979"/>
      <c r="C93" s="979"/>
      <c r="D93" s="979"/>
      <c r="E93" s="979"/>
      <c r="F93" s="979"/>
      <c r="G93" s="979"/>
      <c r="H93" s="979"/>
      <c r="I93" s="985"/>
    </row>
    <row r="94" spans="1:9" ht="11.25" customHeight="1">
      <c r="B94" s="118"/>
      <c r="C94" s="974" t="s">
        <v>529</v>
      </c>
      <c r="D94" s="964"/>
      <c r="E94" s="974" t="s">
        <v>541</v>
      </c>
      <c r="F94" s="976"/>
      <c r="G94" s="974" t="s">
        <v>542</v>
      </c>
      <c r="H94" s="976"/>
      <c r="I94" s="992"/>
    </row>
    <row r="95" spans="1:9" ht="18" customHeight="1">
      <c r="B95" s="119"/>
      <c r="C95" s="996"/>
      <c r="D95" s="997"/>
      <c r="E95" s="996"/>
      <c r="F95" s="1011"/>
      <c r="G95" s="996"/>
      <c r="H95" s="1011"/>
      <c r="I95" s="1007"/>
    </row>
    <row r="96" spans="1:9">
      <c r="B96" s="1008" t="s">
        <v>526</v>
      </c>
      <c r="C96" s="120"/>
      <c r="D96" s="124"/>
      <c r="E96" s="124"/>
      <c r="F96" s="124"/>
      <c r="G96" s="124"/>
      <c r="H96" s="124"/>
      <c r="I96" s="121"/>
    </row>
    <row r="97" spans="1:9" ht="11.25" customHeight="1">
      <c r="B97" s="1009"/>
      <c r="C97" s="125"/>
      <c r="D97" s="110"/>
      <c r="E97" s="110"/>
      <c r="F97" s="110"/>
      <c r="G97" s="110"/>
      <c r="H97" s="110"/>
      <c r="I97" s="126"/>
    </row>
    <row r="98" spans="1:9" ht="14.25" customHeight="1">
      <c r="B98" s="1010"/>
      <c r="C98" s="122"/>
      <c r="D98" s="25"/>
      <c r="E98" s="25"/>
      <c r="F98" s="25"/>
      <c r="G98" s="25"/>
      <c r="H98" s="25"/>
      <c r="I98" s="123"/>
    </row>
    <row r="99" spans="1:9">
      <c r="B99" s="1008" t="s">
        <v>527</v>
      </c>
      <c r="C99" s="120"/>
      <c r="D99" s="124"/>
      <c r="E99" s="124"/>
      <c r="F99" s="124"/>
      <c r="G99" s="124"/>
      <c r="H99" s="124"/>
      <c r="I99" s="121"/>
    </row>
    <row r="100" spans="1:9" ht="10.5" customHeight="1">
      <c r="B100" s="1009"/>
      <c r="C100" s="125"/>
      <c r="D100" s="110"/>
      <c r="E100" s="110"/>
      <c r="F100" s="110"/>
      <c r="G100" s="110"/>
      <c r="H100" s="110"/>
      <c r="I100" s="126"/>
    </row>
    <row r="101" spans="1:9" ht="12" customHeight="1">
      <c r="B101" s="1010"/>
      <c r="C101" s="122"/>
      <c r="D101" s="25"/>
      <c r="E101" s="25"/>
      <c r="F101" s="25"/>
      <c r="G101" s="25"/>
      <c r="H101" s="25"/>
      <c r="I101" s="123"/>
    </row>
    <row r="102" spans="1:9">
      <c r="A102" s="978" t="s">
        <v>543</v>
      </c>
      <c r="B102" s="979"/>
      <c r="C102" s="979"/>
      <c r="D102" s="979"/>
      <c r="E102" s="979"/>
      <c r="F102" s="979"/>
      <c r="G102" s="979"/>
      <c r="H102" s="979"/>
      <c r="I102" s="985"/>
    </row>
    <row r="103" spans="1:9" ht="11.25" customHeight="1">
      <c r="B103" s="994"/>
      <c r="C103" s="986" t="s">
        <v>529</v>
      </c>
      <c r="D103" s="987"/>
      <c r="E103" s="986" t="s">
        <v>530</v>
      </c>
      <c r="F103" s="1004"/>
      <c r="G103" s="990"/>
      <c r="H103" s="990"/>
      <c r="I103" s="992"/>
    </row>
    <row r="104" spans="1:9" ht="15" customHeight="1">
      <c r="B104" s="995"/>
      <c r="C104" s="1002"/>
      <c r="D104" s="1003"/>
      <c r="E104" s="1002"/>
      <c r="F104" s="1005"/>
      <c r="G104" s="991"/>
      <c r="H104" s="991"/>
      <c r="I104" s="993"/>
    </row>
    <row r="105" spans="1:9" ht="11.25" customHeight="1">
      <c r="B105" s="983"/>
      <c r="C105" s="120"/>
      <c r="D105" s="124"/>
      <c r="E105" s="124"/>
      <c r="F105" s="124"/>
      <c r="G105" s="124"/>
      <c r="H105" s="124"/>
      <c r="I105" s="121"/>
    </row>
    <row r="106" spans="1:9" ht="11.25" customHeight="1">
      <c r="B106" s="983"/>
      <c r="C106" s="125"/>
      <c r="D106" s="110"/>
      <c r="E106" s="110"/>
      <c r="F106" s="110"/>
      <c r="G106" s="110"/>
      <c r="H106" s="110"/>
      <c r="I106" s="126"/>
    </row>
    <row r="107" spans="1:9" ht="14.25" customHeight="1">
      <c r="B107" s="983"/>
      <c r="C107" s="125"/>
      <c r="D107" s="110"/>
      <c r="E107" s="110"/>
      <c r="F107" s="110"/>
      <c r="G107" s="110"/>
      <c r="H107" s="110"/>
      <c r="I107" s="126"/>
    </row>
    <row r="108" spans="1:9" ht="9.75" customHeight="1">
      <c r="B108" s="983"/>
      <c r="C108" s="125"/>
      <c r="D108" s="110"/>
      <c r="E108" s="110"/>
      <c r="F108" s="110"/>
      <c r="G108" s="110"/>
      <c r="H108" s="110"/>
      <c r="I108" s="126"/>
    </row>
    <row r="109" spans="1:9" ht="10.5" customHeight="1">
      <c r="B109" s="983"/>
      <c r="C109" s="125"/>
      <c r="D109" s="110"/>
      <c r="E109" s="110"/>
      <c r="F109" s="110"/>
      <c r="G109" s="110"/>
      <c r="H109" s="110"/>
      <c r="I109" s="126"/>
    </row>
    <row r="110" spans="1:9" ht="12" customHeight="1">
      <c r="B110" s="984"/>
      <c r="C110" s="122"/>
      <c r="D110" s="25"/>
      <c r="E110" s="25"/>
      <c r="F110" s="25"/>
      <c r="G110" s="25"/>
      <c r="H110" s="25"/>
      <c r="I110" s="123"/>
    </row>
    <row r="111" spans="1:9">
      <c r="A111" s="978" t="s">
        <v>544</v>
      </c>
      <c r="B111" s="979"/>
      <c r="C111" s="1018"/>
      <c r="D111" s="1018"/>
      <c r="E111" s="1018"/>
      <c r="F111" s="1018"/>
      <c r="G111" s="1018"/>
      <c r="H111" s="1018"/>
      <c r="I111" s="1019"/>
    </row>
    <row r="112" spans="1:9" ht="11.25" customHeight="1">
      <c r="B112" s="998" t="s">
        <v>545</v>
      </c>
      <c r="C112" s="1014" t="s">
        <v>535</v>
      </c>
      <c r="D112" s="1015"/>
      <c r="E112" s="1020" t="s">
        <v>85</v>
      </c>
      <c r="F112" s="1014" t="s">
        <v>546</v>
      </c>
      <c r="G112" s="1015"/>
      <c r="H112" s="1014" t="s">
        <v>547</v>
      </c>
      <c r="I112" s="1015"/>
    </row>
    <row r="113" spans="2:9" ht="17.25" customHeight="1">
      <c r="B113" s="999"/>
      <c r="C113" s="1016"/>
      <c r="D113" s="1017"/>
      <c r="E113" s="1021"/>
      <c r="F113" s="1016"/>
      <c r="G113" s="1017"/>
      <c r="H113" s="1016"/>
      <c r="I113" s="1017"/>
    </row>
    <row r="114" spans="2:9">
      <c r="B114" s="1000"/>
      <c r="C114" s="120"/>
      <c r="D114" s="124"/>
      <c r="E114" s="124"/>
      <c r="F114" s="124"/>
      <c r="G114" s="124"/>
      <c r="H114" s="124"/>
      <c r="I114" s="121"/>
    </row>
    <row r="115" spans="2:9" ht="11.25" customHeight="1">
      <c r="B115" s="1000"/>
      <c r="C115" s="125"/>
      <c r="D115" s="110"/>
      <c r="E115" s="110"/>
      <c r="F115" s="110"/>
      <c r="G115" s="110"/>
      <c r="H115" s="110"/>
      <c r="I115" s="126"/>
    </row>
    <row r="116" spans="2:9" ht="14.25" customHeight="1">
      <c r="B116" s="1000"/>
      <c r="C116" s="125"/>
      <c r="D116" s="110"/>
      <c r="E116" s="110"/>
      <c r="F116" s="110"/>
      <c r="G116" s="110"/>
      <c r="H116" s="110"/>
      <c r="I116" s="126"/>
    </row>
    <row r="117" spans="2:9">
      <c r="B117" s="1000"/>
      <c r="C117" s="125"/>
      <c r="D117" s="110"/>
      <c r="E117" s="110"/>
      <c r="F117" s="110"/>
      <c r="G117" s="110"/>
      <c r="H117" s="110"/>
      <c r="I117" s="126"/>
    </row>
    <row r="118" spans="2:9" ht="10.5" customHeight="1">
      <c r="B118" s="1000"/>
      <c r="C118" s="125"/>
      <c r="D118" s="110"/>
      <c r="E118" s="110"/>
      <c r="F118" s="110"/>
      <c r="G118" s="110"/>
      <c r="H118" s="110"/>
      <c r="I118" s="126"/>
    </row>
    <row r="119" spans="2:9" ht="12" customHeight="1">
      <c r="B119" s="1001"/>
      <c r="C119" s="122"/>
      <c r="D119" s="25"/>
      <c r="E119" s="25"/>
      <c r="F119" s="25"/>
      <c r="G119" s="25"/>
      <c r="H119" s="25"/>
      <c r="I119" s="123"/>
    </row>
    <row r="120" spans="2:9" ht="10.5" customHeight="1">
      <c r="B120" s="118"/>
      <c r="C120" s="125"/>
      <c r="D120" s="110"/>
      <c r="E120" s="110"/>
      <c r="F120" s="110"/>
      <c r="G120" s="110"/>
      <c r="H120" s="110"/>
      <c r="I120" s="126"/>
    </row>
    <row r="121" spans="2:9">
      <c r="B121" s="138" t="s">
        <v>548</v>
      </c>
      <c r="C121" s="125"/>
      <c r="D121" s="110"/>
      <c r="E121" s="110"/>
      <c r="F121" s="110"/>
      <c r="G121" s="110"/>
      <c r="H121" s="110"/>
      <c r="I121" s="126"/>
    </row>
    <row r="122" spans="2:9">
      <c r="B122" s="138" t="s">
        <v>549</v>
      </c>
      <c r="C122" s="125"/>
      <c r="D122" s="110"/>
      <c r="E122" s="110"/>
      <c r="F122" s="110"/>
      <c r="G122" s="110"/>
      <c r="H122" s="110"/>
      <c r="I122" s="126"/>
    </row>
    <row r="123" spans="2:9">
      <c r="B123" s="139" t="s">
        <v>550</v>
      </c>
      <c r="C123" s="122"/>
      <c r="D123" s="25"/>
      <c r="E123" s="25"/>
      <c r="F123" s="25"/>
      <c r="G123" s="25"/>
      <c r="H123" s="25"/>
      <c r="I123" s="123"/>
    </row>
    <row r="124" spans="2:9" ht="9.75" customHeight="1">
      <c r="B124" s="128"/>
      <c r="C124" s="120"/>
      <c r="D124" s="124"/>
      <c r="E124" s="124"/>
      <c r="F124" s="124"/>
      <c r="G124" s="124"/>
      <c r="H124" s="124"/>
      <c r="I124" s="121"/>
    </row>
    <row r="125" spans="2:9" ht="7.5" customHeight="1">
      <c r="B125" s="127"/>
      <c r="C125" s="125"/>
      <c r="D125" s="110"/>
      <c r="E125" s="110"/>
      <c r="F125" s="110"/>
      <c r="G125" s="110"/>
      <c r="H125" s="110"/>
      <c r="I125" s="126"/>
    </row>
    <row r="126" spans="2:9">
      <c r="B126" s="138" t="s">
        <v>551</v>
      </c>
      <c r="C126" s="125"/>
      <c r="D126" s="110"/>
      <c r="E126" s="110"/>
      <c r="F126" s="110"/>
      <c r="G126" s="110"/>
      <c r="H126" s="110"/>
      <c r="I126" s="126"/>
    </row>
    <row r="127" spans="2:9">
      <c r="B127" s="139" t="s">
        <v>552</v>
      </c>
      <c r="C127" s="122"/>
      <c r="D127" s="25"/>
      <c r="E127" s="25"/>
      <c r="F127" s="25"/>
      <c r="G127" s="25"/>
      <c r="H127" s="25"/>
      <c r="I127" s="123"/>
    </row>
    <row r="128" spans="2:9">
      <c r="B128" s="151"/>
      <c r="C128" s="110"/>
      <c r="D128" s="110"/>
      <c r="E128" s="110"/>
      <c r="F128" s="110"/>
      <c r="G128" s="110"/>
      <c r="H128" s="110"/>
      <c r="I128" s="110"/>
    </row>
    <row r="129" spans="1:11" s="110" customFormat="1">
      <c r="A129" s="969" t="s">
        <v>553</v>
      </c>
      <c r="B129" s="970"/>
      <c r="C129" s="970"/>
      <c r="D129" s="970"/>
      <c r="E129" s="970"/>
      <c r="F129" s="970"/>
      <c r="G129" s="970"/>
      <c r="H129" s="970"/>
      <c r="I129" s="970"/>
      <c r="J129" s="626"/>
      <c r="K129" s="626"/>
    </row>
    <row r="130" spans="1:11" s="110" customFormat="1">
      <c r="A130" s="520"/>
      <c r="B130" s="521"/>
      <c r="C130" s="521"/>
      <c r="D130" s="521"/>
      <c r="E130" s="521"/>
      <c r="F130" s="521"/>
      <c r="G130" s="521"/>
      <c r="H130" s="521"/>
      <c r="I130" s="521"/>
      <c r="J130" s="626"/>
      <c r="K130" s="626"/>
    </row>
    <row r="131" spans="1:11">
      <c r="A131" s="978" t="s">
        <v>554</v>
      </c>
      <c r="B131" s="979"/>
      <c r="C131" s="979"/>
      <c r="D131" s="979"/>
      <c r="E131" s="979"/>
      <c r="F131" s="979"/>
      <c r="G131" s="979"/>
      <c r="H131" s="979"/>
      <c r="I131" s="985"/>
    </row>
    <row r="132" spans="1:11" ht="11.25" customHeight="1">
      <c r="B132" s="998" t="s">
        <v>555</v>
      </c>
      <c r="C132" s="986" t="s">
        <v>535</v>
      </c>
      <c r="D132" s="987"/>
      <c r="E132" s="986" t="s">
        <v>85</v>
      </c>
      <c r="F132" s="1004"/>
      <c r="G132" s="990"/>
      <c r="H132" s="990"/>
      <c r="I132" s="992"/>
    </row>
    <row r="133" spans="1:11" ht="15" customHeight="1">
      <c r="B133" s="999"/>
      <c r="C133" s="1002"/>
      <c r="D133" s="1003"/>
      <c r="E133" s="1002"/>
      <c r="F133" s="1005"/>
      <c r="G133" s="991"/>
      <c r="H133" s="991"/>
      <c r="I133" s="993"/>
    </row>
    <row r="134" spans="1:11">
      <c r="B134" s="1000"/>
      <c r="C134" s="120"/>
      <c r="D134" s="124"/>
      <c r="E134" s="124"/>
      <c r="F134" s="124"/>
      <c r="G134" s="124"/>
      <c r="H134" s="124"/>
      <c r="I134" s="121"/>
    </row>
    <row r="135" spans="1:11" ht="11.25" customHeight="1">
      <c r="B135" s="1000"/>
      <c r="C135" s="125"/>
      <c r="D135" s="110"/>
      <c r="E135" s="110"/>
      <c r="F135" s="110"/>
      <c r="G135" s="110"/>
      <c r="H135" s="110"/>
      <c r="I135" s="126"/>
    </row>
    <row r="136" spans="1:11" ht="14.25" customHeight="1">
      <c r="B136" s="1000"/>
      <c r="C136" s="125"/>
      <c r="D136" s="110"/>
      <c r="E136" s="110"/>
      <c r="F136" s="110"/>
      <c r="G136" s="110"/>
      <c r="H136" s="110"/>
      <c r="I136" s="126"/>
    </row>
    <row r="137" spans="1:11">
      <c r="B137" s="1000"/>
      <c r="C137" s="125"/>
      <c r="D137" s="110"/>
      <c r="E137" s="110"/>
      <c r="F137" s="110"/>
      <c r="G137" s="110"/>
      <c r="H137" s="110"/>
      <c r="I137" s="126"/>
    </row>
    <row r="138" spans="1:11" ht="10.5" customHeight="1">
      <c r="B138" s="1000"/>
      <c r="C138" s="125"/>
      <c r="D138" s="110"/>
      <c r="E138" s="110"/>
      <c r="F138" s="110"/>
      <c r="G138" s="110"/>
      <c r="H138" s="110"/>
      <c r="I138" s="126"/>
    </row>
    <row r="139" spans="1:11" ht="12" customHeight="1">
      <c r="B139" s="1001"/>
      <c r="C139" s="122"/>
      <c r="D139" s="25"/>
      <c r="E139" s="25"/>
      <c r="F139" s="25"/>
      <c r="G139" s="25"/>
      <c r="H139" s="25"/>
      <c r="I139" s="123"/>
    </row>
    <row r="140" spans="1:11">
      <c r="A140" s="978" t="s">
        <v>556</v>
      </c>
      <c r="B140" s="979"/>
      <c r="C140" s="979"/>
      <c r="D140" s="979"/>
      <c r="E140" s="979"/>
      <c r="F140" s="979"/>
      <c r="G140" s="979"/>
      <c r="H140" s="979"/>
      <c r="I140" s="985"/>
    </row>
    <row r="141" spans="1:11" ht="11.25" customHeight="1">
      <c r="B141" s="994"/>
      <c r="C141" s="974" t="s">
        <v>535</v>
      </c>
      <c r="D141" s="964"/>
      <c r="E141" s="974" t="s">
        <v>557</v>
      </c>
      <c r="F141" s="964"/>
      <c r="G141" s="976" t="s">
        <v>85</v>
      </c>
      <c r="H141" s="976"/>
      <c r="I141" s="964"/>
    </row>
    <row r="142" spans="1:11" ht="15" customHeight="1">
      <c r="B142" s="995"/>
      <c r="C142" s="975"/>
      <c r="D142" s="965"/>
      <c r="E142" s="996"/>
      <c r="F142" s="997"/>
      <c r="G142" s="977"/>
      <c r="H142" s="977"/>
      <c r="I142" s="965"/>
    </row>
    <row r="143" spans="1:11">
      <c r="B143" s="983"/>
      <c r="C143" s="120"/>
      <c r="D143" s="124"/>
      <c r="E143" s="124"/>
      <c r="F143" s="124"/>
      <c r="G143" s="124"/>
      <c r="H143" s="124"/>
      <c r="I143" s="121"/>
    </row>
    <row r="144" spans="1:11">
      <c r="B144" s="983"/>
      <c r="C144" s="125"/>
      <c r="D144" s="110"/>
      <c r="E144" s="110"/>
      <c r="F144" s="110"/>
      <c r="G144" s="110"/>
      <c r="H144" s="110"/>
      <c r="I144" s="126"/>
    </row>
    <row r="145" spans="1:9">
      <c r="B145" s="983"/>
      <c r="C145" s="125"/>
      <c r="D145" s="110"/>
      <c r="E145" s="110"/>
      <c r="F145" s="110"/>
      <c r="G145" s="110"/>
      <c r="H145" s="110"/>
      <c r="I145" s="126"/>
    </row>
    <row r="146" spans="1:9" ht="11.25" customHeight="1">
      <c r="B146" s="983"/>
      <c r="C146" s="125"/>
      <c r="D146" s="110"/>
      <c r="E146" s="110"/>
      <c r="F146" s="110"/>
      <c r="G146" s="110"/>
      <c r="H146" s="110"/>
      <c r="I146" s="126"/>
    </row>
    <row r="147" spans="1:9" ht="14.25" customHeight="1">
      <c r="B147" s="984"/>
      <c r="C147" s="122"/>
      <c r="D147" s="25"/>
      <c r="E147" s="25"/>
      <c r="F147" s="25"/>
      <c r="G147" s="25"/>
      <c r="H147" s="25"/>
      <c r="I147" s="123"/>
    </row>
    <row r="148" spans="1:9">
      <c r="A148" s="978" t="s">
        <v>558</v>
      </c>
      <c r="B148" s="979"/>
      <c r="C148" s="979"/>
      <c r="D148" s="979"/>
      <c r="E148" s="979"/>
      <c r="F148" s="979"/>
      <c r="G148" s="979"/>
      <c r="H148" s="979"/>
      <c r="I148" s="985"/>
    </row>
    <row r="149" spans="1:9" ht="11.25" customHeight="1">
      <c r="B149" s="998" t="s">
        <v>559</v>
      </c>
      <c r="C149" s="986" t="s">
        <v>535</v>
      </c>
      <c r="D149" s="987"/>
      <c r="E149" s="986" t="s">
        <v>85</v>
      </c>
      <c r="F149" s="1004"/>
      <c r="G149" s="990"/>
      <c r="H149" s="990"/>
      <c r="I149" s="992"/>
    </row>
    <row r="150" spans="1:9" ht="17.25" customHeight="1">
      <c r="B150" s="999"/>
      <c r="C150" s="1002"/>
      <c r="D150" s="1003"/>
      <c r="E150" s="1002"/>
      <c r="F150" s="1005"/>
      <c r="G150" s="991"/>
      <c r="H150" s="991"/>
      <c r="I150" s="993"/>
    </row>
    <row r="151" spans="1:9">
      <c r="B151" s="1000"/>
      <c r="C151" s="120"/>
      <c r="D151" s="124"/>
      <c r="E151" s="124"/>
      <c r="F151" s="124"/>
      <c r="G151" s="124"/>
      <c r="H151" s="124"/>
      <c r="I151" s="121"/>
    </row>
    <row r="152" spans="1:9" ht="11.25" customHeight="1">
      <c r="B152" s="1000"/>
      <c r="C152" s="125"/>
      <c r="D152" s="110"/>
      <c r="E152" s="110"/>
      <c r="F152" s="110"/>
      <c r="G152" s="110"/>
      <c r="H152" s="110"/>
      <c r="I152" s="126"/>
    </row>
    <row r="153" spans="1:9" ht="14.25" customHeight="1">
      <c r="B153" s="1000"/>
      <c r="C153" s="125"/>
      <c r="D153" s="110"/>
      <c r="E153" s="110"/>
      <c r="F153" s="110"/>
      <c r="G153" s="110"/>
      <c r="H153" s="110"/>
      <c r="I153" s="126"/>
    </row>
    <row r="154" spans="1:9">
      <c r="B154" s="1000"/>
      <c r="C154" s="125"/>
      <c r="D154" s="110"/>
      <c r="E154" s="110"/>
      <c r="F154" s="110"/>
      <c r="G154" s="110"/>
      <c r="H154" s="110"/>
      <c r="I154" s="126"/>
    </row>
    <row r="155" spans="1:9" ht="10.5" customHeight="1">
      <c r="B155" s="1000"/>
      <c r="C155" s="125"/>
      <c r="D155" s="110"/>
      <c r="E155" s="110"/>
      <c r="F155" s="110"/>
      <c r="G155" s="110"/>
      <c r="H155" s="110"/>
      <c r="I155" s="126"/>
    </row>
    <row r="156" spans="1:9" ht="12" customHeight="1">
      <c r="B156" s="1001"/>
      <c r="C156" s="122"/>
      <c r="D156" s="25"/>
      <c r="E156" s="25"/>
      <c r="F156" s="25"/>
      <c r="G156" s="25"/>
      <c r="H156" s="25"/>
      <c r="I156" s="123"/>
    </row>
    <row r="157" spans="1:9">
      <c r="B157" s="118"/>
      <c r="C157" s="124"/>
      <c r="D157" s="124"/>
      <c r="E157" s="124"/>
      <c r="F157" s="124"/>
      <c r="G157" s="124"/>
      <c r="H157" s="124"/>
      <c r="I157" s="121"/>
    </row>
    <row r="158" spans="1:9">
      <c r="B158" s="138" t="s">
        <v>560</v>
      </c>
      <c r="C158" s="110"/>
      <c r="D158" s="110"/>
      <c r="E158" s="110"/>
      <c r="F158" s="110"/>
      <c r="G158" s="110"/>
      <c r="H158" s="110"/>
      <c r="I158" s="126"/>
    </row>
    <row r="159" spans="1:9">
      <c r="B159" s="127" t="s">
        <v>561</v>
      </c>
      <c r="C159" s="110"/>
      <c r="D159" s="110"/>
      <c r="E159" s="110"/>
      <c r="F159" s="110"/>
      <c r="G159" s="110"/>
      <c r="H159" s="110"/>
      <c r="I159" s="126"/>
    </row>
    <row r="160" spans="1:9">
      <c r="B160" s="127"/>
      <c r="C160" s="110"/>
      <c r="D160" s="110"/>
      <c r="E160" s="110"/>
      <c r="F160" s="110"/>
      <c r="G160" s="110"/>
      <c r="H160" s="110"/>
      <c r="I160" s="126"/>
    </row>
    <row r="161" spans="1:9">
      <c r="B161" s="119"/>
      <c r="C161" s="25"/>
      <c r="D161" s="25"/>
      <c r="E161" s="25"/>
      <c r="F161" s="25"/>
      <c r="G161" s="25"/>
      <c r="H161" s="25"/>
      <c r="I161" s="123"/>
    </row>
    <row r="162" spans="1:9">
      <c r="A162" s="978" t="s">
        <v>562</v>
      </c>
      <c r="B162" s="979"/>
      <c r="C162" s="979"/>
      <c r="D162" s="979"/>
      <c r="E162" s="979"/>
      <c r="F162" s="979"/>
      <c r="G162" s="979"/>
      <c r="H162" s="979"/>
      <c r="I162" s="985"/>
    </row>
    <row r="163" spans="1:9" ht="11.25" customHeight="1">
      <c r="B163" s="998" t="s">
        <v>563</v>
      </c>
      <c r="C163" s="974" t="s">
        <v>535</v>
      </c>
      <c r="D163" s="964"/>
      <c r="E163" s="974" t="s">
        <v>85</v>
      </c>
      <c r="F163" s="976"/>
      <c r="G163" s="990"/>
      <c r="H163" s="990"/>
      <c r="I163" s="992"/>
    </row>
    <row r="164" spans="1:9" ht="17.25" customHeight="1">
      <c r="B164" s="999"/>
      <c r="C164" s="975"/>
      <c r="D164" s="965"/>
      <c r="E164" s="975"/>
      <c r="F164" s="977"/>
      <c r="G164" s="991"/>
      <c r="H164" s="991"/>
      <c r="I164" s="993"/>
    </row>
    <row r="165" spans="1:9">
      <c r="B165" s="1000"/>
      <c r="C165" s="120"/>
      <c r="D165" s="124"/>
      <c r="E165" s="124"/>
      <c r="F165" s="124"/>
      <c r="G165" s="124"/>
      <c r="H165" s="124"/>
      <c r="I165" s="121"/>
    </row>
    <row r="166" spans="1:9" ht="11.25" customHeight="1">
      <c r="B166" s="1000"/>
      <c r="C166" s="125"/>
      <c r="D166" s="110"/>
      <c r="E166" s="110"/>
      <c r="F166" s="110"/>
      <c r="G166" s="110"/>
      <c r="H166" s="110"/>
      <c r="I166" s="126"/>
    </row>
    <row r="167" spans="1:9" ht="14.25" customHeight="1">
      <c r="B167" s="1000"/>
      <c r="C167" s="125"/>
      <c r="D167" s="110"/>
      <c r="E167" s="110"/>
      <c r="F167" s="110"/>
      <c r="G167" s="110"/>
      <c r="H167" s="110"/>
      <c r="I167" s="126"/>
    </row>
    <row r="168" spans="1:9">
      <c r="B168" s="1000"/>
      <c r="C168" s="125"/>
      <c r="D168" s="110"/>
      <c r="E168" s="110"/>
      <c r="F168" s="110"/>
      <c r="G168" s="110"/>
      <c r="H168" s="110"/>
      <c r="I168" s="126"/>
    </row>
    <row r="169" spans="1:9" ht="10.5" customHeight="1">
      <c r="B169" s="1000"/>
      <c r="C169" s="125"/>
      <c r="D169" s="110"/>
      <c r="E169" s="110"/>
      <c r="F169" s="110"/>
      <c r="G169" s="110"/>
      <c r="H169" s="110"/>
      <c r="I169" s="126"/>
    </row>
    <row r="170" spans="1:9" ht="12" customHeight="1">
      <c r="B170" s="1001"/>
      <c r="C170" s="122"/>
      <c r="D170" s="25"/>
      <c r="E170" s="25"/>
      <c r="F170" s="25"/>
      <c r="G170" s="25"/>
      <c r="H170" s="25"/>
      <c r="I170" s="123"/>
    </row>
    <row r="171" spans="1:9">
      <c r="B171" s="118"/>
      <c r="C171" s="124"/>
      <c r="D171" s="124"/>
      <c r="E171" s="124"/>
      <c r="F171" s="124"/>
      <c r="G171" s="124"/>
      <c r="H171" s="124"/>
      <c r="I171" s="121"/>
    </row>
    <row r="172" spans="1:9">
      <c r="B172" s="138" t="s">
        <v>564</v>
      </c>
      <c r="C172" s="110"/>
      <c r="D172" s="110"/>
      <c r="E172" s="110"/>
      <c r="F172" s="110"/>
      <c r="G172" s="110"/>
      <c r="H172" s="110"/>
      <c r="I172" s="126"/>
    </row>
    <row r="173" spans="1:9">
      <c r="B173" s="140">
        <v>11</v>
      </c>
      <c r="C173" s="110"/>
      <c r="D173" s="110"/>
      <c r="E173" s="110"/>
      <c r="F173" s="110"/>
      <c r="G173" s="110"/>
      <c r="H173" s="110"/>
      <c r="I173" s="126"/>
    </row>
    <row r="174" spans="1:9">
      <c r="B174" s="140"/>
      <c r="C174" s="110"/>
      <c r="D174" s="110"/>
      <c r="E174" s="110"/>
      <c r="F174" s="110"/>
      <c r="G174" s="110"/>
      <c r="H174" s="110"/>
      <c r="I174" s="126"/>
    </row>
    <row r="175" spans="1:9">
      <c r="B175" s="119"/>
      <c r="C175" s="25"/>
      <c r="D175" s="25"/>
      <c r="E175" s="25"/>
      <c r="F175" s="25"/>
      <c r="G175" s="25"/>
      <c r="H175" s="25"/>
      <c r="I175" s="123"/>
    </row>
    <row r="176" spans="1:9">
      <c r="A176" s="978" t="s">
        <v>565</v>
      </c>
      <c r="B176" s="979"/>
      <c r="C176" s="979"/>
      <c r="D176" s="979"/>
      <c r="E176" s="979"/>
      <c r="F176" s="979"/>
      <c r="G176" s="979"/>
      <c r="H176" s="979"/>
      <c r="I176" s="985"/>
    </row>
    <row r="177" spans="1:9" ht="11.25" customHeight="1">
      <c r="B177" s="994"/>
      <c r="C177" s="974" t="s">
        <v>535</v>
      </c>
      <c r="D177" s="964"/>
      <c r="E177" s="974" t="s">
        <v>85</v>
      </c>
      <c r="F177" s="964"/>
      <c r="G177" s="976" t="s">
        <v>566</v>
      </c>
      <c r="H177" s="976"/>
      <c r="I177" s="964"/>
    </row>
    <row r="178" spans="1:9" ht="15" customHeight="1">
      <c r="B178" s="995"/>
      <c r="C178" s="975"/>
      <c r="D178" s="965"/>
      <c r="E178" s="996"/>
      <c r="F178" s="997"/>
      <c r="G178" s="977"/>
      <c r="H178" s="977"/>
      <c r="I178" s="965"/>
    </row>
    <row r="179" spans="1:9">
      <c r="B179" s="983"/>
      <c r="C179" s="120"/>
      <c r="D179" s="124"/>
      <c r="E179" s="124"/>
      <c r="F179" s="124"/>
      <c r="G179" s="124"/>
      <c r="H179" s="124"/>
      <c r="I179" s="121"/>
    </row>
    <row r="180" spans="1:9">
      <c r="B180" s="983"/>
      <c r="C180" s="125"/>
      <c r="D180" s="110"/>
      <c r="E180" s="110"/>
      <c r="F180" s="110"/>
      <c r="G180" s="110"/>
      <c r="H180" s="110"/>
      <c r="I180" s="126"/>
    </row>
    <row r="181" spans="1:9">
      <c r="B181" s="983"/>
      <c r="C181" s="125"/>
      <c r="D181" s="110"/>
      <c r="E181" s="110"/>
      <c r="F181" s="110"/>
      <c r="G181" s="110"/>
      <c r="H181" s="110"/>
      <c r="I181" s="126"/>
    </row>
    <row r="182" spans="1:9" ht="11.25" customHeight="1">
      <c r="B182" s="983"/>
      <c r="C182" s="125"/>
      <c r="D182" s="110"/>
      <c r="E182" s="110"/>
      <c r="F182" s="110"/>
      <c r="G182" s="110"/>
      <c r="H182" s="110"/>
      <c r="I182" s="126"/>
    </row>
    <row r="183" spans="1:9" ht="14.25" customHeight="1">
      <c r="B183" s="984"/>
      <c r="C183" s="122"/>
      <c r="D183" s="25"/>
      <c r="E183" s="25"/>
      <c r="F183" s="25"/>
      <c r="G183" s="25"/>
      <c r="H183" s="25"/>
      <c r="I183" s="123"/>
    </row>
    <row r="184" spans="1:9" ht="14.25" customHeight="1">
      <c r="B184" s="135"/>
      <c r="C184" s="110"/>
      <c r="D184" s="110"/>
      <c r="E184" s="110"/>
      <c r="F184" s="110"/>
      <c r="G184" s="110"/>
      <c r="H184" s="110"/>
      <c r="I184" s="110"/>
    </row>
    <row r="185" spans="1:9" ht="14.25" customHeight="1">
      <c r="B185" s="135"/>
      <c r="C185" s="110"/>
      <c r="D185" s="110"/>
      <c r="E185" s="110"/>
      <c r="F185" s="110"/>
      <c r="G185" s="110"/>
      <c r="H185" s="110"/>
      <c r="I185" s="110"/>
    </row>
    <row r="186" spans="1:9" ht="14.25" customHeight="1">
      <c r="B186" s="135"/>
      <c r="C186" s="110"/>
      <c r="D186" s="110"/>
      <c r="E186" s="110"/>
      <c r="F186" s="110"/>
      <c r="G186" s="110"/>
      <c r="H186" s="110"/>
      <c r="I186" s="110"/>
    </row>
    <row r="187" spans="1:9" ht="14.25" customHeight="1">
      <c r="B187" s="135"/>
      <c r="C187" s="110"/>
      <c r="D187" s="110"/>
      <c r="E187" s="110"/>
      <c r="F187" s="110"/>
      <c r="G187" s="110"/>
      <c r="H187" s="110"/>
      <c r="I187" s="110"/>
    </row>
    <row r="188" spans="1:9" ht="14.25" customHeight="1">
      <c r="B188" s="135"/>
      <c r="C188" s="110"/>
      <c r="D188" s="110"/>
      <c r="E188" s="110"/>
      <c r="F188" s="110"/>
      <c r="G188" s="110"/>
      <c r="H188" s="110"/>
      <c r="I188" s="110"/>
    </row>
    <row r="189" spans="1:9">
      <c r="A189" s="969" t="s">
        <v>567</v>
      </c>
      <c r="B189" s="970"/>
      <c r="C189" s="970"/>
      <c r="D189" s="970"/>
      <c r="E189" s="970"/>
      <c r="F189" s="970"/>
      <c r="G189" s="970"/>
      <c r="H189" s="970"/>
      <c r="I189" s="970"/>
    </row>
    <row r="190" spans="1:9">
      <c r="A190" s="520"/>
      <c r="B190" s="521"/>
      <c r="C190" s="521"/>
      <c r="D190" s="521"/>
      <c r="E190" s="521"/>
      <c r="F190" s="521"/>
      <c r="G190" s="521"/>
      <c r="H190" s="521"/>
      <c r="I190" s="521"/>
    </row>
    <row r="191" spans="1:9">
      <c r="A191" s="978" t="s">
        <v>568</v>
      </c>
      <c r="B191" s="979"/>
      <c r="C191" s="979"/>
      <c r="D191" s="979"/>
      <c r="E191" s="979"/>
      <c r="F191" s="979"/>
      <c r="G191" s="979"/>
      <c r="H191" s="979"/>
      <c r="I191" s="985"/>
    </row>
    <row r="192" spans="1:9">
      <c r="B192" s="458" t="s">
        <v>569</v>
      </c>
      <c r="C192" s="974" t="s">
        <v>570</v>
      </c>
      <c r="D192" s="964"/>
      <c r="E192" s="974" t="s">
        <v>85</v>
      </c>
      <c r="F192" s="976"/>
      <c r="G192" s="990"/>
      <c r="H192" s="990"/>
      <c r="I192" s="992"/>
    </row>
    <row r="193" spans="2:9">
      <c r="B193" s="137" t="s">
        <v>571</v>
      </c>
      <c r="C193" s="975"/>
      <c r="D193" s="965"/>
      <c r="E193" s="975"/>
      <c r="F193" s="977"/>
      <c r="G193" s="991"/>
      <c r="H193" s="991"/>
      <c r="I193" s="993"/>
    </row>
    <row r="194" spans="2:9">
      <c r="B194" s="457"/>
      <c r="C194" s="120"/>
      <c r="D194" s="124"/>
      <c r="E194" s="124"/>
      <c r="F194" s="124"/>
      <c r="G194" s="124"/>
      <c r="H194" s="124"/>
      <c r="I194" s="121"/>
    </row>
    <row r="195" spans="2:9" ht="11.25" customHeight="1">
      <c r="B195" s="457"/>
      <c r="C195" s="125"/>
      <c r="D195" s="110"/>
      <c r="E195" s="110"/>
      <c r="F195" s="110"/>
      <c r="G195" s="110"/>
      <c r="H195" s="110"/>
      <c r="I195" s="126"/>
    </row>
    <row r="196" spans="2:9" ht="14.25" customHeight="1">
      <c r="B196" s="141" t="s">
        <v>572</v>
      </c>
      <c r="C196" s="125"/>
      <c r="D196" s="110"/>
      <c r="E196" s="110"/>
      <c r="F196" s="110"/>
      <c r="G196" s="110"/>
      <c r="H196" s="110"/>
      <c r="I196" s="126"/>
    </row>
    <row r="197" spans="2:9" ht="14.25" customHeight="1">
      <c r="B197" s="141"/>
      <c r="C197" s="125"/>
      <c r="D197" s="110"/>
      <c r="E197" s="110"/>
      <c r="F197" s="110"/>
      <c r="G197" s="110"/>
      <c r="H197" s="110"/>
      <c r="I197" s="126"/>
    </row>
    <row r="198" spans="2:9" ht="14.25" customHeight="1">
      <c r="B198" s="141"/>
      <c r="C198" s="125"/>
      <c r="D198" s="110"/>
      <c r="E198" s="110"/>
      <c r="F198" s="110"/>
      <c r="G198" s="110"/>
      <c r="H198" s="110"/>
      <c r="I198" s="126"/>
    </row>
    <row r="199" spans="2:9" ht="10.5" customHeight="1">
      <c r="B199" s="457"/>
      <c r="C199" s="125"/>
      <c r="D199" s="110"/>
      <c r="E199" s="110"/>
      <c r="F199" s="110"/>
      <c r="G199" s="110"/>
      <c r="H199" s="110"/>
      <c r="I199" s="126"/>
    </row>
    <row r="200" spans="2:9" ht="12" customHeight="1">
      <c r="B200" s="136"/>
      <c r="C200" s="122"/>
      <c r="D200" s="25"/>
      <c r="E200" s="25"/>
      <c r="F200" s="25"/>
      <c r="G200" s="25"/>
      <c r="H200" s="25"/>
      <c r="I200" s="123"/>
    </row>
    <row r="201" spans="2:9">
      <c r="B201" s="118"/>
      <c r="C201" s="124"/>
      <c r="D201" s="124"/>
      <c r="E201" s="124"/>
      <c r="F201" s="124"/>
      <c r="G201" s="124"/>
      <c r="H201" s="124"/>
      <c r="I201" s="121"/>
    </row>
    <row r="202" spans="2:9">
      <c r="B202" s="138" t="s">
        <v>573</v>
      </c>
      <c r="C202" s="110"/>
      <c r="D202" s="110"/>
      <c r="E202" s="110"/>
      <c r="F202" s="110"/>
      <c r="G202" s="110"/>
      <c r="H202" s="110"/>
      <c r="I202" s="126"/>
    </row>
    <row r="203" spans="2:9">
      <c r="B203" s="138" t="s">
        <v>574</v>
      </c>
      <c r="C203" s="110"/>
      <c r="D203" s="110"/>
      <c r="E203" s="110"/>
      <c r="F203" s="110"/>
      <c r="G203" s="110"/>
      <c r="H203" s="110"/>
      <c r="I203" s="126"/>
    </row>
    <row r="204" spans="2:9">
      <c r="B204" s="138" t="s">
        <v>575</v>
      </c>
      <c r="C204" s="110"/>
      <c r="D204" s="110"/>
      <c r="E204" s="110"/>
      <c r="F204" s="110"/>
      <c r="G204" s="110"/>
      <c r="H204" s="110"/>
      <c r="I204" s="126"/>
    </row>
    <row r="205" spans="2:9">
      <c r="B205" s="138" t="s">
        <v>576</v>
      </c>
      <c r="C205" s="110"/>
      <c r="D205" s="110"/>
      <c r="E205" s="110"/>
      <c r="F205" s="110"/>
      <c r="G205" s="110"/>
      <c r="H205" s="110"/>
      <c r="I205" s="126"/>
    </row>
    <row r="206" spans="2:9">
      <c r="B206" s="119"/>
      <c r="C206" s="25"/>
      <c r="D206" s="25"/>
      <c r="E206" s="25"/>
      <c r="F206" s="25"/>
      <c r="G206" s="25"/>
      <c r="H206" s="25"/>
      <c r="I206" s="123"/>
    </row>
    <row r="207" spans="2:9">
      <c r="B207" s="118"/>
      <c r="C207" s="124"/>
      <c r="D207" s="124"/>
      <c r="E207" s="124"/>
      <c r="F207" s="124"/>
      <c r="G207" s="124"/>
      <c r="H207" s="124"/>
      <c r="I207" s="121"/>
    </row>
    <row r="208" spans="2:9">
      <c r="B208" s="134"/>
      <c r="C208" s="110"/>
      <c r="D208" s="110"/>
      <c r="E208" s="110"/>
      <c r="F208" s="110"/>
      <c r="G208" s="110"/>
      <c r="H208" s="110"/>
      <c r="I208" s="126"/>
    </row>
    <row r="209" spans="1:9">
      <c r="B209" s="138" t="s">
        <v>577</v>
      </c>
      <c r="C209" s="110"/>
      <c r="D209" s="110"/>
      <c r="E209" s="110"/>
      <c r="F209" s="110"/>
      <c r="G209" s="110"/>
      <c r="H209" s="110"/>
      <c r="I209" s="126"/>
    </row>
    <row r="210" spans="1:9">
      <c r="B210" s="138" t="s">
        <v>571</v>
      </c>
      <c r="C210" s="110"/>
      <c r="D210" s="110"/>
      <c r="E210" s="110"/>
      <c r="F210" s="110"/>
      <c r="G210" s="110"/>
      <c r="H210" s="110"/>
      <c r="I210" s="126"/>
    </row>
    <row r="211" spans="1:9">
      <c r="B211" s="134"/>
      <c r="C211" s="110"/>
      <c r="D211" s="110"/>
      <c r="E211" s="110"/>
      <c r="F211" s="110"/>
      <c r="G211" s="110"/>
      <c r="H211" s="110"/>
      <c r="I211" s="126"/>
    </row>
    <row r="212" spans="1:9">
      <c r="B212" s="119"/>
      <c r="C212" s="25"/>
      <c r="D212" s="25"/>
      <c r="E212" s="25"/>
      <c r="F212" s="25"/>
      <c r="G212" s="25"/>
      <c r="H212" s="25"/>
      <c r="I212" s="123"/>
    </row>
    <row r="213" spans="1:9">
      <c r="A213" s="978" t="s">
        <v>578</v>
      </c>
      <c r="B213" s="980"/>
      <c r="C213" s="979"/>
      <c r="D213" s="979"/>
      <c r="E213" s="979"/>
      <c r="F213" s="979"/>
      <c r="G213" s="979"/>
      <c r="H213" s="979"/>
      <c r="I213" s="985"/>
    </row>
    <row r="214" spans="1:9" ht="11.25" customHeight="1">
      <c r="B214" s="458"/>
      <c r="C214" s="986" t="s">
        <v>579</v>
      </c>
      <c r="D214" s="987"/>
      <c r="E214" s="986" t="s">
        <v>580</v>
      </c>
      <c r="F214" s="987"/>
      <c r="G214" s="143" t="s">
        <v>581</v>
      </c>
      <c r="H214" s="986" t="s">
        <v>547</v>
      </c>
      <c r="I214" s="987"/>
    </row>
    <row r="215" spans="1:9" ht="15.75" customHeight="1">
      <c r="B215" s="459"/>
      <c r="C215" s="988"/>
      <c r="D215" s="989"/>
      <c r="E215" s="988"/>
      <c r="F215" s="989"/>
      <c r="G215" s="144"/>
      <c r="H215" s="988"/>
      <c r="I215" s="989"/>
    </row>
    <row r="216" spans="1:9">
      <c r="B216" s="459"/>
      <c r="C216" s="124"/>
      <c r="D216" s="124"/>
      <c r="E216" s="124"/>
      <c r="F216" s="124"/>
      <c r="G216" s="124"/>
      <c r="H216" s="124"/>
      <c r="I216" s="121"/>
    </row>
    <row r="217" spans="1:9" ht="11.25" customHeight="1">
      <c r="B217" s="459"/>
      <c r="C217" s="110"/>
      <c r="D217" s="110"/>
      <c r="E217" s="110"/>
      <c r="F217" s="110"/>
      <c r="G217" s="110"/>
      <c r="H217" s="110"/>
      <c r="I217" s="126"/>
    </row>
    <row r="218" spans="1:9" ht="14.25" customHeight="1">
      <c r="B218" s="142" t="s">
        <v>582</v>
      </c>
      <c r="C218" s="110"/>
      <c r="D218" s="110"/>
      <c r="E218" s="110"/>
      <c r="F218" s="110"/>
      <c r="G218" s="110"/>
      <c r="H218" s="110"/>
      <c r="I218" s="126"/>
    </row>
    <row r="219" spans="1:9" ht="14.25" customHeight="1">
      <c r="B219" s="142"/>
      <c r="C219" s="110"/>
      <c r="D219" s="110"/>
      <c r="E219" s="110"/>
      <c r="F219" s="110"/>
      <c r="G219" s="110"/>
      <c r="H219" s="110"/>
      <c r="I219" s="126"/>
    </row>
    <row r="220" spans="1:9" ht="14.25" customHeight="1">
      <c r="B220" s="142"/>
      <c r="C220" s="110"/>
      <c r="D220" s="110"/>
      <c r="E220" s="110"/>
      <c r="F220" s="110"/>
      <c r="G220" s="110"/>
      <c r="H220" s="110"/>
      <c r="I220" s="126"/>
    </row>
    <row r="221" spans="1:9" ht="10.5" customHeight="1">
      <c r="B221" s="459"/>
      <c r="C221" s="110"/>
      <c r="D221" s="110"/>
      <c r="E221" s="110"/>
      <c r="F221" s="110"/>
      <c r="G221" s="110"/>
      <c r="H221" s="110"/>
      <c r="I221" s="126"/>
    </row>
    <row r="222" spans="1:9" ht="12" customHeight="1">
      <c r="B222" s="137"/>
      <c r="C222" s="25"/>
      <c r="D222" s="25"/>
      <c r="E222" s="25"/>
      <c r="F222" s="25"/>
      <c r="G222" s="25"/>
      <c r="H222" s="25"/>
      <c r="I222" s="123"/>
    </row>
    <row r="223" spans="1:9">
      <c r="B223" s="134"/>
      <c r="C223" s="124"/>
      <c r="D223" s="124"/>
      <c r="E223" s="124"/>
      <c r="F223" s="124"/>
      <c r="G223" s="124"/>
      <c r="H223" s="124"/>
      <c r="I223" s="121"/>
    </row>
    <row r="224" spans="1:9">
      <c r="B224" s="134"/>
      <c r="C224" s="110"/>
      <c r="D224" s="110"/>
      <c r="E224" s="110"/>
      <c r="F224" s="110"/>
      <c r="G224" s="110"/>
      <c r="H224" s="110"/>
      <c r="I224" s="126"/>
    </row>
    <row r="225" spans="1:9">
      <c r="B225" s="138" t="s">
        <v>583</v>
      </c>
      <c r="C225" s="110"/>
      <c r="D225" s="110"/>
      <c r="E225" s="110"/>
      <c r="F225" s="110"/>
      <c r="G225" s="110"/>
      <c r="H225" s="110"/>
      <c r="I225" s="126"/>
    </row>
    <row r="226" spans="1:9">
      <c r="B226" s="138"/>
      <c r="C226" s="110"/>
      <c r="D226" s="110"/>
      <c r="E226" s="110"/>
      <c r="F226" s="110"/>
      <c r="G226" s="110"/>
      <c r="H226" s="110"/>
      <c r="I226" s="126"/>
    </row>
    <row r="227" spans="1:9">
      <c r="B227" s="119"/>
      <c r="C227" s="25"/>
      <c r="D227" s="25"/>
      <c r="E227" s="25"/>
      <c r="F227" s="25"/>
      <c r="G227" s="25"/>
      <c r="H227" s="25"/>
      <c r="I227" s="123"/>
    </row>
    <row r="228" spans="1:9">
      <c r="B228" s="118"/>
      <c r="C228" s="124"/>
      <c r="D228" s="124"/>
      <c r="E228" s="124"/>
      <c r="F228" s="124"/>
      <c r="G228" s="124"/>
      <c r="H228" s="124"/>
      <c r="I228" s="121"/>
    </row>
    <row r="229" spans="1:9">
      <c r="B229" s="134"/>
      <c r="C229" s="110"/>
      <c r="D229" s="110"/>
      <c r="E229" s="110"/>
      <c r="F229" s="110"/>
      <c r="G229" s="110"/>
      <c r="H229" s="110"/>
      <c r="I229" s="126"/>
    </row>
    <row r="230" spans="1:9">
      <c r="B230" s="138" t="s">
        <v>584</v>
      </c>
      <c r="C230" s="110"/>
      <c r="D230" s="110"/>
      <c r="E230" s="110"/>
      <c r="F230" s="110"/>
      <c r="G230" s="110"/>
      <c r="H230" s="110"/>
      <c r="I230" s="126"/>
    </row>
    <row r="231" spans="1:9">
      <c r="B231" s="138" t="s">
        <v>585</v>
      </c>
      <c r="C231" s="110"/>
      <c r="D231" s="110"/>
      <c r="E231" s="110"/>
      <c r="F231" s="110"/>
      <c r="G231" s="110"/>
      <c r="H231" s="110"/>
      <c r="I231" s="126"/>
    </row>
    <row r="232" spans="1:9">
      <c r="B232" s="138" t="s">
        <v>586</v>
      </c>
      <c r="C232" s="110"/>
      <c r="D232" s="110"/>
      <c r="E232" s="110"/>
      <c r="F232" s="110"/>
      <c r="G232" s="110"/>
      <c r="H232" s="110"/>
      <c r="I232" s="126"/>
    </row>
    <row r="233" spans="1:9">
      <c r="B233" s="119"/>
      <c r="C233" s="25"/>
      <c r="D233" s="25"/>
      <c r="E233" s="25"/>
      <c r="F233" s="25"/>
      <c r="G233" s="25"/>
      <c r="H233" s="25"/>
      <c r="I233" s="123"/>
    </row>
    <row r="234" spans="1:9">
      <c r="A234" s="978" t="s">
        <v>587</v>
      </c>
      <c r="B234" s="979"/>
      <c r="C234" s="980"/>
      <c r="D234" s="980"/>
      <c r="E234" s="980"/>
      <c r="F234" s="980"/>
      <c r="G234" s="980"/>
      <c r="H234" s="980"/>
      <c r="I234" s="981"/>
    </row>
    <row r="235" spans="1:9" ht="11.25" customHeight="1">
      <c r="B235" s="982"/>
      <c r="C235" s="974"/>
      <c r="D235" s="976"/>
      <c r="E235" s="976"/>
      <c r="F235" s="976"/>
      <c r="G235" s="976"/>
      <c r="H235" s="976"/>
      <c r="I235" s="964"/>
    </row>
    <row r="236" spans="1:9" ht="15" customHeight="1">
      <c r="B236" s="983"/>
      <c r="C236" s="975"/>
      <c r="D236" s="977"/>
      <c r="E236" s="977"/>
      <c r="F236" s="977"/>
      <c r="G236" s="977"/>
      <c r="H236" s="977"/>
      <c r="I236" s="965"/>
    </row>
    <row r="237" spans="1:9" ht="15" customHeight="1">
      <c r="B237" s="983"/>
      <c r="C237" s="455"/>
      <c r="D237" s="456"/>
      <c r="E237" s="456"/>
      <c r="F237" s="456"/>
      <c r="G237" s="456"/>
      <c r="H237" s="456"/>
      <c r="I237" s="454"/>
    </row>
    <row r="238" spans="1:9">
      <c r="B238" s="983"/>
      <c r="C238" s="125"/>
      <c r="D238" s="110"/>
      <c r="E238" s="110"/>
      <c r="F238" s="110"/>
      <c r="G238" s="110"/>
      <c r="H238" s="110"/>
      <c r="I238" s="126"/>
    </row>
    <row r="239" spans="1:9" ht="11.25" customHeight="1">
      <c r="B239" s="983"/>
      <c r="C239" s="125"/>
      <c r="D239" s="110"/>
      <c r="E239" s="110"/>
      <c r="F239" s="110"/>
      <c r="G239" s="110"/>
      <c r="H239" s="110"/>
      <c r="I239" s="126"/>
    </row>
    <row r="240" spans="1:9" ht="14.25" customHeight="1">
      <c r="B240" s="984"/>
      <c r="C240" s="122"/>
      <c r="D240" s="25"/>
      <c r="E240" s="25"/>
      <c r="F240" s="25"/>
      <c r="G240" s="25"/>
      <c r="H240" s="25"/>
      <c r="I240" s="123"/>
    </row>
    <row r="246" spans="1:9">
      <c r="A246" s="969" t="s">
        <v>588</v>
      </c>
      <c r="B246" s="970"/>
      <c r="C246" s="970"/>
      <c r="D246" s="970"/>
      <c r="E246" s="970"/>
      <c r="F246" s="970"/>
      <c r="G246" s="970"/>
      <c r="H246" s="970"/>
      <c r="I246" s="970"/>
    </row>
    <row r="247" spans="1:9">
      <c r="A247" s="520"/>
      <c r="B247" s="521"/>
      <c r="C247" s="521"/>
      <c r="D247" s="521"/>
      <c r="E247" s="521"/>
      <c r="F247" s="521"/>
      <c r="G247" s="521"/>
      <c r="H247" s="521"/>
      <c r="I247" s="521"/>
    </row>
    <row r="248" spans="1:9">
      <c r="A248" s="978" t="s">
        <v>589</v>
      </c>
      <c r="B248" s="979"/>
      <c r="C248" s="980"/>
      <c r="D248" s="980"/>
      <c r="E248" s="980"/>
      <c r="F248" s="980"/>
      <c r="G248" s="980"/>
      <c r="H248" s="980"/>
      <c r="I248" s="981"/>
    </row>
    <row r="249" spans="1:9" ht="11.25" customHeight="1">
      <c r="B249" s="971" t="s">
        <v>590</v>
      </c>
      <c r="C249" s="974"/>
      <c r="D249" s="976"/>
      <c r="E249" s="976"/>
      <c r="F249" s="976"/>
      <c r="G249" s="976"/>
      <c r="H249" s="976"/>
      <c r="I249" s="964"/>
    </row>
    <row r="250" spans="1:9" ht="11.25" customHeight="1">
      <c r="B250" s="972"/>
      <c r="C250" s="975"/>
      <c r="D250" s="977"/>
      <c r="E250" s="977"/>
      <c r="F250" s="977"/>
      <c r="G250" s="977"/>
      <c r="H250" s="977"/>
      <c r="I250" s="965"/>
    </row>
    <row r="251" spans="1:9" ht="15" customHeight="1">
      <c r="B251" s="972"/>
      <c r="C251" s="975"/>
      <c r="D251" s="977"/>
      <c r="E251" s="977"/>
      <c r="F251" s="977"/>
      <c r="G251" s="977"/>
      <c r="H251" s="977"/>
      <c r="I251" s="965"/>
    </row>
    <row r="252" spans="1:9">
      <c r="B252" s="972"/>
      <c r="C252" s="125"/>
      <c r="D252" s="110"/>
      <c r="E252" s="110"/>
      <c r="F252" s="110"/>
      <c r="G252" s="110"/>
      <c r="H252" s="110"/>
      <c r="I252" s="126"/>
    </row>
    <row r="253" spans="1:9" ht="11.25" customHeight="1">
      <c r="B253" s="972"/>
      <c r="C253" s="125"/>
      <c r="D253" s="110"/>
      <c r="E253" s="110"/>
      <c r="F253" s="110"/>
      <c r="G253" s="110"/>
      <c r="H253" s="110"/>
      <c r="I253" s="126"/>
    </row>
    <row r="254" spans="1:9" ht="14.25" customHeight="1">
      <c r="B254" s="973"/>
      <c r="C254" s="122"/>
      <c r="D254" s="25"/>
      <c r="E254" s="25"/>
      <c r="F254" s="25"/>
      <c r="G254" s="25"/>
      <c r="H254" s="25"/>
      <c r="I254" s="123"/>
    </row>
    <row r="255" spans="1:9" ht="11.25" customHeight="1">
      <c r="B255" s="971" t="s">
        <v>591</v>
      </c>
      <c r="C255" s="974"/>
      <c r="D255" s="976"/>
      <c r="E255" s="976"/>
      <c r="F255" s="976"/>
      <c r="G255" s="976"/>
      <c r="H255" s="976"/>
      <c r="I255" s="964"/>
    </row>
    <row r="256" spans="1:9" ht="11.25" customHeight="1">
      <c r="B256" s="972"/>
      <c r="C256" s="975"/>
      <c r="D256" s="977"/>
      <c r="E256" s="977"/>
      <c r="F256" s="977"/>
      <c r="G256" s="977"/>
      <c r="H256" s="977"/>
      <c r="I256" s="965"/>
    </row>
    <row r="257" spans="1:9" ht="15" customHeight="1">
      <c r="B257" s="972"/>
      <c r="C257" s="975"/>
      <c r="D257" s="977"/>
      <c r="E257" s="977"/>
      <c r="F257" s="977"/>
      <c r="G257" s="977"/>
      <c r="H257" s="977"/>
      <c r="I257" s="965"/>
    </row>
    <row r="258" spans="1:9">
      <c r="B258" s="972"/>
      <c r="C258" s="125"/>
      <c r="D258" s="110"/>
      <c r="E258" s="110"/>
      <c r="F258" s="110"/>
      <c r="G258" s="110"/>
      <c r="H258" s="110"/>
      <c r="I258" s="126"/>
    </row>
    <row r="259" spans="1:9" ht="11.25" customHeight="1">
      <c r="B259" s="972"/>
      <c r="C259" s="125"/>
      <c r="D259" s="110"/>
      <c r="E259" s="110"/>
      <c r="F259" s="110"/>
      <c r="G259" s="110"/>
      <c r="H259" s="110"/>
      <c r="I259" s="126"/>
    </row>
    <row r="260" spans="1:9" ht="14.25" customHeight="1">
      <c r="B260" s="973"/>
      <c r="C260" s="122"/>
      <c r="D260" s="25"/>
      <c r="E260" s="25"/>
      <c r="F260" s="25"/>
      <c r="G260" s="25"/>
      <c r="H260" s="25"/>
      <c r="I260" s="123"/>
    </row>
    <row r="263" spans="1:9">
      <c r="A263" s="145" t="s">
        <v>592</v>
      </c>
      <c r="B263" s="146"/>
      <c r="C263" s="146"/>
      <c r="D263" s="146"/>
      <c r="E263" s="146"/>
      <c r="F263" s="146"/>
      <c r="G263" s="146"/>
      <c r="H263" s="146"/>
      <c r="I263" s="147"/>
    </row>
    <row r="264" spans="1:9">
      <c r="A264" s="120"/>
      <c r="B264" s="124"/>
      <c r="C264" s="124"/>
      <c r="D264" s="124"/>
      <c r="E264" s="124"/>
      <c r="F264" s="124"/>
      <c r="G264" s="124"/>
      <c r="H264" s="124"/>
      <c r="I264" s="121"/>
    </row>
    <row r="265" spans="1:9">
      <c r="A265" s="966" t="s">
        <v>593</v>
      </c>
      <c r="B265" s="967"/>
      <c r="C265" s="967"/>
      <c r="D265" s="967"/>
      <c r="E265" s="967"/>
      <c r="F265" s="967"/>
      <c r="G265" s="967"/>
      <c r="H265" s="967"/>
      <c r="I265" s="968"/>
    </row>
    <row r="266" spans="1:9">
      <c r="A266" s="125"/>
      <c r="B266" s="110"/>
      <c r="C266" s="110"/>
      <c r="D266" s="110"/>
      <c r="E266" s="110"/>
      <c r="F266" s="110"/>
      <c r="G266" s="110"/>
      <c r="H266" s="110"/>
      <c r="I266" s="126"/>
    </row>
    <row r="267" spans="1:9">
      <c r="A267" s="148" t="s">
        <v>594</v>
      </c>
      <c r="B267" s="110"/>
      <c r="C267" s="110"/>
      <c r="D267" s="110"/>
      <c r="E267" s="110"/>
      <c r="F267" s="110"/>
      <c r="G267" s="110"/>
      <c r="H267" s="110"/>
      <c r="I267" s="126"/>
    </row>
    <row r="268" spans="1:9">
      <c r="A268" s="148" t="s">
        <v>595</v>
      </c>
      <c r="B268" s="110"/>
      <c r="C268" s="110"/>
      <c r="D268" s="110"/>
      <c r="E268" s="110"/>
      <c r="F268" s="110"/>
      <c r="G268" s="110"/>
      <c r="H268" s="110"/>
      <c r="I268" s="126"/>
    </row>
    <row r="269" spans="1:9">
      <c r="A269" s="125"/>
      <c r="B269" s="110"/>
      <c r="C269" s="110"/>
      <c r="D269" s="110"/>
      <c r="E269" s="110"/>
      <c r="F269" s="110"/>
      <c r="G269" s="110"/>
      <c r="H269" s="110"/>
      <c r="I269" s="126"/>
    </row>
    <row r="270" spans="1:9">
      <c r="A270" s="125"/>
      <c r="B270" s="110"/>
      <c r="C270" s="110"/>
      <c r="D270" s="110"/>
      <c r="E270" s="110"/>
      <c r="F270" s="110"/>
      <c r="G270" s="110"/>
      <c r="H270" s="110"/>
      <c r="I270" s="126"/>
    </row>
    <row r="271" spans="1:9">
      <c r="A271" s="125"/>
      <c r="B271" s="110"/>
      <c r="C271" s="110"/>
      <c r="D271" s="110"/>
      <c r="E271" s="110"/>
      <c r="F271" s="110"/>
      <c r="G271" s="110"/>
      <c r="H271" s="110"/>
      <c r="I271" s="126"/>
    </row>
    <row r="272" spans="1:9">
      <c r="A272" s="125"/>
      <c r="B272" s="110"/>
      <c r="C272" s="110"/>
      <c r="D272" s="110"/>
      <c r="E272" s="110"/>
      <c r="F272" s="110"/>
      <c r="G272" s="110"/>
      <c r="H272" s="110"/>
      <c r="I272" s="126"/>
    </row>
    <row r="273" spans="1:9">
      <c r="A273" s="125"/>
      <c r="B273" s="110"/>
      <c r="C273" s="110"/>
      <c r="D273" s="110"/>
      <c r="E273" s="110"/>
      <c r="F273" s="110"/>
      <c r="G273" s="110"/>
      <c r="H273" s="110"/>
      <c r="I273" s="126"/>
    </row>
    <row r="274" spans="1:9">
      <c r="A274" s="122"/>
      <c r="B274" s="25"/>
      <c r="C274" s="25"/>
      <c r="D274" s="110"/>
      <c r="E274" s="110"/>
      <c r="F274" s="110"/>
      <c r="G274" s="110"/>
      <c r="H274" s="110"/>
      <c r="I274" s="126"/>
    </row>
    <row r="275" spans="1:9">
      <c r="A275" s="966" t="s">
        <v>596</v>
      </c>
      <c r="B275" s="967"/>
      <c r="C275" s="967"/>
      <c r="D275" s="110"/>
      <c r="E275" s="110"/>
      <c r="F275" s="110"/>
      <c r="G275" s="110"/>
      <c r="H275" s="110"/>
      <c r="I275" s="126"/>
    </row>
    <row r="276" spans="1:9">
      <c r="A276" s="122"/>
      <c r="B276" s="25"/>
      <c r="C276" s="25"/>
      <c r="D276" s="25"/>
      <c r="E276" s="25"/>
      <c r="F276" s="25"/>
      <c r="G276" s="25"/>
      <c r="H276" s="25"/>
      <c r="I276" s="123"/>
    </row>
    <row r="296" spans="1:9">
      <c r="A296" s="969" t="s">
        <v>597</v>
      </c>
      <c r="B296" s="970"/>
      <c r="C296" s="970"/>
      <c r="D296" s="970"/>
      <c r="E296" s="970"/>
      <c r="F296" s="970"/>
      <c r="G296" s="970"/>
      <c r="H296" s="970"/>
      <c r="I296" s="970"/>
    </row>
  </sheetData>
  <mergeCells count="169">
    <mergeCell ref="A7:D9"/>
    <mergeCell ref="A22:I22"/>
    <mergeCell ref="A30:E30"/>
    <mergeCell ref="F30:H30"/>
    <mergeCell ref="G18:I18"/>
    <mergeCell ref="B18:F18"/>
    <mergeCell ref="A20:I20"/>
    <mergeCell ref="A21:C21"/>
    <mergeCell ref="E21:I21"/>
    <mergeCell ref="A25:I28"/>
    <mergeCell ref="A13:H13"/>
    <mergeCell ref="E56:F59"/>
    <mergeCell ref="G56:H59"/>
    <mergeCell ref="A60:A62"/>
    <mergeCell ref="B60:B62"/>
    <mergeCell ref="C60:C62"/>
    <mergeCell ref="D60:D62"/>
    <mergeCell ref="E60:F62"/>
    <mergeCell ref="A32:I33"/>
    <mergeCell ref="I56:I59"/>
    <mergeCell ref="H50:I52"/>
    <mergeCell ref="A53:I53"/>
    <mergeCell ref="A54:A55"/>
    <mergeCell ref="B54:B55"/>
    <mergeCell ref="C54:C55"/>
    <mergeCell ref="D54:D55"/>
    <mergeCell ref="E54:F55"/>
    <mergeCell ref="G54:H55"/>
    <mergeCell ref="I54:I55"/>
    <mergeCell ref="A50:A52"/>
    <mergeCell ref="B50:B52"/>
    <mergeCell ref="C50:C52"/>
    <mergeCell ref="D50:D52"/>
    <mergeCell ref="E50:E52"/>
    <mergeCell ref="G94:H95"/>
    <mergeCell ref="I94:I95"/>
    <mergeCell ref="B78:B80"/>
    <mergeCell ref="E76:E77"/>
    <mergeCell ref="H76:I77"/>
    <mergeCell ref="F76:F77"/>
    <mergeCell ref="G76:G77"/>
    <mergeCell ref="F50:G52"/>
    <mergeCell ref="A44:I44"/>
    <mergeCell ref="F45:G45"/>
    <mergeCell ref="H45:I45"/>
    <mergeCell ref="A46:A49"/>
    <mergeCell ref="B46:B49"/>
    <mergeCell ref="C46:C49"/>
    <mergeCell ref="D46:D49"/>
    <mergeCell ref="E46:E49"/>
    <mergeCell ref="F46:G49"/>
    <mergeCell ref="H46:I49"/>
    <mergeCell ref="G60:H62"/>
    <mergeCell ref="I60:I62"/>
    <mergeCell ref="A56:A59"/>
    <mergeCell ref="B56:B59"/>
    <mergeCell ref="C56:C59"/>
    <mergeCell ref="D56:D59"/>
    <mergeCell ref="B72:B74"/>
    <mergeCell ref="A75:I75"/>
    <mergeCell ref="C76:C77"/>
    <mergeCell ref="D76:D77"/>
    <mergeCell ref="B112:B119"/>
    <mergeCell ref="C112:D113"/>
    <mergeCell ref="F112:G113"/>
    <mergeCell ref="A111:I111"/>
    <mergeCell ref="E112:E113"/>
    <mergeCell ref="H112:I113"/>
    <mergeCell ref="B99:B101"/>
    <mergeCell ref="A102:I102"/>
    <mergeCell ref="C103:C104"/>
    <mergeCell ref="D103:D104"/>
    <mergeCell ref="E103:F104"/>
    <mergeCell ref="B96:B98"/>
    <mergeCell ref="B81:B83"/>
    <mergeCell ref="A84:I84"/>
    <mergeCell ref="C85:C86"/>
    <mergeCell ref="D85:D86"/>
    <mergeCell ref="E85:F86"/>
    <mergeCell ref="C94:C95"/>
    <mergeCell ref="D94:D95"/>
    <mergeCell ref="E94:F95"/>
    <mergeCell ref="A131:I131"/>
    <mergeCell ref="B132:B139"/>
    <mergeCell ref="C132:C133"/>
    <mergeCell ref="D132:D133"/>
    <mergeCell ref="E132:F133"/>
    <mergeCell ref="G132:H133"/>
    <mergeCell ref="I132:I133"/>
    <mergeCell ref="A65:I65"/>
    <mergeCell ref="A129:I129"/>
    <mergeCell ref="G103:H104"/>
    <mergeCell ref="I103:I104"/>
    <mergeCell ref="B103:B110"/>
    <mergeCell ref="G85:H86"/>
    <mergeCell ref="I85:I86"/>
    <mergeCell ref="B87:B89"/>
    <mergeCell ref="B90:B92"/>
    <mergeCell ref="A93:I93"/>
    <mergeCell ref="A66:I66"/>
    <mergeCell ref="C67:C68"/>
    <mergeCell ref="D67:D68"/>
    <mergeCell ref="E67:F68"/>
    <mergeCell ref="G67:H68"/>
    <mergeCell ref="I67:I68"/>
    <mergeCell ref="B69:B71"/>
    <mergeCell ref="A148:I148"/>
    <mergeCell ref="B149:B156"/>
    <mergeCell ref="C149:C150"/>
    <mergeCell ref="D149:D150"/>
    <mergeCell ref="E149:F150"/>
    <mergeCell ref="G149:H150"/>
    <mergeCell ref="I149:I150"/>
    <mergeCell ref="A140:I140"/>
    <mergeCell ref="B141:B147"/>
    <mergeCell ref="C141:C142"/>
    <mergeCell ref="D141:D142"/>
    <mergeCell ref="E141:F142"/>
    <mergeCell ref="G141:H142"/>
    <mergeCell ref="I141:I142"/>
    <mergeCell ref="A176:I176"/>
    <mergeCell ref="B177:B183"/>
    <mergeCell ref="C177:C178"/>
    <mergeCell ref="D177:D178"/>
    <mergeCell ref="E177:F178"/>
    <mergeCell ref="G177:H178"/>
    <mergeCell ref="I177:I178"/>
    <mergeCell ref="A162:I162"/>
    <mergeCell ref="B163:B170"/>
    <mergeCell ref="C163:C164"/>
    <mergeCell ref="D163:D164"/>
    <mergeCell ref="E163:F164"/>
    <mergeCell ref="G163:H164"/>
    <mergeCell ref="I163:I164"/>
    <mergeCell ref="A213:I213"/>
    <mergeCell ref="E214:F215"/>
    <mergeCell ref="C214:D215"/>
    <mergeCell ref="H214:I215"/>
    <mergeCell ref="A189:I189"/>
    <mergeCell ref="A191:I191"/>
    <mergeCell ref="C192:C193"/>
    <mergeCell ref="D192:D193"/>
    <mergeCell ref="E192:F193"/>
    <mergeCell ref="G192:H193"/>
    <mergeCell ref="I192:I193"/>
    <mergeCell ref="A246:I246"/>
    <mergeCell ref="A248:I248"/>
    <mergeCell ref="B249:B254"/>
    <mergeCell ref="C249:C251"/>
    <mergeCell ref="D249:D251"/>
    <mergeCell ref="E249:F251"/>
    <mergeCell ref="G249:H251"/>
    <mergeCell ref="I249:I251"/>
    <mergeCell ref="A234:I234"/>
    <mergeCell ref="B235:B240"/>
    <mergeCell ref="C235:C236"/>
    <mergeCell ref="D235:D236"/>
    <mergeCell ref="E235:F236"/>
    <mergeCell ref="G235:H236"/>
    <mergeCell ref="I235:I236"/>
    <mergeCell ref="I255:I257"/>
    <mergeCell ref="A265:I265"/>
    <mergeCell ref="A275:C275"/>
    <mergeCell ref="A296:I296"/>
    <mergeCell ref="B255:B260"/>
    <mergeCell ref="C255:C257"/>
    <mergeCell ref="D255:D257"/>
    <mergeCell ref="E255:F257"/>
    <mergeCell ref="G255:H257"/>
  </mergeCells>
  <phoneticPr fontId="13" type="noConversion"/>
  <pageMargins left="0.7" right="0.7" top="0.75" bottom="0.75" header="0.3" footer="0.3"/>
  <pageSetup paperSize="9" scale="88"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pageSetUpPr fitToPage="1"/>
  </sheetPr>
  <dimension ref="A1:K295"/>
  <sheetViews>
    <sheetView workbookViewId="0">
      <selection activeCell="J1" sqref="J1:K1048576"/>
    </sheetView>
  </sheetViews>
  <sheetFormatPr defaultRowHeight="15.75"/>
  <cols>
    <col min="1" max="1" width="3.625" customWidth="1" collapsed="1"/>
    <col min="2" max="2" width="18.125" customWidth="1" collapsed="1"/>
    <col min="3" max="3" width="16.125" customWidth="1" collapsed="1"/>
    <col min="4" max="4" width="15.625" customWidth="1" collapsed="1"/>
    <col min="5" max="5" width="11.375" customWidth="1" collapsed="1"/>
    <col min="6" max="6" width="9.875" customWidth="1" collapsed="1"/>
    <col min="7" max="7" width="11.5" customWidth="1" collapsed="1"/>
    <col min="8" max="8" width="7" customWidth="1" collapsed="1"/>
    <col min="9" max="9" width="5.625" customWidth="1" collapsed="1"/>
    <col min="10" max="11" width="9" style="605" collapsed="1"/>
  </cols>
  <sheetData>
    <row r="1" spans="1:11" s="113" customFormat="1" ht="12.75">
      <c r="A1" s="113" t="s">
        <v>501</v>
      </c>
      <c r="J1" s="621"/>
      <c r="K1" s="621"/>
    </row>
    <row r="2" spans="1:11" s="113" customFormat="1" ht="12.75">
      <c r="A2" s="113" t="s">
        <v>502</v>
      </c>
      <c r="J2" s="621"/>
      <c r="K2" s="621"/>
    </row>
    <row r="4" spans="1:11">
      <c r="A4" s="114" t="s">
        <v>503</v>
      </c>
    </row>
    <row r="5" spans="1:11">
      <c r="F5" s="115" t="s">
        <v>504</v>
      </c>
      <c r="G5" s="25"/>
      <c r="H5" s="25"/>
      <c r="I5" s="110"/>
    </row>
    <row r="6" spans="1:11">
      <c r="A6" s="113" t="str">
        <f>+CONCATENATE(J6,J7,J8,J9)</f>
        <v>Messrs. Matthew S.H. Law, Certified Public Accountant (Practising)</v>
      </c>
      <c r="F6" s="111"/>
      <c r="I6" s="110"/>
      <c r="J6" s="605" t="s">
        <v>233</v>
      </c>
    </row>
    <row r="7" spans="1:11" s="112" customFormat="1" ht="12.75">
      <c r="A7" s="1037" t="str">
        <f>+Control!D142</f>
        <v>Unit 402, 4/F., Fourseas Building, No. 208 Nathan Road, Kowloon</v>
      </c>
      <c r="B7" s="1037"/>
      <c r="C7" s="1037"/>
      <c r="D7" s="1037"/>
      <c r="F7" s="115" t="s">
        <v>222</v>
      </c>
      <c r="G7" s="116"/>
      <c r="H7" s="116"/>
      <c r="I7" s="149"/>
      <c r="J7" s="622" t="str">
        <f>+Control!D136</f>
        <v>Matthew S.H. Law</v>
      </c>
      <c r="K7" s="622"/>
    </row>
    <row r="8" spans="1:11" s="112" customFormat="1" ht="12.75">
      <c r="A8" s="1037"/>
      <c r="B8" s="1037"/>
      <c r="C8" s="1037"/>
      <c r="D8" s="1037"/>
      <c r="I8" s="149"/>
      <c r="J8" s="622" t="s">
        <v>388</v>
      </c>
      <c r="K8" s="622"/>
    </row>
    <row r="9" spans="1:11" s="112" customFormat="1" ht="12.75">
      <c r="A9" s="1037"/>
      <c r="B9" s="1037"/>
      <c r="C9" s="1037"/>
      <c r="D9" s="1037"/>
      <c r="J9" s="622" t="str">
        <f>+Control!D137</f>
        <v>Certified Public Accountant (Practising)</v>
      </c>
      <c r="K9" s="622"/>
    </row>
    <row r="10" spans="1:11" s="112" customFormat="1" ht="12.75">
      <c r="A10" s="112" t="str">
        <f>+CONCATENATE(J11,J12,K13,J14)</f>
        <v>Tel: (852)96621161        Fax: (852)35823310</v>
      </c>
      <c r="J10" s="622"/>
      <c r="K10" s="622"/>
    </row>
    <row r="11" spans="1:11" s="112" customFormat="1" ht="12.75">
      <c r="J11" s="622" t="s">
        <v>505</v>
      </c>
      <c r="K11" s="622"/>
    </row>
    <row r="12" spans="1:11" s="112" customFormat="1" ht="12.75">
      <c r="A12" s="112" t="s">
        <v>506</v>
      </c>
      <c r="J12" s="622" t="str">
        <f>+Control!D147</f>
        <v>(852)96621161</v>
      </c>
      <c r="K12" s="622"/>
    </row>
    <row r="13" spans="1:11" s="112" customFormat="1" ht="14.25">
      <c r="A13" s="1039" t="s">
        <v>598</v>
      </c>
      <c r="B13" s="1039"/>
      <c r="C13" s="1039"/>
      <c r="D13" s="1039"/>
      <c r="E13" s="1039"/>
      <c r="F13" s="1039"/>
      <c r="G13" s="1039"/>
      <c r="H13" s="1039"/>
      <c r="J13" s="622" t="s">
        <v>507</v>
      </c>
      <c r="K13" s="622" t="s">
        <v>508</v>
      </c>
    </row>
    <row r="14" spans="1:11" s="112" customFormat="1" ht="12.75">
      <c r="J14" s="622" t="str">
        <f>+Control!D145</f>
        <v>(852)35823310</v>
      </c>
      <c r="K14" s="622"/>
    </row>
    <row r="15" spans="1:11" s="112" customFormat="1" ht="12.75">
      <c r="J15" s="622"/>
      <c r="K15" s="622"/>
    </row>
    <row r="16" spans="1:11" s="112" customFormat="1" ht="12.75">
      <c r="A16" s="112" t="s">
        <v>382</v>
      </c>
      <c r="J16" s="622"/>
      <c r="K16" s="622"/>
    </row>
    <row r="17" spans="1:11" s="112" customFormat="1" ht="12.75">
      <c r="J17" s="622"/>
      <c r="K17" s="622"/>
    </row>
    <row r="18" spans="1:11" s="112" customFormat="1" ht="12.75">
      <c r="A18" s="112" t="s">
        <v>509</v>
      </c>
      <c r="B18" s="1040" t="str">
        <f>+Control!D3</f>
        <v>MIC INCORPORATION LIMITED </v>
      </c>
      <c r="C18" s="1040"/>
      <c r="D18" s="1040"/>
      <c r="E18" s="1040"/>
      <c r="F18" s="1040"/>
      <c r="G18" s="1039" t="s">
        <v>510</v>
      </c>
      <c r="H18" s="1039"/>
      <c r="I18" s="1039"/>
      <c r="J18" s="622"/>
      <c r="K18" s="622"/>
    </row>
    <row r="19" spans="1:11" s="112" customFormat="1" ht="12.75">
      <c r="J19" s="622"/>
      <c r="K19" s="622"/>
    </row>
    <row r="20" spans="1:11" s="112" customFormat="1" ht="12.75" customHeight="1">
      <c r="A20" s="1041" t="s">
        <v>511</v>
      </c>
      <c r="B20" s="1041"/>
      <c r="C20" s="1041"/>
      <c r="D20" s="1041"/>
      <c r="E20" s="1041"/>
      <c r="F20" s="1041"/>
      <c r="G20" s="1041"/>
      <c r="H20" s="1041"/>
      <c r="I20" s="1041"/>
      <c r="J20" s="622"/>
      <c r="K20" s="622"/>
    </row>
    <row r="21" spans="1:11" s="112" customFormat="1" ht="12.75" customHeight="1">
      <c r="A21" s="1031" t="s">
        <v>512</v>
      </c>
      <c r="B21" s="1031"/>
      <c r="C21" s="1031"/>
      <c r="D21" s="132" t="str">
        <f>+Control!D6</f>
        <v>31 December, 2016</v>
      </c>
      <c r="E21" s="1041" t="s">
        <v>513</v>
      </c>
      <c r="F21" s="1041"/>
      <c r="G21" s="1041"/>
      <c r="H21" s="1041"/>
      <c r="I21" s="1041"/>
      <c r="J21" s="622"/>
      <c r="K21" s="622"/>
    </row>
    <row r="22" spans="1:11" s="112" customFormat="1" ht="12.75">
      <c r="A22" s="1031" t="s">
        <v>514</v>
      </c>
      <c r="B22" s="1031"/>
      <c r="C22" s="1031"/>
      <c r="D22" s="1031"/>
      <c r="E22" s="1031"/>
      <c r="F22" s="1031"/>
      <c r="G22" s="1031"/>
      <c r="H22" s="1031"/>
      <c r="I22" s="1031"/>
      <c r="J22" s="622"/>
      <c r="K22" s="622"/>
    </row>
    <row r="23" spans="1:11" s="112" customFormat="1" ht="12.75">
      <c r="A23" s="131"/>
      <c r="B23" s="131"/>
      <c r="C23" s="131"/>
      <c r="D23" s="131"/>
      <c r="E23" s="131"/>
      <c r="F23" s="131"/>
      <c r="G23" s="131"/>
      <c r="H23" s="131"/>
      <c r="I23" s="131"/>
      <c r="J23" s="622"/>
      <c r="K23" s="622"/>
    </row>
    <row r="24" spans="1:11" s="112" customFormat="1" ht="12.75">
      <c r="J24" s="622"/>
      <c r="K24" s="622"/>
    </row>
    <row r="25" spans="1:11" s="112" customFormat="1" ht="12.75">
      <c r="A25" s="1031" t="str">
        <f>+CONCATENATE(J25,J26,J27,J28,J29)</f>
        <v>Please confirm the position by completing the section headed “Bankers’ Confirmation ” on the final page of this request.  You are hereby authorized to return this request after completion and together with any remarks you may have to our auditors, Messrs. Matthew S.H. Law, Certified Public Accountant (Practising), at the address above.</v>
      </c>
      <c r="B25" s="1031"/>
      <c r="C25" s="1031"/>
      <c r="D25" s="1031"/>
      <c r="E25" s="1031"/>
      <c r="F25" s="1031"/>
      <c r="G25" s="1031"/>
      <c r="H25" s="1031"/>
      <c r="I25" s="1031"/>
      <c r="J25" s="622" t="s">
        <v>515</v>
      </c>
      <c r="K25" s="622"/>
    </row>
    <row r="26" spans="1:11" s="112" customFormat="1" ht="12.75">
      <c r="A26" s="1031"/>
      <c r="B26" s="1031"/>
      <c r="C26" s="1031"/>
      <c r="D26" s="1031"/>
      <c r="E26" s="1031"/>
      <c r="F26" s="1031"/>
      <c r="G26" s="1031"/>
      <c r="H26" s="1031"/>
      <c r="I26" s="1031"/>
      <c r="J26" s="622" t="str">
        <f>+Control!D136</f>
        <v>Matthew S.H. Law</v>
      </c>
      <c r="K26" s="622"/>
    </row>
    <row r="27" spans="1:11" s="112" customFormat="1" ht="12.75">
      <c r="A27" s="1031"/>
      <c r="B27" s="1031"/>
      <c r="C27" s="1031"/>
      <c r="D27" s="1031"/>
      <c r="E27" s="1031"/>
      <c r="F27" s="1031"/>
      <c r="G27" s="1031"/>
      <c r="H27" s="1031"/>
      <c r="I27" s="1031"/>
      <c r="J27" s="622" t="s">
        <v>388</v>
      </c>
      <c r="K27" s="622" t="str">
        <f>+CHAR(1)</f>
        <v>_x0001_</v>
      </c>
    </row>
    <row r="28" spans="1:11" s="112" customFormat="1" ht="12.75">
      <c r="A28" s="1031"/>
      <c r="B28" s="1031"/>
      <c r="C28" s="1031"/>
      <c r="D28" s="1031"/>
      <c r="E28" s="1031"/>
      <c r="F28" s="1031"/>
      <c r="G28" s="1031"/>
      <c r="H28" s="1031"/>
      <c r="I28" s="1031"/>
      <c r="J28" s="622" t="str">
        <f>+Control!D137</f>
        <v>Certified Public Accountant (Practising)</v>
      </c>
      <c r="K28" s="622"/>
    </row>
    <row r="29" spans="1:11" s="112" customFormat="1" ht="12.75">
      <c r="J29" s="622" t="s">
        <v>516</v>
      </c>
      <c r="K29" s="622"/>
    </row>
    <row r="30" spans="1:11" s="112" customFormat="1" ht="12.75" customHeight="1">
      <c r="A30" s="1031" t="s">
        <v>517</v>
      </c>
      <c r="B30" s="1031"/>
      <c r="C30" s="1031"/>
      <c r="D30" s="1031"/>
      <c r="E30" s="1031"/>
      <c r="F30" s="1042"/>
      <c r="G30" s="1038"/>
      <c r="H30" s="1038"/>
      <c r="I30" s="133" t="s">
        <v>239</v>
      </c>
      <c r="J30" s="622"/>
      <c r="K30" s="622"/>
    </row>
    <row r="31" spans="1:11" s="112" customFormat="1" ht="12.75">
      <c r="J31" s="622"/>
      <c r="K31" s="622"/>
    </row>
    <row r="32" spans="1:11" s="112" customFormat="1" ht="12.75">
      <c r="A32" s="1031" t="s">
        <v>518</v>
      </c>
      <c r="B32" s="1031"/>
      <c r="C32" s="1031"/>
      <c r="D32" s="1031"/>
      <c r="E32" s="1031"/>
      <c r="F32" s="1031"/>
      <c r="G32" s="1031"/>
      <c r="H32" s="1031"/>
      <c r="I32" s="1031"/>
      <c r="J32" s="622"/>
      <c r="K32" s="622"/>
    </row>
    <row r="33" spans="1:11" s="112" customFormat="1" ht="12.75">
      <c r="A33" s="1031"/>
      <c r="B33" s="1031"/>
      <c r="C33" s="1031"/>
      <c r="D33" s="1031"/>
      <c r="E33" s="1031"/>
      <c r="F33" s="1031"/>
      <c r="G33" s="1031"/>
      <c r="H33" s="1031"/>
      <c r="I33" s="1031"/>
      <c r="J33" s="622"/>
      <c r="K33" s="622"/>
    </row>
    <row r="34" spans="1:11" s="112" customFormat="1" ht="12.75">
      <c r="J34" s="622"/>
      <c r="K34" s="622"/>
    </row>
    <row r="35" spans="1:11" s="112" customFormat="1" ht="12.75">
      <c r="A35" s="112" t="s">
        <v>230</v>
      </c>
      <c r="J35" s="622"/>
      <c r="K35" s="622"/>
    </row>
    <row r="36" spans="1:11" s="112" customFormat="1" ht="12.75">
      <c r="J36" s="622"/>
      <c r="K36" s="622"/>
    </row>
    <row r="37" spans="1:11" s="112" customFormat="1" ht="12.75">
      <c r="J37" s="622"/>
      <c r="K37" s="622"/>
    </row>
    <row r="38" spans="1:11" s="112" customFormat="1" ht="12.75">
      <c r="J38" s="622"/>
      <c r="K38" s="622"/>
    </row>
    <row r="39" spans="1:11" s="112" customFormat="1" ht="12.75">
      <c r="J39" s="622"/>
      <c r="K39" s="622"/>
    </row>
    <row r="40" spans="1:11" s="112" customFormat="1" ht="12.75">
      <c r="J40" s="622"/>
      <c r="K40" s="622"/>
    </row>
    <row r="41" spans="1:11" s="112" customFormat="1" ht="12.75">
      <c r="A41" s="116"/>
      <c r="B41" s="116"/>
      <c r="C41" s="116"/>
      <c r="J41" s="622"/>
      <c r="K41" s="622"/>
    </row>
    <row r="42" spans="1:11" s="112" customFormat="1" ht="12.75">
      <c r="A42" s="112" t="s">
        <v>519</v>
      </c>
      <c r="J42" s="622"/>
      <c r="K42" s="622"/>
    </row>
    <row r="44" spans="1:11">
      <c r="A44" s="978" t="s">
        <v>520</v>
      </c>
      <c r="B44" s="979"/>
      <c r="C44" s="979"/>
      <c r="D44" s="979"/>
      <c r="E44" s="979"/>
      <c r="F44" s="979"/>
      <c r="G44" s="979"/>
      <c r="H44" s="979"/>
      <c r="I44" s="985"/>
    </row>
    <row r="45" spans="1:11" ht="29.25" customHeight="1">
      <c r="A45" s="460"/>
      <c r="B45" s="109"/>
      <c r="C45" s="150" t="s">
        <v>521</v>
      </c>
      <c r="D45" s="150" t="s">
        <v>522</v>
      </c>
      <c r="E45" s="150" t="s">
        <v>523</v>
      </c>
      <c r="F45" s="1024" t="s">
        <v>524</v>
      </c>
      <c r="G45" s="1025"/>
      <c r="H45" s="1024" t="s">
        <v>525</v>
      </c>
      <c r="I45" s="1025"/>
    </row>
    <row r="46" spans="1:11">
      <c r="A46" s="1026"/>
      <c r="B46" s="998" t="s">
        <v>526</v>
      </c>
      <c r="C46" s="1028"/>
      <c r="D46" s="990"/>
      <c r="E46" s="990"/>
      <c r="F46" s="990"/>
      <c r="G46" s="990"/>
      <c r="H46" s="990"/>
      <c r="I46" s="992"/>
    </row>
    <row r="47" spans="1:11" ht="10.5" customHeight="1">
      <c r="A47" s="1026"/>
      <c r="B47" s="999"/>
      <c r="C47" s="1029"/>
      <c r="D47" s="991"/>
      <c r="E47" s="991"/>
      <c r="F47" s="991"/>
      <c r="G47" s="991"/>
      <c r="H47" s="991"/>
      <c r="I47" s="993"/>
    </row>
    <row r="48" spans="1:11" ht="11.25" customHeight="1">
      <c r="A48" s="1026"/>
      <c r="B48" s="999"/>
      <c r="C48" s="1029"/>
      <c r="D48" s="991"/>
      <c r="E48" s="991"/>
      <c r="F48" s="991"/>
      <c r="G48" s="991"/>
      <c r="H48" s="991"/>
      <c r="I48" s="993"/>
    </row>
    <row r="49" spans="1:9" ht="9.75" customHeight="1">
      <c r="A49" s="1026"/>
      <c r="B49" s="1027"/>
      <c r="C49" s="1030"/>
      <c r="D49" s="1006"/>
      <c r="E49" s="1006"/>
      <c r="F49" s="1006"/>
      <c r="G49" s="1006"/>
      <c r="H49" s="1006"/>
      <c r="I49" s="1007"/>
    </row>
    <row r="50" spans="1:9">
      <c r="A50" s="1026"/>
      <c r="B50" s="1008" t="s">
        <v>527</v>
      </c>
      <c r="C50" s="1028"/>
      <c r="D50" s="990"/>
      <c r="E50" s="990"/>
      <c r="F50" s="990"/>
      <c r="G50" s="990"/>
      <c r="H50" s="990"/>
      <c r="I50" s="992"/>
    </row>
    <row r="51" spans="1:9" ht="12.75" customHeight="1">
      <c r="A51" s="1026"/>
      <c r="B51" s="1009"/>
      <c r="C51" s="1029"/>
      <c r="D51" s="991"/>
      <c r="E51" s="991"/>
      <c r="F51" s="991"/>
      <c r="G51" s="991"/>
      <c r="H51" s="991"/>
      <c r="I51" s="993"/>
    </row>
    <row r="52" spans="1:9" ht="9.75" customHeight="1">
      <c r="A52" s="1036"/>
      <c r="B52" s="1010"/>
      <c r="C52" s="1030"/>
      <c r="D52" s="1006"/>
      <c r="E52" s="1006"/>
      <c r="F52" s="1006"/>
      <c r="G52" s="1006"/>
      <c r="H52" s="1006"/>
      <c r="I52" s="1007"/>
    </row>
    <row r="53" spans="1:9">
      <c r="A53" s="978" t="s">
        <v>528</v>
      </c>
      <c r="B53" s="979"/>
      <c r="C53" s="979"/>
      <c r="D53" s="979"/>
      <c r="E53" s="979"/>
      <c r="F53" s="979"/>
      <c r="G53" s="979"/>
      <c r="H53" s="979"/>
      <c r="I53" s="985"/>
    </row>
    <row r="54" spans="1:9" ht="14.25" customHeight="1">
      <c r="A54" s="1032"/>
      <c r="B54" s="1033"/>
      <c r="C54" s="986" t="s">
        <v>529</v>
      </c>
      <c r="D54" s="987"/>
      <c r="E54" s="986" t="s">
        <v>530</v>
      </c>
      <c r="F54" s="1004"/>
      <c r="G54" s="990"/>
      <c r="H54" s="990"/>
      <c r="I54" s="992"/>
    </row>
    <row r="55" spans="1:9" ht="11.25" customHeight="1">
      <c r="A55" s="1026"/>
      <c r="B55" s="1034"/>
      <c r="C55" s="988"/>
      <c r="D55" s="989"/>
      <c r="E55" s="988"/>
      <c r="F55" s="1035"/>
      <c r="G55" s="1006"/>
      <c r="H55" s="1006"/>
      <c r="I55" s="1007"/>
    </row>
    <row r="56" spans="1:9" ht="11.25" customHeight="1">
      <c r="A56" s="1026"/>
      <c r="B56" s="1008" t="s">
        <v>526</v>
      </c>
      <c r="C56" s="1028"/>
      <c r="D56" s="990"/>
      <c r="E56" s="990"/>
      <c r="F56" s="990"/>
      <c r="G56" s="990"/>
      <c r="H56" s="990"/>
      <c r="I56" s="992"/>
    </row>
    <row r="57" spans="1:9" ht="13.5" customHeight="1">
      <c r="A57" s="1026"/>
      <c r="B57" s="1009"/>
      <c r="C57" s="1029"/>
      <c r="D57" s="991"/>
      <c r="E57" s="991"/>
      <c r="F57" s="991"/>
      <c r="G57" s="991"/>
      <c r="H57" s="991"/>
      <c r="I57" s="993"/>
    </row>
    <row r="58" spans="1:9" ht="9.75" customHeight="1">
      <c r="A58" s="1026"/>
      <c r="B58" s="1009"/>
      <c r="C58" s="1029"/>
      <c r="D58" s="991"/>
      <c r="E58" s="991"/>
      <c r="F58" s="991"/>
      <c r="G58" s="991"/>
      <c r="H58" s="991"/>
      <c r="I58" s="993"/>
    </row>
    <row r="59" spans="1:9" ht="12.75" customHeight="1">
      <c r="A59" s="1026"/>
      <c r="B59" s="1010"/>
      <c r="C59" s="1030"/>
      <c r="D59" s="1006"/>
      <c r="E59" s="1006"/>
      <c r="F59" s="1006"/>
      <c r="G59" s="1006"/>
      <c r="H59" s="1006"/>
      <c r="I59" s="1007"/>
    </row>
    <row r="60" spans="1:9">
      <c r="A60" s="1026"/>
      <c r="B60" s="1008" t="s">
        <v>527</v>
      </c>
      <c r="C60" s="1028"/>
      <c r="D60" s="990"/>
      <c r="E60" s="990"/>
      <c r="F60" s="990"/>
      <c r="G60" s="990"/>
      <c r="H60" s="990"/>
      <c r="I60" s="992"/>
    </row>
    <row r="61" spans="1:9" ht="13.5" customHeight="1">
      <c r="A61" s="1026"/>
      <c r="B61" s="1009"/>
      <c r="C61" s="1029"/>
      <c r="D61" s="991"/>
      <c r="E61" s="991"/>
      <c r="F61" s="991"/>
      <c r="G61" s="991"/>
      <c r="H61" s="991"/>
      <c r="I61" s="993"/>
    </row>
    <row r="62" spans="1:9" ht="10.5" customHeight="1">
      <c r="A62" s="1026"/>
      <c r="B62" s="1010"/>
      <c r="C62" s="1030"/>
      <c r="D62" s="1006"/>
      <c r="E62" s="1006"/>
      <c r="F62" s="1006"/>
      <c r="G62" s="1006"/>
      <c r="H62" s="1006"/>
      <c r="I62" s="1007"/>
    </row>
    <row r="63" spans="1:9">
      <c r="A63" s="110"/>
    </row>
    <row r="64" spans="1:9">
      <c r="A64" s="110"/>
    </row>
    <row r="65" spans="1:11" s="110" customFormat="1">
      <c r="A65" s="969" t="s">
        <v>531</v>
      </c>
      <c r="B65" s="970"/>
      <c r="C65" s="970"/>
      <c r="D65" s="970"/>
      <c r="E65" s="970"/>
      <c r="F65" s="970"/>
      <c r="G65" s="970"/>
      <c r="H65" s="970"/>
      <c r="I65" s="970"/>
      <c r="J65" s="626"/>
      <c r="K65" s="626"/>
    </row>
    <row r="66" spans="1:11">
      <c r="A66" s="978" t="s">
        <v>532</v>
      </c>
      <c r="B66" s="979"/>
      <c r="C66" s="979"/>
      <c r="D66" s="979"/>
      <c r="E66" s="979"/>
      <c r="F66" s="979"/>
      <c r="G66" s="979"/>
      <c r="H66" s="979"/>
      <c r="I66" s="985"/>
    </row>
    <row r="67" spans="1:11" ht="11.25" customHeight="1">
      <c r="B67" s="118"/>
      <c r="C67" s="974" t="s">
        <v>529</v>
      </c>
      <c r="D67" s="964"/>
      <c r="E67" s="974" t="s">
        <v>530</v>
      </c>
      <c r="F67" s="976"/>
      <c r="G67" s="990"/>
      <c r="H67" s="990"/>
      <c r="I67" s="992"/>
    </row>
    <row r="68" spans="1:11" ht="16.5" customHeight="1">
      <c r="B68" s="119"/>
      <c r="C68" s="996"/>
      <c r="D68" s="997"/>
      <c r="E68" s="996"/>
      <c r="F68" s="1011"/>
      <c r="G68" s="1006"/>
      <c r="H68" s="1006"/>
      <c r="I68" s="1007"/>
    </row>
    <row r="69" spans="1:11">
      <c r="B69" s="1008" t="s">
        <v>526</v>
      </c>
      <c r="C69" s="120"/>
      <c r="D69" s="124"/>
      <c r="E69" s="124"/>
      <c r="F69" s="124"/>
      <c r="G69" s="124"/>
      <c r="H69" s="124"/>
      <c r="I69" s="121"/>
    </row>
    <row r="70" spans="1:11" ht="11.25" customHeight="1">
      <c r="B70" s="1009"/>
      <c r="C70" s="125"/>
      <c r="D70" s="110"/>
      <c r="E70" s="110"/>
      <c r="F70" s="110"/>
      <c r="G70" s="110"/>
      <c r="H70" s="110"/>
      <c r="I70" s="126"/>
    </row>
    <row r="71" spans="1:11" ht="14.25" customHeight="1">
      <c r="B71" s="1010"/>
      <c r="C71" s="122"/>
      <c r="D71" s="25"/>
      <c r="E71" s="25"/>
      <c r="F71" s="25"/>
      <c r="G71" s="25"/>
      <c r="H71" s="25"/>
      <c r="I71" s="123"/>
    </row>
    <row r="72" spans="1:11">
      <c r="B72" s="1008" t="s">
        <v>527</v>
      </c>
      <c r="C72" s="120"/>
      <c r="D72" s="124"/>
      <c r="E72" s="124"/>
      <c r="F72" s="124"/>
      <c r="G72" s="124"/>
      <c r="H72" s="124"/>
      <c r="I72" s="121"/>
    </row>
    <row r="73" spans="1:11" ht="10.5" customHeight="1">
      <c r="B73" s="1009"/>
      <c r="C73" s="125"/>
      <c r="D73" s="110"/>
      <c r="E73" s="110"/>
      <c r="F73" s="110"/>
      <c r="G73" s="110"/>
      <c r="H73" s="110"/>
      <c r="I73" s="126"/>
    </row>
    <row r="74" spans="1:11" ht="12" customHeight="1">
      <c r="B74" s="1010"/>
      <c r="C74" s="122"/>
      <c r="D74" s="25"/>
      <c r="E74" s="25"/>
      <c r="F74" s="25"/>
      <c r="G74" s="25"/>
      <c r="H74" s="25"/>
      <c r="I74" s="123"/>
    </row>
    <row r="75" spans="1:11">
      <c r="A75" s="978" t="s">
        <v>533</v>
      </c>
      <c r="B75" s="979"/>
      <c r="C75" s="979"/>
      <c r="D75" s="979"/>
      <c r="E75" s="979"/>
      <c r="F75" s="979"/>
      <c r="G75" s="979"/>
      <c r="H75" s="979"/>
      <c r="I75" s="985"/>
    </row>
    <row r="76" spans="1:11" ht="11.25" customHeight="1">
      <c r="B76" s="118"/>
      <c r="C76" s="1012" t="s">
        <v>534</v>
      </c>
      <c r="D76" s="1012" t="s">
        <v>535</v>
      </c>
      <c r="E76" s="1012" t="s">
        <v>536</v>
      </c>
      <c r="F76" s="1012" t="s">
        <v>85</v>
      </c>
      <c r="G76" s="1022" t="s">
        <v>537</v>
      </c>
      <c r="H76" s="986" t="s">
        <v>538</v>
      </c>
      <c r="I76" s="987"/>
    </row>
    <row r="77" spans="1:11" ht="17.25" customHeight="1">
      <c r="B77" s="119"/>
      <c r="C77" s="1013"/>
      <c r="D77" s="1013"/>
      <c r="E77" s="1013"/>
      <c r="F77" s="1013"/>
      <c r="G77" s="1023"/>
      <c r="H77" s="988"/>
      <c r="I77" s="989"/>
    </row>
    <row r="78" spans="1:11" ht="11.25" customHeight="1">
      <c r="B78" s="1008" t="s">
        <v>526</v>
      </c>
      <c r="C78" s="120"/>
      <c r="D78" s="124"/>
      <c r="E78" s="124"/>
      <c r="F78" s="124"/>
      <c r="G78" s="124"/>
      <c r="H78" s="124"/>
      <c r="I78" s="121"/>
    </row>
    <row r="79" spans="1:11" ht="11.25" customHeight="1">
      <c r="B79" s="1009"/>
      <c r="C79" s="125"/>
      <c r="D79" s="110"/>
      <c r="E79" s="110"/>
      <c r="F79" s="110"/>
      <c r="G79" s="110"/>
      <c r="H79" s="110"/>
      <c r="I79" s="126"/>
    </row>
    <row r="80" spans="1:11" ht="14.25" customHeight="1">
      <c r="B80" s="1010"/>
      <c r="C80" s="122"/>
      <c r="D80" s="25"/>
      <c r="E80" s="25"/>
      <c r="F80" s="25"/>
      <c r="G80" s="25"/>
      <c r="H80" s="25"/>
      <c r="I80" s="123"/>
    </row>
    <row r="81" spans="1:9">
      <c r="B81" s="1008" t="s">
        <v>527</v>
      </c>
      <c r="C81" s="120"/>
      <c r="D81" s="124"/>
      <c r="E81" s="124"/>
      <c r="F81" s="124"/>
      <c r="G81" s="124"/>
      <c r="H81" s="124"/>
      <c r="I81" s="121"/>
    </row>
    <row r="82" spans="1:9" ht="10.5" customHeight="1">
      <c r="B82" s="1009"/>
      <c r="C82" s="125"/>
      <c r="D82" s="110"/>
      <c r="E82" s="110"/>
      <c r="F82" s="110"/>
      <c r="G82" s="110"/>
      <c r="H82" s="110"/>
      <c r="I82" s="126"/>
    </row>
    <row r="83" spans="1:9" ht="12" customHeight="1">
      <c r="B83" s="1010"/>
      <c r="C83" s="122"/>
      <c r="D83" s="25"/>
      <c r="E83" s="25"/>
      <c r="F83" s="25"/>
      <c r="G83" s="25"/>
      <c r="H83" s="25"/>
      <c r="I83" s="123"/>
    </row>
    <row r="84" spans="1:9">
      <c r="A84" s="978" t="s">
        <v>539</v>
      </c>
      <c r="B84" s="979"/>
      <c r="C84" s="979"/>
      <c r="D84" s="979"/>
      <c r="E84" s="979"/>
      <c r="F84" s="979"/>
      <c r="G84" s="979"/>
      <c r="H84" s="979"/>
      <c r="I84" s="985"/>
    </row>
    <row r="85" spans="1:9" ht="11.25" customHeight="1">
      <c r="B85" s="118"/>
      <c r="C85" s="974" t="s">
        <v>529</v>
      </c>
      <c r="D85" s="964"/>
      <c r="E85" s="974" t="s">
        <v>530</v>
      </c>
      <c r="F85" s="976"/>
      <c r="G85" s="990"/>
      <c r="H85" s="990"/>
      <c r="I85" s="992"/>
    </row>
    <row r="86" spans="1:9" ht="18.75" customHeight="1">
      <c r="B86" s="119"/>
      <c r="C86" s="996"/>
      <c r="D86" s="997"/>
      <c r="E86" s="996"/>
      <c r="F86" s="1011"/>
      <c r="G86" s="1006"/>
      <c r="H86" s="1006"/>
      <c r="I86" s="1007"/>
    </row>
    <row r="87" spans="1:9" ht="13.5" customHeight="1">
      <c r="B87" s="1008" t="s">
        <v>526</v>
      </c>
      <c r="C87" s="120"/>
      <c r="D87" s="124"/>
      <c r="E87" s="124"/>
      <c r="F87" s="124"/>
      <c r="G87" s="124"/>
      <c r="H87" s="124"/>
      <c r="I87" s="121"/>
    </row>
    <row r="88" spans="1:9" ht="11.25" customHeight="1">
      <c r="B88" s="1009"/>
      <c r="C88" s="125"/>
      <c r="D88" s="110"/>
      <c r="E88" s="110"/>
      <c r="F88" s="110"/>
      <c r="G88" s="110"/>
      <c r="H88" s="110"/>
      <c r="I88" s="126"/>
    </row>
    <row r="89" spans="1:9" ht="14.25" customHeight="1">
      <c r="B89" s="1010"/>
      <c r="C89" s="122"/>
      <c r="D89" s="25"/>
      <c r="E89" s="25"/>
      <c r="F89" s="25"/>
      <c r="G89" s="25"/>
      <c r="H89" s="25"/>
      <c r="I89" s="123"/>
    </row>
    <row r="90" spans="1:9">
      <c r="B90" s="1008" t="s">
        <v>527</v>
      </c>
      <c r="C90" s="120"/>
      <c r="D90" s="124"/>
      <c r="E90" s="124"/>
      <c r="F90" s="124"/>
      <c r="G90" s="124"/>
      <c r="H90" s="124"/>
      <c r="I90" s="121"/>
    </row>
    <row r="91" spans="1:9" ht="10.5" customHeight="1">
      <c r="B91" s="1009"/>
      <c r="C91" s="125"/>
      <c r="D91" s="110"/>
      <c r="E91" s="110"/>
      <c r="F91" s="110"/>
      <c r="G91" s="110"/>
      <c r="H91" s="110"/>
      <c r="I91" s="126"/>
    </row>
    <row r="92" spans="1:9" ht="12" customHeight="1">
      <c r="B92" s="1010"/>
      <c r="C92" s="122"/>
      <c r="D92" s="25"/>
      <c r="E92" s="25"/>
      <c r="F92" s="25"/>
      <c r="G92" s="25"/>
      <c r="H92" s="25"/>
      <c r="I92" s="123"/>
    </row>
    <row r="93" spans="1:9">
      <c r="A93" s="978" t="s">
        <v>540</v>
      </c>
      <c r="B93" s="979"/>
      <c r="C93" s="979"/>
      <c r="D93" s="979"/>
      <c r="E93" s="979"/>
      <c r="F93" s="979"/>
      <c r="G93" s="979"/>
      <c r="H93" s="979"/>
      <c r="I93" s="985"/>
    </row>
    <row r="94" spans="1:9" ht="11.25" customHeight="1">
      <c r="B94" s="118"/>
      <c r="C94" s="974" t="s">
        <v>529</v>
      </c>
      <c r="D94" s="964"/>
      <c r="E94" s="974" t="s">
        <v>541</v>
      </c>
      <c r="F94" s="976"/>
      <c r="G94" s="974" t="s">
        <v>542</v>
      </c>
      <c r="H94" s="976"/>
      <c r="I94" s="992"/>
    </row>
    <row r="95" spans="1:9" ht="18" customHeight="1">
      <c r="B95" s="119"/>
      <c r="C95" s="996"/>
      <c r="D95" s="997"/>
      <c r="E95" s="996"/>
      <c r="F95" s="1011"/>
      <c r="G95" s="996"/>
      <c r="H95" s="1011"/>
      <c r="I95" s="1007"/>
    </row>
    <row r="96" spans="1:9">
      <c r="B96" s="1008" t="s">
        <v>526</v>
      </c>
      <c r="C96" s="120"/>
      <c r="D96" s="124"/>
      <c r="E96" s="124"/>
      <c r="F96" s="124"/>
      <c r="G96" s="124"/>
      <c r="H96" s="124"/>
      <c r="I96" s="121"/>
    </row>
    <row r="97" spans="1:9" ht="11.25" customHeight="1">
      <c r="B97" s="1009"/>
      <c r="C97" s="125"/>
      <c r="D97" s="110"/>
      <c r="E97" s="110"/>
      <c r="F97" s="110"/>
      <c r="G97" s="110"/>
      <c r="H97" s="110"/>
      <c r="I97" s="126"/>
    </row>
    <row r="98" spans="1:9" ht="14.25" customHeight="1">
      <c r="B98" s="1010"/>
      <c r="C98" s="122"/>
      <c r="D98" s="25"/>
      <c r="E98" s="25"/>
      <c r="F98" s="25"/>
      <c r="G98" s="25"/>
      <c r="H98" s="25"/>
      <c r="I98" s="123"/>
    </row>
    <row r="99" spans="1:9">
      <c r="B99" s="1008" t="s">
        <v>527</v>
      </c>
      <c r="C99" s="120"/>
      <c r="D99" s="124"/>
      <c r="E99" s="124"/>
      <c r="F99" s="124"/>
      <c r="G99" s="124"/>
      <c r="H99" s="124"/>
      <c r="I99" s="121"/>
    </row>
    <row r="100" spans="1:9" ht="10.5" customHeight="1">
      <c r="B100" s="1009"/>
      <c r="C100" s="125"/>
      <c r="D100" s="110"/>
      <c r="E100" s="110"/>
      <c r="F100" s="110"/>
      <c r="G100" s="110"/>
      <c r="H100" s="110"/>
      <c r="I100" s="126"/>
    </row>
    <row r="101" spans="1:9" ht="12" customHeight="1">
      <c r="B101" s="1010"/>
      <c r="C101" s="122"/>
      <c r="D101" s="25"/>
      <c r="E101" s="25"/>
      <c r="F101" s="25"/>
      <c r="G101" s="25"/>
      <c r="H101" s="25"/>
      <c r="I101" s="123"/>
    </row>
    <row r="102" spans="1:9">
      <c r="A102" s="978" t="s">
        <v>543</v>
      </c>
      <c r="B102" s="979"/>
      <c r="C102" s="979"/>
      <c r="D102" s="979"/>
      <c r="E102" s="979"/>
      <c r="F102" s="979"/>
      <c r="G102" s="979"/>
      <c r="H102" s="979"/>
      <c r="I102" s="985"/>
    </row>
    <row r="103" spans="1:9" ht="11.25" customHeight="1">
      <c r="B103" s="994"/>
      <c r="C103" s="986" t="s">
        <v>529</v>
      </c>
      <c r="D103" s="987"/>
      <c r="E103" s="986" t="s">
        <v>530</v>
      </c>
      <c r="F103" s="1004"/>
      <c r="G103" s="990"/>
      <c r="H103" s="990"/>
      <c r="I103" s="992"/>
    </row>
    <row r="104" spans="1:9" ht="15" customHeight="1">
      <c r="B104" s="995"/>
      <c r="C104" s="1002"/>
      <c r="D104" s="1003"/>
      <c r="E104" s="1002"/>
      <c r="F104" s="1005"/>
      <c r="G104" s="991"/>
      <c r="H104" s="991"/>
      <c r="I104" s="993"/>
    </row>
    <row r="105" spans="1:9" ht="11.25" customHeight="1">
      <c r="B105" s="983"/>
      <c r="C105" s="120"/>
      <c r="D105" s="124"/>
      <c r="E105" s="124"/>
      <c r="F105" s="124"/>
      <c r="G105" s="124"/>
      <c r="H105" s="124"/>
      <c r="I105" s="121"/>
    </row>
    <row r="106" spans="1:9" ht="11.25" customHeight="1">
      <c r="B106" s="983"/>
      <c r="C106" s="125"/>
      <c r="D106" s="110"/>
      <c r="E106" s="110"/>
      <c r="F106" s="110"/>
      <c r="G106" s="110"/>
      <c r="H106" s="110"/>
      <c r="I106" s="126"/>
    </row>
    <row r="107" spans="1:9" ht="14.25" customHeight="1">
      <c r="B107" s="983"/>
      <c r="C107" s="125"/>
      <c r="D107" s="110"/>
      <c r="E107" s="110"/>
      <c r="F107" s="110"/>
      <c r="G107" s="110"/>
      <c r="H107" s="110"/>
      <c r="I107" s="126"/>
    </row>
    <row r="108" spans="1:9" ht="9.75" customHeight="1">
      <c r="B108" s="983"/>
      <c r="C108" s="125"/>
      <c r="D108" s="110"/>
      <c r="E108" s="110"/>
      <c r="F108" s="110"/>
      <c r="G108" s="110"/>
      <c r="H108" s="110"/>
      <c r="I108" s="126"/>
    </row>
    <row r="109" spans="1:9" ht="10.5" customHeight="1">
      <c r="B109" s="983"/>
      <c r="C109" s="125"/>
      <c r="D109" s="110"/>
      <c r="E109" s="110"/>
      <c r="F109" s="110"/>
      <c r="G109" s="110"/>
      <c r="H109" s="110"/>
      <c r="I109" s="126"/>
    </row>
    <row r="110" spans="1:9" ht="12" customHeight="1">
      <c r="B110" s="984"/>
      <c r="C110" s="122"/>
      <c r="D110" s="25"/>
      <c r="E110" s="25"/>
      <c r="F110" s="25"/>
      <c r="G110" s="25"/>
      <c r="H110" s="25"/>
      <c r="I110" s="123"/>
    </row>
    <row r="111" spans="1:9">
      <c r="A111" s="978" t="s">
        <v>544</v>
      </c>
      <c r="B111" s="979"/>
      <c r="C111" s="1018"/>
      <c r="D111" s="1018"/>
      <c r="E111" s="1018"/>
      <c r="F111" s="1018"/>
      <c r="G111" s="1018"/>
      <c r="H111" s="1018"/>
      <c r="I111" s="1019"/>
    </row>
    <row r="112" spans="1:9" ht="11.25" customHeight="1">
      <c r="B112" s="998" t="s">
        <v>545</v>
      </c>
      <c r="C112" s="1014" t="s">
        <v>535</v>
      </c>
      <c r="D112" s="1015"/>
      <c r="E112" s="1020" t="s">
        <v>85</v>
      </c>
      <c r="F112" s="1014" t="s">
        <v>546</v>
      </c>
      <c r="G112" s="1015"/>
      <c r="H112" s="1014" t="s">
        <v>547</v>
      </c>
      <c r="I112" s="1015"/>
    </row>
    <row r="113" spans="2:9" ht="17.25" customHeight="1">
      <c r="B113" s="999"/>
      <c r="C113" s="1016"/>
      <c r="D113" s="1017"/>
      <c r="E113" s="1021"/>
      <c r="F113" s="1016"/>
      <c r="G113" s="1017"/>
      <c r="H113" s="1016"/>
      <c r="I113" s="1017"/>
    </row>
    <row r="114" spans="2:9">
      <c r="B114" s="1000"/>
      <c r="C114" s="120"/>
      <c r="D114" s="124"/>
      <c r="E114" s="124"/>
      <c r="F114" s="124"/>
      <c r="G114" s="124"/>
      <c r="H114" s="124"/>
      <c r="I114" s="121"/>
    </row>
    <row r="115" spans="2:9" ht="11.25" customHeight="1">
      <c r="B115" s="1000"/>
      <c r="C115" s="125"/>
      <c r="D115" s="110"/>
      <c r="E115" s="110"/>
      <c r="F115" s="110"/>
      <c r="G115" s="110"/>
      <c r="H115" s="110"/>
      <c r="I115" s="126"/>
    </row>
    <row r="116" spans="2:9" ht="14.25" customHeight="1">
      <c r="B116" s="1000"/>
      <c r="C116" s="125"/>
      <c r="D116" s="110"/>
      <c r="E116" s="110"/>
      <c r="F116" s="110"/>
      <c r="G116" s="110"/>
      <c r="H116" s="110"/>
      <c r="I116" s="126"/>
    </row>
    <row r="117" spans="2:9">
      <c r="B117" s="1000"/>
      <c r="C117" s="125"/>
      <c r="D117" s="110"/>
      <c r="E117" s="110"/>
      <c r="F117" s="110"/>
      <c r="G117" s="110"/>
      <c r="H117" s="110"/>
      <c r="I117" s="126"/>
    </row>
    <row r="118" spans="2:9" ht="10.5" customHeight="1">
      <c r="B118" s="1000"/>
      <c r="C118" s="125"/>
      <c r="D118" s="110"/>
      <c r="E118" s="110"/>
      <c r="F118" s="110"/>
      <c r="G118" s="110"/>
      <c r="H118" s="110"/>
      <c r="I118" s="126"/>
    </row>
    <row r="119" spans="2:9" ht="12" customHeight="1">
      <c r="B119" s="1001"/>
      <c r="C119" s="122"/>
      <c r="D119" s="25"/>
      <c r="E119" s="25"/>
      <c r="F119" s="25"/>
      <c r="G119" s="25"/>
      <c r="H119" s="25"/>
      <c r="I119" s="123"/>
    </row>
    <row r="120" spans="2:9" ht="10.5" customHeight="1">
      <c r="B120" s="118"/>
      <c r="C120" s="125"/>
      <c r="D120" s="110"/>
      <c r="E120" s="110"/>
      <c r="F120" s="110"/>
      <c r="G120" s="110"/>
      <c r="H120" s="110"/>
      <c r="I120" s="126"/>
    </row>
    <row r="121" spans="2:9">
      <c r="B121" s="138" t="s">
        <v>548</v>
      </c>
      <c r="C121" s="125"/>
      <c r="D121" s="110"/>
      <c r="E121" s="110"/>
      <c r="F121" s="110"/>
      <c r="G121" s="110"/>
      <c r="H121" s="110"/>
      <c r="I121" s="126"/>
    </row>
    <row r="122" spans="2:9">
      <c r="B122" s="138" t="s">
        <v>549</v>
      </c>
      <c r="C122" s="125"/>
      <c r="D122" s="110"/>
      <c r="E122" s="110"/>
      <c r="F122" s="110"/>
      <c r="G122" s="110"/>
      <c r="H122" s="110"/>
      <c r="I122" s="126"/>
    </row>
    <row r="123" spans="2:9">
      <c r="B123" s="139" t="s">
        <v>550</v>
      </c>
      <c r="C123" s="122"/>
      <c r="D123" s="25"/>
      <c r="E123" s="25"/>
      <c r="F123" s="25"/>
      <c r="G123" s="25"/>
      <c r="H123" s="25"/>
      <c r="I123" s="123"/>
    </row>
    <row r="124" spans="2:9" ht="9.75" customHeight="1">
      <c r="B124" s="128"/>
      <c r="C124" s="120"/>
      <c r="D124" s="124"/>
      <c r="E124" s="124"/>
      <c r="F124" s="124"/>
      <c r="G124" s="124"/>
      <c r="H124" s="124"/>
      <c r="I124" s="121"/>
    </row>
    <row r="125" spans="2:9" ht="7.5" customHeight="1">
      <c r="B125" s="127"/>
      <c r="C125" s="125"/>
      <c r="D125" s="110"/>
      <c r="E125" s="110"/>
      <c r="F125" s="110"/>
      <c r="G125" s="110"/>
      <c r="H125" s="110"/>
      <c r="I125" s="126"/>
    </row>
    <row r="126" spans="2:9">
      <c r="B126" s="138" t="s">
        <v>551</v>
      </c>
      <c r="C126" s="125"/>
      <c r="D126" s="110"/>
      <c r="E126" s="110"/>
      <c r="F126" s="110"/>
      <c r="G126" s="110"/>
      <c r="H126" s="110"/>
      <c r="I126" s="126"/>
    </row>
    <row r="127" spans="2:9">
      <c r="B127" s="139" t="s">
        <v>552</v>
      </c>
      <c r="C127" s="122"/>
      <c r="D127" s="25"/>
      <c r="E127" s="25"/>
      <c r="F127" s="25"/>
      <c r="G127" s="25"/>
      <c r="H127" s="25"/>
      <c r="I127" s="123"/>
    </row>
    <row r="128" spans="2:9">
      <c r="B128" s="151"/>
      <c r="C128" s="110"/>
      <c r="D128" s="110"/>
      <c r="E128" s="110"/>
      <c r="F128" s="110"/>
      <c r="G128" s="110"/>
      <c r="H128" s="110"/>
      <c r="I128" s="110"/>
    </row>
    <row r="129" spans="1:11" s="110" customFormat="1">
      <c r="A129" s="969" t="s">
        <v>553</v>
      </c>
      <c r="B129" s="970"/>
      <c r="C129" s="970"/>
      <c r="D129" s="970"/>
      <c r="E129" s="970"/>
      <c r="F129" s="970"/>
      <c r="G129" s="970"/>
      <c r="H129" s="970"/>
      <c r="I129" s="970"/>
      <c r="J129" s="626"/>
      <c r="K129" s="626"/>
    </row>
    <row r="130" spans="1:11">
      <c r="A130" s="978" t="s">
        <v>554</v>
      </c>
      <c r="B130" s="979"/>
      <c r="C130" s="979"/>
      <c r="D130" s="979"/>
      <c r="E130" s="979"/>
      <c r="F130" s="979"/>
      <c r="G130" s="979"/>
      <c r="H130" s="979"/>
      <c r="I130" s="985"/>
    </row>
    <row r="131" spans="1:11" ht="11.25" customHeight="1">
      <c r="B131" s="998" t="s">
        <v>555</v>
      </c>
      <c r="C131" s="986" t="s">
        <v>535</v>
      </c>
      <c r="D131" s="987"/>
      <c r="E131" s="986" t="s">
        <v>85</v>
      </c>
      <c r="F131" s="1004"/>
      <c r="G131" s="990"/>
      <c r="H131" s="990"/>
      <c r="I131" s="992"/>
    </row>
    <row r="132" spans="1:11" ht="15" customHeight="1">
      <c r="B132" s="999"/>
      <c r="C132" s="1002"/>
      <c r="D132" s="1003"/>
      <c r="E132" s="1002"/>
      <c r="F132" s="1005"/>
      <c r="G132" s="991"/>
      <c r="H132" s="991"/>
      <c r="I132" s="993"/>
    </row>
    <row r="133" spans="1:11">
      <c r="B133" s="1000"/>
      <c r="C133" s="120"/>
      <c r="D133" s="124"/>
      <c r="E133" s="124"/>
      <c r="F133" s="124"/>
      <c r="G133" s="124"/>
      <c r="H133" s="124"/>
      <c r="I133" s="121"/>
    </row>
    <row r="134" spans="1:11" ht="11.25" customHeight="1">
      <c r="B134" s="1000"/>
      <c r="C134" s="125"/>
      <c r="D134" s="110"/>
      <c r="E134" s="110"/>
      <c r="F134" s="110"/>
      <c r="G134" s="110"/>
      <c r="H134" s="110"/>
      <c r="I134" s="126"/>
    </row>
    <row r="135" spans="1:11" ht="14.25" customHeight="1">
      <c r="B135" s="1000"/>
      <c r="C135" s="125"/>
      <c r="D135" s="110"/>
      <c r="E135" s="110"/>
      <c r="F135" s="110"/>
      <c r="G135" s="110"/>
      <c r="H135" s="110"/>
      <c r="I135" s="126"/>
    </row>
    <row r="136" spans="1:11">
      <c r="B136" s="1000"/>
      <c r="C136" s="125"/>
      <c r="D136" s="110"/>
      <c r="E136" s="110"/>
      <c r="F136" s="110"/>
      <c r="G136" s="110"/>
      <c r="H136" s="110"/>
      <c r="I136" s="126"/>
    </row>
    <row r="137" spans="1:11" ht="10.5" customHeight="1">
      <c r="B137" s="1000"/>
      <c r="C137" s="125"/>
      <c r="D137" s="110"/>
      <c r="E137" s="110"/>
      <c r="F137" s="110"/>
      <c r="G137" s="110"/>
      <c r="H137" s="110"/>
      <c r="I137" s="126"/>
    </row>
    <row r="138" spans="1:11" ht="12" customHeight="1">
      <c r="B138" s="1001"/>
      <c r="C138" s="122"/>
      <c r="D138" s="25"/>
      <c r="E138" s="25"/>
      <c r="F138" s="25"/>
      <c r="G138" s="25"/>
      <c r="H138" s="25"/>
      <c r="I138" s="123"/>
    </row>
    <row r="139" spans="1:11">
      <c r="A139" s="978" t="s">
        <v>556</v>
      </c>
      <c r="B139" s="979"/>
      <c r="C139" s="979"/>
      <c r="D139" s="979"/>
      <c r="E139" s="979"/>
      <c r="F139" s="979"/>
      <c r="G139" s="979"/>
      <c r="H139" s="979"/>
      <c r="I139" s="985"/>
    </row>
    <row r="140" spans="1:11" ht="11.25" customHeight="1">
      <c r="B140" s="994"/>
      <c r="C140" s="974" t="s">
        <v>535</v>
      </c>
      <c r="D140" s="964"/>
      <c r="E140" s="974" t="s">
        <v>557</v>
      </c>
      <c r="F140" s="964"/>
      <c r="G140" s="976" t="s">
        <v>85</v>
      </c>
      <c r="H140" s="976"/>
      <c r="I140" s="964"/>
    </row>
    <row r="141" spans="1:11" ht="15" customHeight="1">
      <c r="B141" s="995"/>
      <c r="C141" s="975"/>
      <c r="D141" s="965"/>
      <c r="E141" s="996"/>
      <c r="F141" s="997"/>
      <c r="G141" s="977"/>
      <c r="H141" s="977"/>
      <c r="I141" s="965"/>
    </row>
    <row r="142" spans="1:11">
      <c r="B142" s="983"/>
      <c r="C142" s="120"/>
      <c r="D142" s="124"/>
      <c r="E142" s="124"/>
      <c r="F142" s="124"/>
      <c r="G142" s="124"/>
      <c r="H142" s="124"/>
      <c r="I142" s="121"/>
    </row>
    <row r="143" spans="1:11">
      <c r="B143" s="983"/>
      <c r="C143" s="125"/>
      <c r="D143" s="110"/>
      <c r="E143" s="110"/>
      <c r="F143" s="110"/>
      <c r="G143" s="110"/>
      <c r="H143" s="110"/>
      <c r="I143" s="126"/>
    </row>
    <row r="144" spans="1:11">
      <c r="B144" s="983"/>
      <c r="C144" s="125"/>
      <c r="D144" s="110"/>
      <c r="E144" s="110"/>
      <c r="F144" s="110"/>
      <c r="G144" s="110"/>
      <c r="H144" s="110"/>
      <c r="I144" s="126"/>
    </row>
    <row r="145" spans="1:9" ht="11.25" customHeight="1">
      <c r="B145" s="983"/>
      <c r="C145" s="125"/>
      <c r="D145" s="110"/>
      <c r="E145" s="110"/>
      <c r="F145" s="110"/>
      <c r="G145" s="110"/>
      <c r="H145" s="110"/>
      <c r="I145" s="126"/>
    </row>
    <row r="146" spans="1:9" ht="14.25" customHeight="1">
      <c r="B146" s="984"/>
      <c r="C146" s="122"/>
      <c r="D146" s="25"/>
      <c r="E146" s="25"/>
      <c r="F146" s="25"/>
      <c r="G146" s="25"/>
      <c r="H146" s="25"/>
      <c r="I146" s="123"/>
    </row>
    <row r="147" spans="1:9">
      <c r="A147" s="978" t="s">
        <v>558</v>
      </c>
      <c r="B147" s="979"/>
      <c r="C147" s="979"/>
      <c r="D147" s="979"/>
      <c r="E147" s="979"/>
      <c r="F147" s="979"/>
      <c r="G147" s="979"/>
      <c r="H147" s="979"/>
      <c r="I147" s="985"/>
    </row>
    <row r="148" spans="1:9" ht="11.25" customHeight="1">
      <c r="B148" s="998" t="s">
        <v>559</v>
      </c>
      <c r="C148" s="986" t="s">
        <v>535</v>
      </c>
      <c r="D148" s="987"/>
      <c r="E148" s="986" t="s">
        <v>85</v>
      </c>
      <c r="F148" s="1004"/>
      <c r="G148" s="990"/>
      <c r="H148" s="990"/>
      <c r="I148" s="992"/>
    </row>
    <row r="149" spans="1:9" ht="17.25" customHeight="1">
      <c r="B149" s="999"/>
      <c r="C149" s="1002"/>
      <c r="D149" s="1003"/>
      <c r="E149" s="1002"/>
      <c r="F149" s="1005"/>
      <c r="G149" s="991"/>
      <c r="H149" s="991"/>
      <c r="I149" s="993"/>
    </row>
    <row r="150" spans="1:9">
      <c r="B150" s="1000"/>
      <c r="C150" s="120"/>
      <c r="D150" s="124"/>
      <c r="E150" s="124"/>
      <c r="F150" s="124"/>
      <c r="G150" s="124"/>
      <c r="H150" s="124"/>
      <c r="I150" s="121"/>
    </row>
    <row r="151" spans="1:9" ht="11.25" customHeight="1">
      <c r="B151" s="1000"/>
      <c r="C151" s="125"/>
      <c r="D151" s="110"/>
      <c r="E151" s="110"/>
      <c r="F151" s="110"/>
      <c r="G151" s="110"/>
      <c r="H151" s="110"/>
      <c r="I151" s="126"/>
    </row>
    <row r="152" spans="1:9" ht="14.25" customHeight="1">
      <c r="B152" s="1000"/>
      <c r="C152" s="125"/>
      <c r="D152" s="110"/>
      <c r="E152" s="110"/>
      <c r="F152" s="110"/>
      <c r="G152" s="110"/>
      <c r="H152" s="110"/>
      <c r="I152" s="126"/>
    </row>
    <row r="153" spans="1:9">
      <c r="B153" s="1000"/>
      <c r="C153" s="125"/>
      <c r="D153" s="110"/>
      <c r="E153" s="110"/>
      <c r="F153" s="110"/>
      <c r="G153" s="110"/>
      <c r="H153" s="110"/>
      <c r="I153" s="126"/>
    </row>
    <row r="154" spans="1:9" ht="10.5" customHeight="1">
      <c r="B154" s="1000"/>
      <c r="C154" s="125"/>
      <c r="D154" s="110"/>
      <c r="E154" s="110"/>
      <c r="F154" s="110"/>
      <c r="G154" s="110"/>
      <c r="H154" s="110"/>
      <c r="I154" s="126"/>
    </row>
    <row r="155" spans="1:9" ht="12" customHeight="1">
      <c r="B155" s="1001"/>
      <c r="C155" s="122"/>
      <c r="D155" s="25"/>
      <c r="E155" s="25"/>
      <c r="F155" s="25"/>
      <c r="G155" s="25"/>
      <c r="H155" s="25"/>
      <c r="I155" s="123"/>
    </row>
    <row r="156" spans="1:9">
      <c r="B156" s="118"/>
      <c r="C156" s="124"/>
      <c r="D156" s="124"/>
      <c r="E156" s="124"/>
      <c r="F156" s="124"/>
      <c r="G156" s="124"/>
      <c r="H156" s="124"/>
      <c r="I156" s="121"/>
    </row>
    <row r="157" spans="1:9">
      <c r="B157" s="138" t="s">
        <v>560</v>
      </c>
      <c r="C157" s="110"/>
      <c r="D157" s="110"/>
      <c r="E157" s="110"/>
      <c r="F157" s="110"/>
      <c r="G157" s="110"/>
      <c r="H157" s="110"/>
      <c r="I157" s="126"/>
    </row>
    <row r="158" spans="1:9">
      <c r="B158" s="127" t="s">
        <v>561</v>
      </c>
      <c r="C158" s="110"/>
      <c r="D158" s="110"/>
      <c r="E158" s="110"/>
      <c r="F158" s="110"/>
      <c r="G158" s="110"/>
      <c r="H158" s="110"/>
      <c r="I158" s="126"/>
    </row>
    <row r="159" spans="1:9">
      <c r="B159" s="127"/>
      <c r="C159" s="110"/>
      <c r="D159" s="110"/>
      <c r="E159" s="110"/>
      <c r="F159" s="110"/>
      <c r="G159" s="110"/>
      <c r="H159" s="110"/>
      <c r="I159" s="126"/>
    </row>
    <row r="160" spans="1:9">
      <c r="B160" s="119"/>
      <c r="C160" s="25"/>
      <c r="D160" s="25"/>
      <c r="E160" s="25"/>
      <c r="F160" s="25"/>
      <c r="G160" s="25"/>
      <c r="H160" s="25"/>
      <c r="I160" s="123"/>
    </row>
    <row r="161" spans="1:9">
      <c r="A161" s="978" t="s">
        <v>562</v>
      </c>
      <c r="B161" s="979"/>
      <c r="C161" s="979"/>
      <c r="D161" s="979"/>
      <c r="E161" s="979"/>
      <c r="F161" s="979"/>
      <c r="G161" s="979"/>
      <c r="H161" s="979"/>
      <c r="I161" s="985"/>
    </row>
    <row r="162" spans="1:9" ht="11.25" customHeight="1">
      <c r="B162" s="998" t="s">
        <v>563</v>
      </c>
      <c r="C162" s="974" t="s">
        <v>535</v>
      </c>
      <c r="D162" s="964"/>
      <c r="E162" s="974" t="s">
        <v>85</v>
      </c>
      <c r="F162" s="976"/>
      <c r="G162" s="990"/>
      <c r="H162" s="990"/>
      <c r="I162" s="992"/>
    </row>
    <row r="163" spans="1:9" ht="17.25" customHeight="1">
      <c r="B163" s="999"/>
      <c r="C163" s="975"/>
      <c r="D163" s="965"/>
      <c r="E163" s="975"/>
      <c r="F163" s="977"/>
      <c r="G163" s="991"/>
      <c r="H163" s="991"/>
      <c r="I163" s="993"/>
    </row>
    <row r="164" spans="1:9">
      <c r="B164" s="1000"/>
      <c r="C164" s="120"/>
      <c r="D164" s="124"/>
      <c r="E164" s="124"/>
      <c r="F164" s="124"/>
      <c r="G164" s="124"/>
      <c r="H164" s="124"/>
      <c r="I164" s="121"/>
    </row>
    <row r="165" spans="1:9" ht="11.25" customHeight="1">
      <c r="B165" s="1000"/>
      <c r="C165" s="125"/>
      <c r="D165" s="110"/>
      <c r="E165" s="110"/>
      <c r="F165" s="110"/>
      <c r="G165" s="110"/>
      <c r="H165" s="110"/>
      <c r="I165" s="126"/>
    </row>
    <row r="166" spans="1:9" ht="14.25" customHeight="1">
      <c r="B166" s="1000"/>
      <c r="C166" s="125"/>
      <c r="D166" s="110"/>
      <c r="E166" s="110"/>
      <c r="F166" s="110"/>
      <c r="G166" s="110"/>
      <c r="H166" s="110"/>
      <c r="I166" s="126"/>
    </row>
    <row r="167" spans="1:9">
      <c r="B167" s="1000"/>
      <c r="C167" s="125"/>
      <c r="D167" s="110"/>
      <c r="E167" s="110"/>
      <c r="F167" s="110"/>
      <c r="G167" s="110"/>
      <c r="H167" s="110"/>
      <c r="I167" s="126"/>
    </row>
    <row r="168" spans="1:9" ht="10.5" customHeight="1">
      <c r="B168" s="1000"/>
      <c r="C168" s="125"/>
      <c r="D168" s="110"/>
      <c r="E168" s="110"/>
      <c r="F168" s="110"/>
      <c r="G168" s="110"/>
      <c r="H168" s="110"/>
      <c r="I168" s="126"/>
    </row>
    <row r="169" spans="1:9" ht="12" customHeight="1">
      <c r="B169" s="1001"/>
      <c r="C169" s="122"/>
      <c r="D169" s="25"/>
      <c r="E169" s="25"/>
      <c r="F169" s="25"/>
      <c r="G169" s="25"/>
      <c r="H169" s="25"/>
      <c r="I169" s="123"/>
    </row>
    <row r="170" spans="1:9">
      <c r="B170" s="118"/>
      <c r="C170" s="124"/>
      <c r="D170" s="124"/>
      <c r="E170" s="124"/>
      <c r="F170" s="124"/>
      <c r="G170" s="124"/>
      <c r="H170" s="124"/>
      <c r="I170" s="121"/>
    </row>
    <row r="171" spans="1:9">
      <c r="B171" s="138" t="s">
        <v>564</v>
      </c>
      <c r="C171" s="110"/>
      <c r="D171" s="110"/>
      <c r="E171" s="110"/>
      <c r="F171" s="110"/>
      <c r="G171" s="110"/>
      <c r="H171" s="110"/>
      <c r="I171" s="126"/>
    </row>
    <row r="172" spans="1:9">
      <c r="B172" s="140">
        <v>11</v>
      </c>
      <c r="C172" s="110"/>
      <c r="D172" s="110"/>
      <c r="E172" s="110"/>
      <c r="F172" s="110"/>
      <c r="G172" s="110"/>
      <c r="H172" s="110"/>
      <c r="I172" s="126"/>
    </row>
    <row r="173" spans="1:9">
      <c r="B173" s="140"/>
      <c r="C173" s="110"/>
      <c r="D173" s="110"/>
      <c r="E173" s="110"/>
      <c r="F173" s="110"/>
      <c r="G173" s="110"/>
      <c r="H173" s="110"/>
      <c r="I173" s="126"/>
    </row>
    <row r="174" spans="1:9">
      <c r="B174" s="119"/>
      <c r="C174" s="25"/>
      <c r="D174" s="25"/>
      <c r="E174" s="25"/>
      <c r="F174" s="25"/>
      <c r="G174" s="25"/>
      <c r="H174" s="25"/>
      <c r="I174" s="123"/>
    </row>
    <row r="175" spans="1:9">
      <c r="A175" s="978" t="s">
        <v>565</v>
      </c>
      <c r="B175" s="979"/>
      <c r="C175" s="979"/>
      <c r="D175" s="979"/>
      <c r="E175" s="979"/>
      <c r="F175" s="979"/>
      <c r="G175" s="979"/>
      <c r="H175" s="979"/>
      <c r="I175" s="985"/>
    </row>
    <row r="176" spans="1:9" ht="11.25" customHeight="1">
      <c r="B176" s="994"/>
      <c r="C176" s="974" t="s">
        <v>535</v>
      </c>
      <c r="D176" s="964"/>
      <c r="E176" s="974" t="s">
        <v>85</v>
      </c>
      <c r="F176" s="964"/>
      <c r="G176" s="976" t="s">
        <v>566</v>
      </c>
      <c r="H176" s="976"/>
      <c r="I176" s="964"/>
    </row>
    <row r="177" spans="1:9" ht="15" customHeight="1">
      <c r="B177" s="995"/>
      <c r="C177" s="975"/>
      <c r="D177" s="965"/>
      <c r="E177" s="996"/>
      <c r="F177" s="997"/>
      <c r="G177" s="977"/>
      <c r="H177" s="977"/>
      <c r="I177" s="965"/>
    </row>
    <row r="178" spans="1:9">
      <c r="B178" s="983"/>
      <c r="C178" s="120"/>
      <c r="D178" s="124"/>
      <c r="E178" s="124"/>
      <c r="F178" s="124"/>
      <c r="G178" s="124"/>
      <c r="H178" s="124"/>
      <c r="I178" s="121"/>
    </row>
    <row r="179" spans="1:9">
      <c r="B179" s="983"/>
      <c r="C179" s="125"/>
      <c r="D179" s="110"/>
      <c r="E179" s="110"/>
      <c r="F179" s="110"/>
      <c r="G179" s="110"/>
      <c r="H179" s="110"/>
      <c r="I179" s="126"/>
    </row>
    <row r="180" spans="1:9">
      <c r="B180" s="983"/>
      <c r="C180" s="125"/>
      <c r="D180" s="110"/>
      <c r="E180" s="110"/>
      <c r="F180" s="110"/>
      <c r="G180" s="110"/>
      <c r="H180" s="110"/>
      <c r="I180" s="126"/>
    </row>
    <row r="181" spans="1:9" ht="11.25" customHeight="1">
      <c r="B181" s="983"/>
      <c r="C181" s="125"/>
      <c r="D181" s="110"/>
      <c r="E181" s="110"/>
      <c r="F181" s="110"/>
      <c r="G181" s="110"/>
      <c r="H181" s="110"/>
      <c r="I181" s="126"/>
    </row>
    <row r="182" spans="1:9" ht="14.25" customHeight="1">
      <c r="B182" s="984"/>
      <c r="C182" s="122"/>
      <c r="D182" s="25"/>
      <c r="E182" s="25"/>
      <c r="F182" s="25"/>
      <c r="G182" s="25"/>
      <c r="H182" s="25"/>
      <c r="I182" s="123"/>
    </row>
    <row r="183" spans="1:9" ht="14.25" customHeight="1">
      <c r="B183" s="135"/>
      <c r="C183" s="110"/>
      <c r="D183" s="110"/>
      <c r="E183" s="110"/>
      <c r="F183" s="110"/>
      <c r="G183" s="110"/>
      <c r="H183" s="110"/>
      <c r="I183" s="110"/>
    </row>
    <row r="184" spans="1:9" ht="14.25" customHeight="1">
      <c r="B184" s="135"/>
      <c r="C184" s="110"/>
      <c r="D184" s="110"/>
      <c r="E184" s="110"/>
      <c r="F184" s="110"/>
      <c r="G184" s="110"/>
      <c r="H184" s="110"/>
      <c r="I184" s="110"/>
    </row>
    <row r="185" spans="1:9" ht="14.25" customHeight="1">
      <c r="B185" s="135"/>
      <c r="C185" s="110"/>
      <c r="D185" s="110"/>
      <c r="E185" s="110"/>
      <c r="F185" s="110"/>
      <c r="G185" s="110"/>
      <c r="H185" s="110"/>
      <c r="I185" s="110"/>
    </row>
    <row r="186" spans="1:9" ht="14.25" customHeight="1">
      <c r="B186" s="135"/>
      <c r="C186" s="110"/>
      <c r="D186" s="110"/>
      <c r="E186" s="110"/>
      <c r="F186" s="110"/>
      <c r="G186" s="110"/>
      <c r="H186" s="110"/>
      <c r="I186" s="110"/>
    </row>
    <row r="187" spans="1:9" ht="14.25" customHeight="1">
      <c r="B187" s="135"/>
      <c r="C187" s="110"/>
      <c r="D187" s="110"/>
      <c r="E187" s="110"/>
      <c r="F187" s="110"/>
      <c r="G187" s="110"/>
      <c r="H187" s="110"/>
      <c r="I187" s="110"/>
    </row>
    <row r="188" spans="1:9" ht="14.25" customHeight="1">
      <c r="B188" s="135"/>
      <c r="C188" s="110"/>
      <c r="D188" s="110"/>
      <c r="E188" s="110"/>
      <c r="F188" s="110"/>
      <c r="G188" s="110"/>
      <c r="H188" s="110"/>
      <c r="I188" s="110"/>
    </row>
    <row r="189" spans="1:9">
      <c r="A189" s="969" t="s">
        <v>567</v>
      </c>
      <c r="B189" s="970"/>
      <c r="C189" s="970"/>
      <c r="D189" s="970"/>
      <c r="E189" s="970"/>
      <c r="F189" s="970"/>
      <c r="G189" s="970"/>
      <c r="H189" s="970"/>
      <c r="I189" s="970"/>
    </row>
    <row r="190" spans="1:9">
      <c r="A190" s="978" t="s">
        <v>568</v>
      </c>
      <c r="B190" s="979"/>
      <c r="C190" s="979"/>
      <c r="D190" s="979"/>
      <c r="E190" s="979"/>
      <c r="F190" s="979"/>
      <c r="G190" s="979"/>
      <c r="H190" s="979"/>
      <c r="I190" s="985"/>
    </row>
    <row r="191" spans="1:9">
      <c r="B191" s="458" t="s">
        <v>569</v>
      </c>
      <c r="C191" s="974" t="s">
        <v>570</v>
      </c>
      <c r="D191" s="964"/>
      <c r="E191" s="974" t="s">
        <v>85</v>
      </c>
      <c r="F191" s="976"/>
      <c r="G191" s="990"/>
      <c r="H191" s="990"/>
      <c r="I191" s="992"/>
    </row>
    <row r="192" spans="1:9">
      <c r="B192" s="137" t="s">
        <v>571</v>
      </c>
      <c r="C192" s="975"/>
      <c r="D192" s="965"/>
      <c r="E192" s="975"/>
      <c r="F192" s="977"/>
      <c r="G192" s="991"/>
      <c r="H192" s="991"/>
      <c r="I192" s="993"/>
    </row>
    <row r="193" spans="2:9">
      <c r="B193" s="457"/>
      <c r="C193" s="120"/>
      <c r="D193" s="124"/>
      <c r="E193" s="124"/>
      <c r="F193" s="124"/>
      <c r="G193" s="124"/>
      <c r="H193" s="124"/>
      <c r="I193" s="121"/>
    </row>
    <row r="194" spans="2:9" ht="11.25" customHeight="1">
      <c r="B194" s="457"/>
      <c r="C194" s="125"/>
      <c r="D194" s="110"/>
      <c r="E194" s="110"/>
      <c r="F194" s="110"/>
      <c r="G194" s="110"/>
      <c r="H194" s="110"/>
      <c r="I194" s="126"/>
    </row>
    <row r="195" spans="2:9" ht="14.25" customHeight="1">
      <c r="B195" s="141" t="s">
        <v>572</v>
      </c>
      <c r="C195" s="125"/>
      <c r="D195" s="110"/>
      <c r="E195" s="110"/>
      <c r="F195" s="110"/>
      <c r="G195" s="110"/>
      <c r="H195" s="110"/>
      <c r="I195" s="126"/>
    </row>
    <row r="196" spans="2:9" ht="14.25" customHeight="1">
      <c r="B196" s="141"/>
      <c r="C196" s="125"/>
      <c r="D196" s="110"/>
      <c r="E196" s="110"/>
      <c r="F196" s="110"/>
      <c r="G196" s="110"/>
      <c r="H196" s="110"/>
      <c r="I196" s="126"/>
    </row>
    <row r="197" spans="2:9" ht="14.25" customHeight="1">
      <c r="B197" s="141"/>
      <c r="C197" s="125"/>
      <c r="D197" s="110"/>
      <c r="E197" s="110"/>
      <c r="F197" s="110"/>
      <c r="G197" s="110"/>
      <c r="H197" s="110"/>
      <c r="I197" s="126"/>
    </row>
    <row r="198" spans="2:9" ht="10.5" customHeight="1">
      <c r="B198" s="457"/>
      <c r="C198" s="125"/>
      <c r="D198" s="110"/>
      <c r="E198" s="110"/>
      <c r="F198" s="110"/>
      <c r="G198" s="110"/>
      <c r="H198" s="110"/>
      <c r="I198" s="126"/>
    </row>
    <row r="199" spans="2:9" ht="12" customHeight="1">
      <c r="B199" s="136"/>
      <c r="C199" s="122"/>
      <c r="D199" s="25"/>
      <c r="E199" s="25"/>
      <c r="F199" s="25"/>
      <c r="G199" s="25"/>
      <c r="H199" s="25"/>
      <c r="I199" s="123"/>
    </row>
    <row r="200" spans="2:9">
      <c r="B200" s="118"/>
      <c r="C200" s="124"/>
      <c r="D200" s="124"/>
      <c r="E200" s="124"/>
      <c r="F200" s="124"/>
      <c r="G200" s="124"/>
      <c r="H200" s="124"/>
      <c r="I200" s="121"/>
    </row>
    <row r="201" spans="2:9">
      <c r="B201" s="138" t="s">
        <v>573</v>
      </c>
      <c r="C201" s="110"/>
      <c r="D201" s="110"/>
      <c r="E201" s="110"/>
      <c r="F201" s="110"/>
      <c r="G201" s="110"/>
      <c r="H201" s="110"/>
      <c r="I201" s="126"/>
    </row>
    <row r="202" spans="2:9">
      <c r="B202" s="138" t="s">
        <v>574</v>
      </c>
      <c r="C202" s="110"/>
      <c r="D202" s="110"/>
      <c r="E202" s="110"/>
      <c r="F202" s="110"/>
      <c r="G202" s="110"/>
      <c r="H202" s="110"/>
      <c r="I202" s="126"/>
    </row>
    <row r="203" spans="2:9">
      <c r="B203" s="138" t="s">
        <v>575</v>
      </c>
      <c r="C203" s="110"/>
      <c r="D203" s="110"/>
      <c r="E203" s="110"/>
      <c r="F203" s="110"/>
      <c r="G203" s="110"/>
      <c r="H203" s="110"/>
      <c r="I203" s="126"/>
    </row>
    <row r="204" spans="2:9">
      <c r="B204" s="138" t="s">
        <v>576</v>
      </c>
      <c r="C204" s="110"/>
      <c r="D204" s="110"/>
      <c r="E204" s="110"/>
      <c r="F204" s="110"/>
      <c r="G204" s="110"/>
      <c r="H204" s="110"/>
      <c r="I204" s="126"/>
    </row>
    <row r="205" spans="2:9">
      <c r="B205" s="119"/>
      <c r="C205" s="25"/>
      <c r="D205" s="25"/>
      <c r="E205" s="25"/>
      <c r="F205" s="25"/>
      <c r="G205" s="25"/>
      <c r="H205" s="25"/>
      <c r="I205" s="123"/>
    </row>
    <row r="206" spans="2:9">
      <c r="B206" s="118"/>
      <c r="C206" s="124"/>
      <c r="D206" s="124"/>
      <c r="E206" s="124"/>
      <c r="F206" s="124"/>
      <c r="G206" s="124"/>
      <c r="H206" s="124"/>
      <c r="I206" s="121"/>
    </row>
    <row r="207" spans="2:9">
      <c r="B207" s="134"/>
      <c r="C207" s="110"/>
      <c r="D207" s="110"/>
      <c r="E207" s="110"/>
      <c r="F207" s="110"/>
      <c r="G207" s="110"/>
      <c r="H207" s="110"/>
      <c r="I207" s="126"/>
    </row>
    <row r="208" spans="2:9">
      <c r="B208" s="138" t="s">
        <v>577</v>
      </c>
      <c r="C208" s="110"/>
      <c r="D208" s="110"/>
      <c r="E208" s="110"/>
      <c r="F208" s="110"/>
      <c r="G208" s="110"/>
      <c r="H208" s="110"/>
      <c r="I208" s="126"/>
    </row>
    <row r="209" spans="1:9">
      <c r="B209" s="138" t="s">
        <v>571</v>
      </c>
      <c r="C209" s="110"/>
      <c r="D209" s="110"/>
      <c r="E209" s="110"/>
      <c r="F209" s="110"/>
      <c r="G209" s="110"/>
      <c r="H209" s="110"/>
      <c r="I209" s="126"/>
    </row>
    <row r="210" spans="1:9">
      <c r="B210" s="134"/>
      <c r="C210" s="110"/>
      <c r="D210" s="110"/>
      <c r="E210" s="110"/>
      <c r="F210" s="110"/>
      <c r="G210" s="110"/>
      <c r="H210" s="110"/>
      <c r="I210" s="126"/>
    </row>
    <row r="211" spans="1:9">
      <c r="B211" s="119"/>
      <c r="C211" s="25"/>
      <c r="D211" s="25"/>
      <c r="E211" s="25"/>
      <c r="F211" s="25"/>
      <c r="G211" s="25"/>
      <c r="H211" s="25"/>
      <c r="I211" s="123"/>
    </row>
    <row r="212" spans="1:9">
      <c r="A212" s="978" t="s">
        <v>578</v>
      </c>
      <c r="B212" s="980"/>
      <c r="C212" s="979"/>
      <c r="D212" s="979"/>
      <c r="E212" s="979"/>
      <c r="F212" s="979"/>
      <c r="G212" s="979"/>
      <c r="H212" s="979"/>
      <c r="I212" s="985"/>
    </row>
    <row r="213" spans="1:9" ht="11.25" customHeight="1">
      <c r="B213" s="458"/>
      <c r="C213" s="986" t="s">
        <v>579</v>
      </c>
      <c r="D213" s="987"/>
      <c r="E213" s="986" t="s">
        <v>580</v>
      </c>
      <c r="F213" s="987"/>
      <c r="G213" s="143" t="s">
        <v>581</v>
      </c>
      <c r="H213" s="986" t="s">
        <v>547</v>
      </c>
      <c r="I213" s="987"/>
    </row>
    <row r="214" spans="1:9" ht="15.75" customHeight="1">
      <c r="B214" s="459"/>
      <c r="C214" s="988"/>
      <c r="D214" s="989"/>
      <c r="E214" s="988"/>
      <c r="F214" s="989"/>
      <c r="G214" s="144"/>
      <c r="H214" s="988"/>
      <c r="I214" s="989"/>
    </row>
    <row r="215" spans="1:9">
      <c r="B215" s="459"/>
      <c r="C215" s="124"/>
      <c r="D215" s="124"/>
      <c r="E215" s="124"/>
      <c r="F215" s="124"/>
      <c r="G215" s="124"/>
      <c r="H215" s="124"/>
      <c r="I215" s="121"/>
    </row>
    <row r="216" spans="1:9" ht="11.25" customHeight="1">
      <c r="B216" s="459"/>
      <c r="C216" s="110"/>
      <c r="D216" s="110"/>
      <c r="E216" s="110"/>
      <c r="F216" s="110"/>
      <c r="G216" s="110"/>
      <c r="H216" s="110"/>
      <c r="I216" s="126"/>
    </row>
    <row r="217" spans="1:9" ht="14.25" customHeight="1">
      <c r="B217" s="142" t="s">
        <v>582</v>
      </c>
      <c r="C217" s="110"/>
      <c r="D217" s="110"/>
      <c r="E217" s="110"/>
      <c r="F217" s="110"/>
      <c r="G217" s="110"/>
      <c r="H217" s="110"/>
      <c r="I217" s="126"/>
    </row>
    <row r="218" spans="1:9" ht="14.25" customHeight="1">
      <c r="B218" s="142"/>
      <c r="C218" s="110"/>
      <c r="D218" s="110"/>
      <c r="E218" s="110"/>
      <c r="F218" s="110"/>
      <c r="G218" s="110"/>
      <c r="H218" s="110"/>
      <c r="I218" s="126"/>
    </row>
    <row r="219" spans="1:9" ht="14.25" customHeight="1">
      <c r="B219" s="142"/>
      <c r="C219" s="110"/>
      <c r="D219" s="110"/>
      <c r="E219" s="110"/>
      <c r="F219" s="110"/>
      <c r="G219" s="110"/>
      <c r="H219" s="110"/>
      <c r="I219" s="126"/>
    </row>
    <row r="220" spans="1:9" ht="10.5" customHeight="1">
      <c r="B220" s="459"/>
      <c r="C220" s="110"/>
      <c r="D220" s="110"/>
      <c r="E220" s="110"/>
      <c r="F220" s="110"/>
      <c r="G220" s="110"/>
      <c r="H220" s="110"/>
      <c r="I220" s="126"/>
    </row>
    <row r="221" spans="1:9" ht="12" customHeight="1">
      <c r="B221" s="137"/>
      <c r="C221" s="25"/>
      <c r="D221" s="25"/>
      <c r="E221" s="25"/>
      <c r="F221" s="25"/>
      <c r="G221" s="25"/>
      <c r="H221" s="25"/>
      <c r="I221" s="123"/>
    </row>
    <row r="222" spans="1:9">
      <c r="B222" s="134"/>
      <c r="C222" s="124"/>
      <c r="D222" s="124"/>
      <c r="E222" s="124"/>
      <c r="F222" s="124"/>
      <c r="G222" s="124"/>
      <c r="H222" s="124"/>
      <c r="I222" s="121"/>
    </row>
    <row r="223" spans="1:9">
      <c r="B223" s="134"/>
      <c r="C223" s="110"/>
      <c r="D223" s="110"/>
      <c r="E223" s="110"/>
      <c r="F223" s="110"/>
      <c r="G223" s="110"/>
      <c r="H223" s="110"/>
      <c r="I223" s="126"/>
    </row>
    <row r="224" spans="1:9">
      <c r="B224" s="138" t="s">
        <v>583</v>
      </c>
      <c r="C224" s="110"/>
      <c r="D224" s="110"/>
      <c r="E224" s="110"/>
      <c r="F224" s="110"/>
      <c r="G224" s="110"/>
      <c r="H224" s="110"/>
      <c r="I224" s="126"/>
    </row>
    <row r="225" spans="1:9">
      <c r="B225" s="138"/>
      <c r="C225" s="110"/>
      <c r="D225" s="110"/>
      <c r="E225" s="110"/>
      <c r="F225" s="110"/>
      <c r="G225" s="110"/>
      <c r="H225" s="110"/>
      <c r="I225" s="126"/>
    </row>
    <row r="226" spans="1:9">
      <c r="B226" s="119"/>
      <c r="C226" s="25"/>
      <c r="D226" s="25"/>
      <c r="E226" s="25"/>
      <c r="F226" s="25"/>
      <c r="G226" s="25"/>
      <c r="H226" s="25"/>
      <c r="I226" s="123"/>
    </row>
    <row r="227" spans="1:9">
      <c r="B227" s="118"/>
      <c r="C227" s="124"/>
      <c r="D227" s="124"/>
      <c r="E227" s="124"/>
      <c r="F227" s="124"/>
      <c r="G227" s="124"/>
      <c r="H227" s="124"/>
      <c r="I227" s="121"/>
    </row>
    <row r="228" spans="1:9">
      <c r="B228" s="134"/>
      <c r="C228" s="110"/>
      <c r="D228" s="110"/>
      <c r="E228" s="110"/>
      <c r="F228" s="110"/>
      <c r="G228" s="110"/>
      <c r="H228" s="110"/>
      <c r="I228" s="126"/>
    </row>
    <row r="229" spans="1:9">
      <c r="B229" s="138" t="s">
        <v>584</v>
      </c>
      <c r="C229" s="110"/>
      <c r="D229" s="110"/>
      <c r="E229" s="110"/>
      <c r="F229" s="110"/>
      <c r="G229" s="110"/>
      <c r="H229" s="110"/>
      <c r="I229" s="126"/>
    </row>
    <row r="230" spans="1:9">
      <c r="B230" s="138" t="s">
        <v>585</v>
      </c>
      <c r="C230" s="110"/>
      <c r="D230" s="110"/>
      <c r="E230" s="110"/>
      <c r="F230" s="110"/>
      <c r="G230" s="110"/>
      <c r="H230" s="110"/>
      <c r="I230" s="126"/>
    </row>
    <row r="231" spans="1:9">
      <c r="B231" s="138" t="s">
        <v>586</v>
      </c>
      <c r="C231" s="110"/>
      <c r="D231" s="110"/>
      <c r="E231" s="110"/>
      <c r="F231" s="110"/>
      <c r="G231" s="110"/>
      <c r="H231" s="110"/>
      <c r="I231" s="126"/>
    </row>
    <row r="232" spans="1:9">
      <c r="B232" s="119"/>
      <c r="C232" s="25"/>
      <c r="D232" s="25"/>
      <c r="E232" s="25"/>
      <c r="F232" s="25"/>
      <c r="G232" s="25"/>
      <c r="H232" s="25"/>
      <c r="I232" s="123"/>
    </row>
    <row r="233" spans="1:9">
      <c r="A233" s="978" t="s">
        <v>587</v>
      </c>
      <c r="B233" s="979"/>
      <c r="C233" s="980"/>
      <c r="D233" s="980"/>
      <c r="E233" s="980"/>
      <c r="F233" s="980"/>
      <c r="G233" s="980"/>
      <c r="H233" s="980"/>
      <c r="I233" s="981"/>
    </row>
    <row r="234" spans="1:9" ht="11.25" customHeight="1">
      <c r="B234" s="982"/>
      <c r="C234" s="974"/>
      <c r="D234" s="976"/>
      <c r="E234" s="976"/>
      <c r="F234" s="976"/>
      <c r="G234" s="976"/>
      <c r="H234" s="976"/>
      <c r="I234" s="964"/>
    </row>
    <row r="235" spans="1:9" ht="15" customHeight="1">
      <c r="B235" s="983"/>
      <c r="C235" s="975"/>
      <c r="D235" s="977"/>
      <c r="E235" s="977"/>
      <c r="F235" s="977"/>
      <c r="G235" s="977"/>
      <c r="H235" s="977"/>
      <c r="I235" s="965"/>
    </row>
    <row r="236" spans="1:9" ht="15" customHeight="1">
      <c r="B236" s="983"/>
      <c r="C236" s="455"/>
      <c r="D236" s="456"/>
      <c r="E236" s="456"/>
      <c r="F236" s="456"/>
      <c r="G236" s="456"/>
      <c r="H236" s="456"/>
      <c r="I236" s="454"/>
    </row>
    <row r="237" spans="1:9">
      <c r="B237" s="983"/>
      <c r="C237" s="125"/>
      <c r="D237" s="110"/>
      <c r="E237" s="110"/>
      <c r="F237" s="110"/>
      <c r="G237" s="110"/>
      <c r="H237" s="110"/>
      <c r="I237" s="126"/>
    </row>
    <row r="238" spans="1:9" ht="11.25" customHeight="1">
      <c r="B238" s="983"/>
      <c r="C238" s="125"/>
      <c r="D238" s="110"/>
      <c r="E238" s="110"/>
      <c r="F238" s="110"/>
      <c r="G238" s="110"/>
      <c r="H238" s="110"/>
      <c r="I238" s="126"/>
    </row>
    <row r="239" spans="1:9" ht="14.25" customHeight="1">
      <c r="B239" s="984"/>
      <c r="C239" s="122"/>
      <c r="D239" s="25"/>
      <c r="E239" s="25"/>
      <c r="F239" s="25"/>
      <c r="G239" s="25"/>
      <c r="H239" s="25"/>
      <c r="I239" s="123"/>
    </row>
    <row r="246" spans="1:9">
      <c r="A246" s="969" t="s">
        <v>588</v>
      </c>
      <c r="B246" s="970"/>
      <c r="C246" s="970"/>
      <c r="D246" s="970"/>
      <c r="E246" s="970"/>
      <c r="F246" s="970"/>
      <c r="G246" s="970"/>
      <c r="H246" s="970"/>
      <c r="I246" s="970"/>
    </row>
    <row r="247" spans="1:9">
      <c r="A247" s="978" t="s">
        <v>589</v>
      </c>
      <c r="B247" s="979"/>
      <c r="C247" s="980"/>
      <c r="D247" s="980"/>
      <c r="E247" s="980"/>
      <c r="F247" s="980"/>
      <c r="G247" s="980"/>
      <c r="H247" s="980"/>
      <c r="I247" s="981"/>
    </row>
    <row r="248" spans="1:9" ht="11.25" customHeight="1">
      <c r="B248" s="971" t="s">
        <v>590</v>
      </c>
      <c r="C248" s="974"/>
      <c r="D248" s="976"/>
      <c r="E248" s="976"/>
      <c r="F248" s="976"/>
      <c r="G248" s="976"/>
      <c r="H248" s="976"/>
      <c r="I248" s="964"/>
    </row>
    <row r="249" spans="1:9" ht="11.25" customHeight="1">
      <c r="B249" s="972"/>
      <c r="C249" s="975"/>
      <c r="D249" s="977"/>
      <c r="E249" s="977"/>
      <c r="F249" s="977"/>
      <c r="G249" s="977"/>
      <c r="H249" s="977"/>
      <c r="I249" s="965"/>
    </row>
    <row r="250" spans="1:9" ht="15" customHeight="1">
      <c r="B250" s="972"/>
      <c r="C250" s="975"/>
      <c r="D250" s="977"/>
      <c r="E250" s="977"/>
      <c r="F250" s="977"/>
      <c r="G250" s="977"/>
      <c r="H250" s="977"/>
      <c r="I250" s="965"/>
    </row>
    <row r="251" spans="1:9">
      <c r="B251" s="972"/>
      <c r="C251" s="125"/>
      <c r="D251" s="110"/>
      <c r="E251" s="110"/>
      <c r="F251" s="110"/>
      <c r="G251" s="110"/>
      <c r="H251" s="110"/>
      <c r="I251" s="126"/>
    </row>
    <row r="252" spans="1:9" ht="11.25" customHeight="1">
      <c r="B252" s="972"/>
      <c r="C252" s="125"/>
      <c r="D252" s="110"/>
      <c r="E252" s="110"/>
      <c r="F252" s="110"/>
      <c r="G252" s="110"/>
      <c r="H252" s="110"/>
      <c r="I252" s="126"/>
    </row>
    <row r="253" spans="1:9" ht="14.25" customHeight="1">
      <c r="B253" s="973"/>
      <c r="C253" s="122"/>
      <c r="D253" s="25"/>
      <c r="E253" s="25"/>
      <c r="F253" s="25"/>
      <c r="G253" s="25"/>
      <c r="H253" s="25"/>
      <c r="I253" s="123"/>
    </row>
    <row r="254" spans="1:9" ht="11.25" customHeight="1">
      <c r="B254" s="971" t="s">
        <v>591</v>
      </c>
      <c r="C254" s="974"/>
      <c r="D254" s="976"/>
      <c r="E254" s="976"/>
      <c r="F254" s="976"/>
      <c r="G254" s="976"/>
      <c r="H254" s="976"/>
      <c r="I254" s="964"/>
    </row>
    <row r="255" spans="1:9" ht="11.25" customHeight="1">
      <c r="B255" s="972"/>
      <c r="C255" s="975"/>
      <c r="D255" s="977"/>
      <c r="E255" s="977"/>
      <c r="F255" s="977"/>
      <c r="G255" s="977"/>
      <c r="H255" s="977"/>
      <c r="I255" s="965"/>
    </row>
    <row r="256" spans="1:9" ht="15" customHeight="1">
      <c r="B256" s="972"/>
      <c r="C256" s="975"/>
      <c r="D256" s="977"/>
      <c r="E256" s="977"/>
      <c r="F256" s="977"/>
      <c r="G256" s="977"/>
      <c r="H256" s="977"/>
      <c r="I256" s="965"/>
    </row>
    <row r="257" spans="1:9">
      <c r="B257" s="972"/>
      <c r="C257" s="125"/>
      <c r="D257" s="110"/>
      <c r="E257" s="110"/>
      <c r="F257" s="110"/>
      <c r="G257" s="110"/>
      <c r="H257" s="110"/>
      <c r="I257" s="126"/>
    </row>
    <row r="258" spans="1:9" ht="11.25" customHeight="1">
      <c r="B258" s="972"/>
      <c r="C258" s="125"/>
      <c r="D258" s="110"/>
      <c r="E258" s="110"/>
      <c r="F258" s="110"/>
      <c r="G258" s="110"/>
      <c r="H258" s="110"/>
      <c r="I258" s="126"/>
    </row>
    <row r="259" spans="1:9" ht="14.25" customHeight="1">
      <c r="B259" s="973"/>
      <c r="C259" s="122"/>
      <c r="D259" s="25"/>
      <c r="E259" s="25"/>
      <c r="F259" s="25"/>
      <c r="G259" s="25"/>
      <c r="H259" s="25"/>
      <c r="I259" s="123"/>
    </row>
    <row r="262" spans="1:9">
      <c r="A262" s="145" t="s">
        <v>592</v>
      </c>
      <c r="B262" s="146"/>
      <c r="C262" s="146"/>
      <c r="D262" s="146"/>
      <c r="E262" s="146"/>
      <c r="F262" s="146"/>
      <c r="G262" s="146"/>
      <c r="H262" s="146"/>
      <c r="I262" s="147"/>
    </row>
    <row r="263" spans="1:9">
      <c r="A263" s="120"/>
      <c r="B263" s="124"/>
      <c r="C263" s="124"/>
      <c r="D263" s="124"/>
      <c r="E263" s="124"/>
      <c r="F263" s="124"/>
      <c r="G263" s="124"/>
      <c r="H263" s="124"/>
      <c r="I263" s="121"/>
    </row>
    <row r="264" spans="1:9">
      <c r="A264" s="966" t="s">
        <v>593</v>
      </c>
      <c r="B264" s="967"/>
      <c r="C264" s="967"/>
      <c r="D264" s="967"/>
      <c r="E264" s="967"/>
      <c r="F264" s="967"/>
      <c r="G264" s="967"/>
      <c r="H264" s="967"/>
      <c r="I264" s="968"/>
    </row>
    <row r="265" spans="1:9">
      <c r="A265" s="125"/>
      <c r="B265" s="110"/>
      <c r="C265" s="110"/>
      <c r="D265" s="110"/>
      <c r="E265" s="110"/>
      <c r="F265" s="110"/>
      <c r="G265" s="110"/>
      <c r="H265" s="110"/>
      <c r="I265" s="126"/>
    </row>
    <row r="266" spans="1:9">
      <c r="A266" s="148" t="s">
        <v>594</v>
      </c>
      <c r="B266" s="110"/>
      <c r="C266" s="110"/>
      <c r="D266" s="110"/>
      <c r="E266" s="110"/>
      <c r="F266" s="110"/>
      <c r="G266" s="110"/>
      <c r="H266" s="110"/>
      <c r="I266" s="126"/>
    </row>
    <row r="267" spans="1:9">
      <c r="A267" s="148" t="s">
        <v>595</v>
      </c>
      <c r="B267" s="110"/>
      <c r="C267" s="110"/>
      <c r="D267" s="110"/>
      <c r="E267" s="110"/>
      <c r="F267" s="110"/>
      <c r="G267" s="110"/>
      <c r="H267" s="110"/>
      <c r="I267" s="126"/>
    </row>
    <row r="268" spans="1:9">
      <c r="A268" s="125"/>
      <c r="B268" s="110"/>
      <c r="C268" s="110"/>
      <c r="D268" s="110"/>
      <c r="E268" s="110"/>
      <c r="F268" s="110"/>
      <c r="G268" s="110"/>
      <c r="H268" s="110"/>
      <c r="I268" s="126"/>
    </row>
    <row r="269" spans="1:9">
      <c r="A269" s="125"/>
      <c r="B269" s="110"/>
      <c r="C269" s="110"/>
      <c r="D269" s="110"/>
      <c r="E269" s="110"/>
      <c r="F269" s="110"/>
      <c r="G269" s="110"/>
      <c r="H269" s="110"/>
      <c r="I269" s="126"/>
    </row>
    <row r="270" spans="1:9">
      <c r="A270" s="125"/>
      <c r="B270" s="110"/>
      <c r="C270" s="110"/>
      <c r="D270" s="110"/>
      <c r="E270" s="110"/>
      <c r="F270" s="110"/>
      <c r="G270" s="110"/>
      <c r="H270" s="110"/>
      <c r="I270" s="126"/>
    </row>
    <row r="271" spans="1:9">
      <c r="A271" s="125"/>
      <c r="B271" s="110"/>
      <c r="C271" s="110"/>
      <c r="D271" s="110"/>
      <c r="E271" s="110"/>
      <c r="F271" s="110"/>
      <c r="G271" s="110"/>
      <c r="H271" s="110"/>
      <c r="I271" s="126"/>
    </row>
    <row r="272" spans="1:9">
      <c r="A272" s="125"/>
      <c r="B272" s="110"/>
      <c r="C272" s="110"/>
      <c r="D272" s="110"/>
      <c r="E272" s="110"/>
      <c r="F272" s="110"/>
      <c r="G272" s="110"/>
      <c r="H272" s="110"/>
      <c r="I272" s="126"/>
    </row>
    <row r="273" spans="1:9">
      <c r="A273" s="122"/>
      <c r="B273" s="25"/>
      <c r="C273" s="25"/>
      <c r="D273" s="110"/>
      <c r="E273" s="110"/>
      <c r="F273" s="110"/>
      <c r="G273" s="110"/>
      <c r="H273" s="110"/>
      <c r="I273" s="126"/>
    </row>
    <row r="274" spans="1:9">
      <c r="A274" s="966" t="s">
        <v>596</v>
      </c>
      <c r="B274" s="967"/>
      <c r="C274" s="967"/>
      <c r="D274" s="110"/>
      <c r="E274" s="110"/>
      <c r="F274" s="110"/>
      <c r="G274" s="110"/>
      <c r="H274" s="110"/>
      <c r="I274" s="126"/>
    </row>
    <row r="275" spans="1:9">
      <c r="A275" s="122"/>
      <c r="B275" s="25"/>
      <c r="C275" s="25"/>
      <c r="D275" s="25"/>
      <c r="E275" s="25"/>
      <c r="F275" s="25"/>
      <c r="G275" s="25"/>
      <c r="H275" s="25"/>
      <c r="I275" s="123"/>
    </row>
    <row r="295" spans="1:9">
      <c r="A295" s="969" t="s">
        <v>597</v>
      </c>
      <c r="B295" s="970"/>
      <c r="C295" s="970"/>
      <c r="D295" s="970"/>
      <c r="E295" s="970"/>
      <c r="F295" s="970"/>
      <c r="G295" s="970"/>
      <c r="H295" s="970"/>
      <c r="I295" s="970"/>
    </row>
  </sheetData>
  <mergeCells count="169">
    <mergeCell ref="A274:C274"/>
    <mergeCell ref="A295:I295"/>
    <mergeCell ref="B254:B259"/>
    <mergeCell ref="C254:C256"/>
    <mergeCell ref="D254:D256"/>
    <mergeCell ref="E254:F256"/>
    <mergeCell ref="G254:H256"/>
    <mergeCell ref="I254:I256"/>
    <mergeCell ref="A246:I246"/>
    <mergeCell ref="A247:I247"/>
    <mergeCell ref="B248:B253"/>
    <mergeCell ref="C248:C250"/>
    <mergeCell ref="D248:D250"/>
    <mergeCell ref="E248:F250"/>
    <mergeCell ref="G248:H250"/>
    <mergeCell ref="I248:I250"/>
    <mergeCell ref="A264:I264"/>
    <mergeCell ref="A212:I212"/>
    <mergeCell ref="C213:D214"/>
    <mergeCell ref="E213:F214"/>
    <mergeCell ref="H213:I214"/>
    <mergeCell ref="A233:I233"/>
    <mergeCell ref="B234:B239"/>
    <mergeCell ref="C234:C235"/>
    <mergeCell ref="D234:D235"/>
    <mergeCell ref="E234:F235"/>
    <mergeCell ref="G234:H235"/>
    <mergeCell ref="I234:I235"/>
    <mergeCell ref="A189:I189"/>
    <mergeCell ref="A190:I190"/>
    <mergeCell ref="C191:C192"/>
    <mergeCell ref="D191:D192"/>
    <mergeCell ref="E191:F192"/>
    <mergeCell ref="G191:H192"/>
    <mergeCell ref="I191:I192"/>
    <mergeCell ref="A175:I175"/>
    <mergeCell ref="B176:B182"/>
    <mergeCell ref="C176:C177"/>
    <mergeCell ref="D176:D177"/>
    <mergeCell ref="E176:F177"/>
    <mergeCell ref="G176:H177"/>
    <mergeCell ref="I176:I177"/>
    <mergeCell ref="A161:I161"/>
    <mergeCell ref="B162:B169"/>
    <mergeCell ref="C162:C163"/>
    <mergeCell ref="D162:D163"/>
    <mergeCell ref="E162:F163"/>
    <mergeCell ref="G162:H163"/>
    <mergeCell ref="I162:I163"/>
    <mergeCell ref="A147:I147"/>
    <mergeCell ref="B148:B155"/>
    <mergeCell ref="C148:C149"/>
    <mergeCell ref="D148:D149"/>
    <mergeCell ref="E148:F149"/>
    <mergeCell ref="G148:H149"/>
    <mergeCell ref="I148:I149"/>
    <mergeCell ref="A139:I139"/>
    <mergeCell ref="B140:B146"/>
    <mergeCell ref="C140:C141"/>
    <mergeCell ref="D140:D141"/>
    <mergeCell ref="E140:F141"/>
    <mergeCell ref="G140:H141"/>
    <mergeCell ref="I140:I141"/>
    <mergeCell ref="A129:I129"/>
    <mergeCell ref="A130:I130"/>
    <mergeCell ref="B131:B138"/>
    <mergeCell ref="C131:C132"/>
    <mergeCell ref="D131:D132"/>
    <mergeCell ref="E131:F132"/>
    <mergeCell ref="G131:H132"/>
    <mergeCell ref="I131:I132"/>
    <mergeCell ref="A111:I111"/>
    <mergeCell ref="B112:B119"/>
    <mergeCell ref="C112:D113"/>
    <mergeCell ref="E112:E113"/>
    <mergeCell ref="F112:G113"/>
    <mergeCell ref="H112:I113"/>
    <mergeCell ref="B96:B98"/>
    <mergeCell ref="B99:B101"/>
    <mergeCell ref="A102:I102"/>
    <mergeCell ref="B103:B110"/>
    <mergeCell ref="C103:C104"/>
    <mergeCell ref="D103:D104"/>
    <mergeCell ref="E103:F104"/>
    <mergeCell ref="G103:H104"/>
    <mergeCell ref="I103:I104"/>
    <mergeCell ref="B87:B89"/>
    <mergeCell ref="B90:B92"/>
    <mergeCell ref="A93:I93"/>
    <mergeCell ref="C94:C95"/>
    <mergeCell ref="D94:D95"/>
    <mergeCell ref="E94:F95"/>
    <mergeCell ref="G94:H95"/>
    <mergeCell ref="I94:I95"/>
    <mergeCell ref="B78:B80"/>
    <mergeCell ref="B81:B83"/>
    <mergeCell ref="A84:I84"/>
    <mergeCell ref="C85:C86"/>
    <mergeCell ref="D85:D86"/>
    <mergeCell ref="E85:F86"/>
    <mergeCell ref="G85:H86"/>
    <mergeCell ref="I85:I86"/>
    <mergeCell ref="B69:B71"/>
    <mergeCell ref="B72:B74"/>
    <mergeCell ref="A75:I75"/>
    <mergeCell ref="C76:C77"/>
    <mergeCell ref="D76:D77"/>
    <mergeCell ref="E76:E77"/>
    <mergeCell ref="F76:F77"/>
    <mergeCell ref="G76:G77"/>
    <mergeCell ref="H76:I77"/>
    <mergeCell ref="A65:I65"/>
    <mergeCell ref="A66:I66"/>
    <mergeCell ref="C67:C68"/>
    <mergeCell ref="D67:D68"/>
    <mergeCell ref="E67:F68"/>
    <mergeCell ref="G67:H68"/>
    <mergeCell ref="I67:I68"/>
    <mergeCell ref="I56:I59"/>
    <mergeCell ref="A60:A62"/>
    <mergeCell ref="B60:B62"/>
    <mergeCell ref="C60:C62"/>
    <mergeCell ref="D60:D62"/>
    <mergeCell ref="E60:F62"/>
    <mergeCell ref="G60:H62"/>
    <mergeCell ref="I60:I62"/>
    <mergeCell ref="A56:A59"/>
    <mergeCell ref="B56:B59"/>
    <mergeCell ref="C56:C59"/>
    <mergeCell ref="D56:D59"/>
    <mergeCell ref="E56:F59"/>
    <mergeCell ref="G56:H59"/>
    <mergeCell ref="H50:I52"/>
    <mergeCell ref="A53:I53"/>
    <mergeCell ref="A54:A55"/>
    <mergeCell ref="B54:B55"/>
    <mergeCell ref="C54:C55"/>
    <mergeCell ref="D54:D55"/>
    <mergeCell ref="E54:F55"/>
    <mergeCell ref="G54:H55"/>
    <mergeCell ref="I54:I55"/>
    <mergeCell ref="A50:A52"/>
    <mergeCell ref="B50:B52"/>
    <mergeCell ref="C50:C52"/>
    <mergeCell ref="D50:D52"/>
    <mergeCell ref="E50:E52"/>
    <mergeCell ref="F50:G52"/>
    <mergeCell ref="F45:G45"/>
    <mergeCell ref="H45:I45"/>
    <mergeCell ref="A46:A49"/>
    <mergeCell ref="B46:B49"/>
    <mergeCell ref="C46:C49"/>
    <mergeCell ref="D46:D49"/>
    <mergeCell ref="E46:E49"/>
    <mergeCell ref="F46:G49"/>
    <mergeCell ref="H46:I49"/>
    <mergeCell ref="A22:I22"/>
    <mergeCell ref="A25:I28"/>
    <mergeCell ref="A30:E30"/>
    <mergeCell ref="F30:H30"/>
    <mergeCell ref="A32:I33"/>
    <mergeCell ref="A44:I44"/>
    <mergeCell ref="A7:D9"/>
    <mergeCell ref="B18:F18"/>
    <mergeCell ref="G18:I18"/>
    <mergeCell ref="A20:I20"/>
    <mergeCell ref="A21:C21"/>
    <mergeCell ref="E21:I21"/>
    <mergeCell ref="A13:H13"/>
  </mergeCells>
  <phoneticPr fontId="13" type="noConversion"/>
  <pageMargins left="0.7" right="0.7" top="0.75" bottom="0.75" header="0.3" footer="0.3"/>
  <pageSetup paperSize="9" scale="88"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pageSetUpPr fitToPage="1"/>
  </sheetPr>
  <dimension ref="A1:M240"/>
  <sheetViews>
    <sheetView workbookViewId="0">
      <selection activeCell="J7" sqref="J7"/>
    </sheetView>
  </sheetViews>
  <sheetFormatPr defaultColWidth="9" defaultRowHeight="15.75"/>
  <cols>
    <col min="1" max="1" width="2.875" style="161" customWidth="1" collapsed="1"/>
    <col min="2" max="2" width="3.125" style="1" customWidth="1" collapsed="1"/>
    <col min="3" max="3" width="3" style="1" customWidth="1" collapsed="1"/>
    <col min="4" max="6" width="9" style="1" collapsed="1"/>
    <col min="7" max="7" width="12.5" style="1" customWidth="1" collapsed="1"/>
    <col min="8" max="8" width="12.375" style="1" customWidth="1" collapsed="1"/>
    <col min="9" max="9" width="9" style="1" collapsed="1"/>
    <col min="10" max="10" width="9" style="1" customWidth="1" collapsed="1"/>
    <col min="11" max="11" width="12.5" style="1" customWidth="1" collapsed="1"/>
    <col min="12" max="12" width="6" style="1" customWidth="1" collapsed="1"/>
    <col min="13" max="16384" width="9" style="1" collapsed="1"/>
  </cols>
  <sheetData>
    <row r="1" spans="1:12" s="163" customFormat="1" ht="25.5">
      <c r="A1" s="899" t="s">
        <v>599</v>
      </c>
      <c r="B1" s="899"/>
      <c r="C1" s="899"/>
      <c r="D1" s="899"/>
      <c r="E1" s="899"/>
      <c r="F1" s="899"/>
      <c r="G1" s="899"/>
      <c r="H1" s="899"/>
      <c r="I1" s="899"/>
      <c r="J1" s="899"/>
      <c r="K1" s="899"/>
      <c r="L1" s="899"/>
    </row>
    <row r="2" spans="1:12" ht="22.5">
      <c r="A2" s="159"/>
    </row>
    <row r="3" spans="1:12" ht="22.5">
      <c r="A3" s="159"/>
    </row>
    <row r="4" spans="1:12">
      <c r="A4" s="43"/>
    </row>
    <row r="5" spans="1:12">
      <c r="A5" s="43"/>
    </row>
    <row r="6" spans="1:12">
      <c r="A6" s="43"/>
    </row>
    <row r="7" spans="1:12">
      <c r="A7" s="43"/>
    </row>
    <row r="8" spans="1:12">
      <c r="A8" s="43"/>
    </row>
    <row r="9" spans="1:12">
      <c r="A9" s="43"/>
    </row>
    <row r="10" spans="1:12">
      <c r="A10" s="43"/>
    </row>
    <row r="11" spans="1:12">
      <c r="A11" s="43"/>
    </row>
    <row r="12" spans="1:12">
      <c r="A12" s="43"/>
    </row>
    <row r="13" spans="1:12">
      <c r="A13" s="43"/>
    </row>
    <row r="14" spans="1:12" s="130" customFormat="1" ht="18.75">
      <c r="A14" s="1045" t="s">
        <v>600</v>
      </c>
      <c r="B14" s="1045"/>
      <c r="C14" s="1045"/>
      <c r="D14" s="1045"/>
      <c r="E14" s="1045"/>
      <c r="F14" s="1045"/>
      <c r="G14" s="1045"/>
      <c r="H14" s="1045"/>
      <c r="I14" s="1045"/>
      <c r="J14" s="1045"/>
      <c r="K14" s="1045"/>
      <c r="L14" s="1045"/>
    </row>
    <row r="16" spans="1:12">
      <c r="A16" s="43"/>
    </row>
    <row r="17" spans="1:12" ht="16.5">
      <c r="A17" s="1046" t="s">
        <v>6</v>
      </c>
      <c r="B17" s="1046"/>
      <c r="C17" s="1046"/>
      <c r="D17" s="1046"/>
      <c r="E17" s="1046"/>
      <c r="F17" s="1046"/>
      <c r="G17" s="1046"/>
      <c r="H17" s="1046"/>
      <c r="I17" s="1046"/>
      <c r="J17" s="1046"/>
      <c r="K17" s="1046"/>
      <c r="L17" s="1046"/>
    </row>
    <row r="18" spans="1:12">
      <c r="A18" s="44"/>
    </row>
    <row r="19" spans="1:12">
      <c r="A19" s="44"/>
    </row>
    <row r="20" spans="1:12">
      <c r="A20" s="44"/>
      <c r="C20" s="1047" t="str">
        <f>+CONCATENATE(A169,A170,A171,A172)</f>
        <v>FOR THE YEAR ENDED 31 DECEMBER, 2013</v>
      </c>
      <c r="D20" s="1047"/>
      <c r="E20" s="1047"/>
      <c r="F20" s="1047"/>
      <c r="G20" s="1047"/>
      <c r="H20" s="1047"/>
      <c r="I20" s="1047"/>
      <c r="J20" s="1047"/>
      <c r="K20" s="1047"/>
    </row>
    <row r="21" spans="1:12" ht="24.75" customHeight="1">
      <c r="A21" s="44"/>
      <c r="C21" s="1047"/>
      <c r="D21" s="1047"/>
      <c r="E21" s="1047"/>
      <c r="F21" s="1047"/>
      <c r="G21" s="1047"/>
      <c r="H21" s="1047"/>
      <c r="I21" s="1047"/>
      <c r="J21" s="1047"/>
      <c r="K21" s="1047"/>
    </row>
    <row r="22" spans="1:12">
      <c r="A22" s="44"/>
    </row>
    <row r="23" spans="1:12">
      <c r="A23" s="44"/>
    </row>
    <row r="25" spans="1:12">
      <c r="A25" s="162"/>
    </row>
    <row r="26" spans="1:12">
      <c r="A26" s="44"/>
    </row>
    <row r="27" spans="1:12" s="39" customFormat="1" ht="15">
      <c r="A27" s="48"/>
      <c r="B27" s="901"/>
      <c r="C27" s="901"/>
      <c r="D27" s="901"/>
      <c r="E27" s="901"/>
      <c r="F27" s="901"/>
      <c r="G27" s="901"/>
      <c r="H27" s="901"/>
      <c r="I27" s="901"/>
      <c r="J27" s="901"/>
      <c r="K27" s="901"/>
      <c r="L27" s="901"/>
    </row>
    <row r="28" spans="1:12" s="39" customFormat="1" ht="15">
      <c r="A28" s="48"/>
    </row>
    <row r="29" spans="1:12" s="39" customFormat="1" ht="15">
      <c r="A29" s="48"/>
    </row>
    <row r="30" spans="1:12" s="39" customFormat="1" ht="15">
      <c r="A30" s="48"/>
    </row>
    <row r="31" spans="1:12" s="39" customFormat="1" ht="15">
      <c r="A31" s="48"/>
    </row>
    <row r="32" spans="1:12" s="39" customFormat="1" ht="15">
      <c r="A32" s="48"/>
      <c r="C32" s="901"/>
      <c r="D32" s="901"/>
      <c r="E32" s="901"/>
      <c r="F32" s="901"/>
      <c r="G32" s="901"/>
      <c r="H32" s="901"/>
      <c r="I32" s="901"/>
      <c r="J32" s="901"/>
      <c r="K32" s="901"/>
      <c r="L32" s="901"/>
    </row>
    <row r="33" spans="1:13" s="39" customFormat="1" ht="15">
      <c r="A33" s="48"/>
      <c r="C33" s="901"/>
      <c r="D33" s="901"/>
      <c r="E33" s="901"/>
      <c r="F33" s="901"/>
      <c r="G33" s="901"/>
      <c r="H33" s="901"/>
      <c r="I33" s="901"/>
      <c r="J33" s="901"/>
      <c r="K33" s="901"/>
      <c r="L33" s="901"/>
    </row>
    <row r="34" spans="1:13" s="39" customFormat="1" ht="15">
      <c r="A34" s="48"/>
    </row>
    <row r="35" spans="1:13" s="39" customFormat="1" ht="15">
      <c r="A35" s="48"/>
    </row>
    <row r="36" spans="1:13" s="39" customFormat="1" ht="15">
      <c r="A36" s="48"/>
      <c r="C36" s="901"/>
      <c r="D36" s="901"/>
      <c r="E36" s="901"/>
      <c r="F36" s="901"/>
      <c r="G36" s="901"/>
      <c r="H36" s="901"/>
      <c r="I36" s="901"/>
      <c r="J36" s="901"/>
      <c r="K36" s="901"/>
      <c r="L36" s="901"/>
    </row>
    <row r="37" spans="1:13" s="39" customFormat="1" ht="15">
      <c r="A37" s="48"/>
    </row>
    <row r="38" spans="1:13" s="39" customFormat="1" ht="15">
      <c r="A38" s="48"/>
    </row>
    <row r="39" spans="1:13" s="39" customFormat="1" ht="15">
      <c r="A39" s="48"/>
    </row>
    <row r="40" spans="1:13" s="39" customFormat="1" ht="15">
      <c r="A40" s="48"/>
    </row>
    <row r="41" spans="1:13" s="39" customFormat="1" ht="15">
      <c r="A41" s="48"/>
      <c r="D41" s="901"/>
      <c r="E41" s="901"/>
      <c r="F41" s="901"/>
      <c r="G41" s="901"/>
      <c r="H41" s="901"/>
      <c r="I41" s="901"/>
      <c r="J41" s="901"/>
      <c r="K41" s="901"/>
      <c r="L41" s="901"/>
      <c r="M41" s="48"/>
    </row>
    <row r="42" spans="1:13" s="39" customFormat="1" ht="15">
      <c r="A42" s="48"/>
    </row>
    <row r="47" spans="1:13">
      <c r="A47" s="160"/>
    </row>
    <row r="48" spans="1:13">
      <c r="A48" s="160"/>
    </row>
    <row r="49" spans="1:12">
      <c r="A49" s="160"/>
    </row>
    <row r="50" spans="1:12">
      <c r="A50" s="41"/>
    </row>
    <row r="51" spans="1:12">
      <c r="A51" s="42"/>
    </row>
    <row r="52" spans="1:12">
      <c r="A52" s="41"/>
      <c r="L52" s="45"/>
    </row>
    <row r="53" spans="1:12">
      <c r="A53" s="900" t="s">
        <v>601</v>
      </c>
      <c r="B53" s="900"/>
      <c r="C53" s="900"/>
      <c r="D53" s="900"/>
      <c r="E53" s="900"/>
      <c r="F53" s="900"/>
      <c r="G53" s="900"/>
      <c r="H53" s="900"/>
      <c r="I53" s="900"/>
      <c r="J53" s="900"/>
      <c r="K53" s="900"/>
      <c r="L53" s="900"/>
    </row>
    <row r="54" spans="1:12" s="163" customFormat="1" ht="25.5">
      <c r="A54" s="1044" t="s">
        <v>599</v>
      </c>
      <c r="B54" s="1044"/>
      <c r="C54" s="1044"/>
      <c r="D54" s="1044"/>
      <c r="E54" s="1044"/>
      <c r="F54" s="1044"/>
      <c r="G54" s="1044"/>
      <c r="H54" s="1044"/>
      <c r="I54" s="1044"/>
      <c r="J54" s="1044"/>
      <c r="K54" s="1044"/>
      <c r="L54" s="1044"/>
    </row>
    <row r="55" spans="1:12" ht="12.75" customHeight="1">
      <c r="A55" s="159"/>
    </row>
    <row r="56" spans="1:12" s="39" customFormat="1" ht="15">
      <c r="B56" s="164" t="s">
        <v>602</v>
      </c>
    </row>
    <row r="57" spans="1:12" s="39" customFormat="1" ht="15">
      <c r="B57" s="164" t="str">
        <f>+CONCATENATE(A175,A176,A177)</f>
        <v>TO THE SOLE SHAREHOLDER OF</v>
      </c>
      <c r="J57" s="174"/>
    </row>
    <row r="58" spans="1:12" s="39" customFormat="1" ht="15">
      <c r="B58" s="175" t="str">
        <f>+Control!D3</f>
        <v>MIC INCORPORATION LIMITED </v>
      </c>
    </row>
    <row r="59" spans="1:12" s="39" customFormat="1" ht="15">
      <c r="B59" s="43" t="s">
        <v>603</v>
      </c>
    </row>
    <row r="60" spans="1:12" s="39" customFormat="1" ht="15">
      <c r="A60" s="43"/>
    </row>
    <row r="61" spans="1:12" s="48" customFormat="1" ht="15">
      <c r="B61" s="175" t="s">
        <v>604</v>
      </c>
    </row>
    <row r="62" spans="1:12" s="48" customFormat="1" ht="15">
      <c r="A62" s="43"/>
    </row>
    <row r="63" spans="1:12" s="48" customFormat="1" ht="15.75" customHeight="1">
      <c r="B63" s="902" t="str">
        <f>+CONCATENATE(A194,A195,A196,A197,A198,A199,A200,A201,A202,A203,A204,A205,A206,A207,A208,A209,A210,A211,A212)</f>
        <v>We have audited the financial statements of MIC INCORPORATION LIMITED  (the "Company") set out on pages 4 to 10, which comprise the balance sheet as at 31 December, 2016, and the income statement and the statement of changes in equity for the period ended 31 December, 2016, and a summary of significant accounting policies and other explanatory information.</v>
      </c>
      <c r="C63" s="902"/>
      <c r="D63" s="902"/>
      <c r="E63" s="902"/>
      <c r="F63" s="902"/>
      <c r="G63" s="902"/>
      <c r="H63" s="902"/>
      <c r="I63" s="902"/>
      <c r="J63" s="902"/>
      <c r="K63" s="902"/>
      <c r="L63" s="176"/>
    </row>
    <row r="64" spans="1:12" s="48" customFormat="1" ht="15">
      <c r="B64" s="902"/>
      <c r="C64" s="902"/>
      <c r="D64" s="902"/>
      <c r="E64" s="902"/>
      <c r="F64" s="902"/>
      <c r="G64" s="902"/>
      <c r="H64" s="902"/>
      <c r="I64" s="902"/>
      <c r="J64" s="902"/>
      <c r="K64" s="902"/>
      <c r="L64" s="176"/>
    </row>
    <row r="65" spans="1:12" s="48" customFormat="1" ht="15">
      <c r="B65" s="902"/>
      <c r="C65" s="902"/>
      <c r="D65" s="902"/>
      <c r="E65" s="902"/>
      <c r="F65" s="902"/>
      <c r="G65" s="902"/>
      <c r="H65" s="902"/>
      <c r="I65" s="902"/>
      <c r="J65" s="902"/>
      <c r="K65" s="902"/>
      <c r="L65" s="176"/>
    </row>
    <row r="66" spans="1:12" s="39" customFormat="1" ht="15">
      <c r="A66" s="177"/>
      <c r="B66" s="902"/>
      <c r="C66" s="902"/>
      <c r="D66" s="902"/>
      <c r="E66" s="902"/>
      <c r="F66" s="902"/>
      <c r="G66" s="902"/>
      <c r="H66" s="902"/>
      <c r="I66" s="902"/>
      <c r="J66" s="902"/>
      <c r="K66" s="902"/>
    </row>
    <row r="67" spans="1:12" s="39" customFormat="1" ht="15">
      <c r="A67" s="177"/>
      <c r="B67" s="462"/>
      <c r="C67" s="462"/>
      <c r="D67" s="462"/>
      <c r="E67" s="462"/>
      <c r="F67" s="462"/>
      <c r="G67" s="462"/>
      <c r="H67" s="462"/>
      <c r="I67" s="462"/>
      <c r="J67" s="462"/>
      <c r="K67" s="462"/>
    </row>
    <row r="68" spans="1:12" s="39" customFormat="1" ht="15">
      <c r="B68" s="175" t="str">
        <f>+CONCATENATE(A179,A180)</f>
        <v>Director's responsibility for the financial statements</v>
      </c>
    </row>
    <row r="69" spans="1:12" s="39" customFormat="1" ht="15">
      <c r="A69" s="38"/>
    </row>
    <row r="70" spans="1:12" s="39" customFormat="1" ht="15.75" customHeight="1">
      <c r="B70" s="902" t="str">
        <f>+CONCATENATE(A182,A183,A184,A185,A186,A187)</f>
        <v xml:space="preserve">The director is responsible for the preparation of financial statements in accordance with the Small and Medium-sized Entity Financial Reporting Standard (SME-FRS) issued by the Hong Kong Institute of Certified Public Accountants, and for such internal control as the director determines is necessary to enable the preparation of financial statements that are free from material misstatement, whether due to fraud or error. </v>
      </c>
      <c r="C70" s="902"/>
      <c r="D70" s="902"/>
      <c r="E70" s="902"/>
      <c r="F70" s="902"/>
      <c r="G70" s="902"/>
      <c r="H70" s="902"/>
      <c r="I70" s="902"/>
      <c r="J70" s="902"/>
      <c r="K70" s="902"/>
    </row>
    <row r="71" spans="1:12" s="39" customFormat="1" ht="15">
      <c r="B71" s="902"/>
      <c r="C71" s="902"/>
      <c r="D71" s="902"/>
      <c r="E71" s="902"/>
      <c r="F71" s="902"/>
      <c r="G71" s="902"/>
      <c r="H71" s="902"/>
      <c r="I71" s="902"/>
      <c r="J71" s="902"/>
      <c r="K71" s="902"/>
    </row>
    <row r="72" spans="1:12" s="39" customFormat="1" ht="15">
      <c r="B72" s="902"/>
      <c r="C72" s="902"/>
      <c r="D72" s="902"/>
      <c r="E72" s="902"/>
      <c r="F72" s="902"/>
      <c r="G72" s="902"/>
      <c r="H72" s="902"/>
      <c r="I72" s="902"/>
      <c r="J72" s="902"/>
      <c r="K72" s="902"/>
    </row>
    <row r="73" spans="1:12" s="39" customFormat="1" ht="15">
      <c r="B73" s="902"/>
      <c r="C73" s="902"/>
      <c r="D73" s="902"/>
      <c r="E73" s="902"/>
      <c r="F73" s="902"/>
      <c r="G73" s="902"/>
      <c r="H73" s="902"/>
      <c r="I73" s="902"/>
      <c r="J73" s="902"/>
      <c r="K73" s="902"/>
    </row>
    <row r="74" spans="1:12" s="39" customFormat="1" ht="15">
      <c r="B74" s="445"/>
    </row>
    <row r="75" spans="1:12" s="39" customFormat="1" ht="15">
      <c r="B75" s="902" t="s">
        <v>605</v>
      </c>
      <c r="C75" s="902"/>
      <c r="D75" s="902"/>
      <c r="E75" s="902"/>
      <c r="F75" s="902"/>
      <c r="G75" s="902"/>
      <c r="H75" s="902"/>
      <c r="I75" s="902"/>
      <c r="J75" s="902"/>
      <c r="K75" s="902"/>
    </row>
    <row r="76" spans="1:12" s="39" customFormat="1" ht="15">
      <c r="B76" s="902"/>
      <c r="C76" s="902"/>
      <c r="D76" s="902"/>
      <c r="E76" s="902"/>
      <c r="F76" s="902"/>
      <c r="G76" s="902"/>
      <c r="H76" s="902"/>
      <c r="I76" s="902"/>
      <c r="J76" s="902"/>
      <c r="K76" s="902"/>
    </row>
    <row r="77" spans="1:12" s="39" customFormat="1" ht="15">
      <c r="B77" s="902"/>
      <c r="C77" s="902"/>
      <c r="D77" s="902"/>
      <c r="E77" s="902"/>
      <c r="F77" s="902"/>
      <c r="G77" s="902"/>
      <c r="H77" s="902"/>
      <c r="I77" s="902"/>
      <c r="J77" s="902"/>
      <c r="K77" s="902"/>
    </row>
    <row r="78" spans="1:12" s="39" customFormat="1" ht="15">
      <c r="B78" s="175" t="s">
        <v>606</v>
      </c>
    </row>
    <row r="79" spans="1:12" s="39" customFormat="1" ht="15">
      <c r="A79" s="43"/>
    </row>
    <row r="80" spans="1:12" s="39" customFormat="1" ht="15.75" customHeight="1">
      <c r="B80" s="902" t="s">
        <v>607</v>
      </c>
      <c r="C80" s="902"/>
      <c r="D80" s="902"/>
      <c r="E80" s="902"/>
      <c r="F80" s="902"/>
      <c r="G80" s="902"/>
      <c r="H80" s="902"/>
      <c r="I80" s="902"/>
      <c r="J80" s="902"/>
      <c r="K80" s="902"/>
    </row>
    <row r="81" spans="2:11" s="39" customFormat="1" ht="15">
      <c r="B81" s="902"/>
      <c r="C81" s="902"/>
      <c r="D81" s="902"/>
      <c r="E81" s="902"/>
      <c r="F81" s="902"/>
      <c r="G81" s="902"/>
      <c r="H81" s="902"/>
      <c r="I81" s="902"/>
      <c r="J81" s="902"/>
      <c r="K81" s="902"/>
    </row>
    <row r="82" spans="2:11" s="39" customFormat="1" ht="15">
      <c r="B82" s="902"/>
      <c r="C82" s="902"/>
      <c r="D82" s="902"/>
      <c r="E82" s="902"/>
      <c r="F82" s="902"/>
      <c r="G82" s="902"/>
      <c r="H82" s="902"/>
      <c r="I82" s="902"/>
      <c r="J82" s="902"/>
      <c r="K82" s="902"/>
    </row>
    <row r="83" spans="2:11" s="39" customFormat="1" ht="15">
      <c r="B83" s="902"/>
      <c r="C83" s="902"/>
      <c r="D83" s="902"/>
      <c r="E83" s="902"/>
      <c r="F83" s="902"/>
      <c r="G83" s="902"/>
      <c r="H83" s="902"/>
      <c r="I83" s="902"/>
      <c r="J83" s="902"/>
      <c r="K83" s="902"/>
    </row>
    <row r="84" spans="2:11" s="39" customFormat="1" ht="15">
      <c r="B84" s="902"/>
      <c r="C84" s="902"/>
      <c r="D84" s="902"/>
      <c r="E84" s="902"/>
      <c r="F84" s="902"/>
      <c r="G84" s="902"/>
      <c r="H84" s="902"/>
      <c r="I84" s="902"/>
      <c r="J84" s="902"/>
      <c r="K84" s="902"/>
    </row>
    <row r="85" spans="2:11" s="39" customFormat="1" ht="15">
      <c r="B85" s="902"/>
      <c r="C85" s="902"/>
      <c r="D85" s="902"/>
      <c r="E85" s="902"/>
      <c r="F85" s="902"/>
      <c r="G85" s="902"/>
      <c r="H85" s="902"/>
      <c r="I85" s="902"/>
      <c r="J85" s="902"/>
      <c r="K85" s="902"/>
    </row>
    <row r="86" spans="2:11" s="39" customFormat="1" ht="15">
      <c r="B86" s="902"/>
      <c r="C86" s="902"/>
      <c r="D86" s="902"/>
      <c r="E86" s="902"/>
      <c r="F86" s="902"/>
      <c r="G86" s="902"/>
      <c r="H86" s="902"/>
      <c r="I86" s="902"/>
      <c r="J86" s="902"/>
      <c r="K86" s="902"/>
    </row>
    <row r="87" spans="2:11" s="39" customFormat="1" ht="15">
      <c r="B87" s="43"/>
    </row>
    <row r="88" spans="2:11" s="39" customFormat="1" ht="15.75" customHeight="1">
      <c r="B88" s="902" t="s">
        <v>608</v>
      </c>
      <c r="C88" s="902"/>
      <c r="D88" s="902"/>
      <c r="E88" s="902"/>
      <c r="F88" s="902"/>
      <c r="G88" s="902"/>
      <c r="H88" s="902"/>
      <c r="I88" s="902"/>
      <c r="J88" s="902"/>
      <c r="K88" s="902"/>
    </row>
    <row r="89" spans="2:11" s="39" customFormat="1" ht="15">
      <c r="B89" s="902"/>
      <c r="C89" s="902"/>
      <c r="D89" s="902"/>
      <c r="E89" s="902"/>
      <c r="F89" s="902"/>
      <c r="G89" s="902"/>
      <c r="H89" s="902"/>
      <c r="I89" s="902"/>
      <c r="J89" s="902"/>
      <c r="K89" s="902"/>
    </row>
    <row r="90" spans="2:11" s="39" customFormat="1" ht="15">
      <c r="B90" s="902"/>
      <c r="C90" s="902"/>
      <c r="D90" s="902"/>
      <c r="E90" s="902"/>
      <c r="F90" s="902"/>
      <c r="G90" s="902"/>
      <c r="H90" s="902"/>
      <c r="I90" s="902"/>
      <c r="J90" s="902"/>
      <c r="K90" s="902"/>
    </row>
    <row r="91" spans="2:11" s="39" customFormat="1" ht="15">
      <c r="B91" s="902"/>
      <c r="C91" s="902"/>
      <c r="D91" s="902"/>
      <c r="E91" s="902"/>
      <c r="F91" s="902"/>
      <c r="G91" s="902"/>
      <c r="H91" s="902"/>
      <c r="I91" s="902"/>
      <c r="J91" s="902"/>
      <c r="K91" s="902"/>
    </row>
    <row r="92" spans="2:11" s="39" customFormat="1" ht="15">
      <c r="B92" s="902"/>
      <c r="C92" s="902"/>
      <c r="D92" s="902"/>
      <c r="E92" s="902"/>
      <c r="F92" s="902"/>
      <c r="G92" s="902"/>
      <c r="H92" s="902"/>
      <c r="I92" s="902"/>
      <c r="J92" s="902"/>
      <c r="K92" s="902"/>
    </row>
    <row r="93" spans="2:11" s="39" customFormat="1" ht="15">
      <c r="B93" s="902"/>
      <c r="C93" s="902"/>
      <c r="D93" s="902"/>
      <c r="E93" s="902"/>
      <c r="F93" s="902"/>
      <c r="G93" s="902"/>
      <c r="H93" s="902"/>
      <c r="I93" s="902"/>
      <c r="J93" s="902"/>
      <c r="K93" s="902"/>
    </row>
    <row r="94" spans="2:11" s="39" customFormat="1" ht="15">
      <c r="B94" s="902"/>
      <c r="C94" s="902"/>
      <c r="D94" s="902"/>
      <c r="E94" s="902"/>
      <c r="F94" s="902"/>
      <c r="G94" s="902"/>
      <c r="H94" s="902"/>
      <c r="I94" s="902"/>
      <c r="J94" s="902"/>
      <c r="K94" s="902"/>
    </row>
    <row r="95" spans="2:11" s="39" customFormat="1" ht="15">
      <c r="B95" s="902"/>
      <c r="C95" s="902"/>
      <c r="D95" s="902"/>
      <c r="E95" s="902"/>
      <c r="F95" s="902"/>
      <c r="G95" s="902"/>
      <c r="H95" s="902"/>
      <c r="I95" s="902"/>
      <c r="J95" s="902"/>
      <c r="K95" s="902"/>
    </row>
    <row r="96" spans="2:11" s="39" customFormat="1" ht="15">
      <c r="B96" s="43"/>
    </row>
    <row r="97" spans="1:12" s="39" customFormat="1" ht="15.75" customHeight="1">
      <c r="B97" s="902" t="s">
        <v>609</v>
      </c>
      <c r="C97" s="902"/>
      <c r="D97" s="902"/>
      <c r="E97" s="902"/>
      <c r="F97" s="902"/>
      <c r="G97" s="902"/>
      <c r="H97" s="902"/>
      <c r="I97" s="902"/>
      <c r="J97" s="902"/>
      <c r="K97" s="902"/>
    </row>
    <row r="98" spans="1:12" s="39" customFormat="1" ht="15">
      <c r="A98" s="177"/>
      <c r="B98" s="902"/>
      <c r="C98" s="902"/>
      <c r="D98" s="902"/>
      <c r="E98" s="902"/>
      <c r="F98" s="902"/>
      <c r="G98" s="902"/>
      <c r="H98" s="902"/>
      <c r="I98" s="902"/>
      <c r="J98" s="902"/>
      <c r="K98" s="902"/>
    </row>
    <row r="99" spans="1:12" s="39" customFormat="1" ht="15">
      <c r="A99" s="177"/>
      <c r="B99" s="462"/>
      <c r="C99" s="462"/>
      <c r="D99" s="462"/>
      <c r="E99" s="462"/>
      <c r="F99" s="462"/>
      <c r="G99" s="462"/>
      <c r="H99" s="462"/>
      <c r="I99" s="462"/>
      <c r="J99" s="462"/>
      <c r="K99" s="462"/>
    </row>
    <row r="100" spans="1:12" s="39" customFormat="1" ht="15">
      <c r="A100" s="177"/>
      <c r="B100" s="175" t="s">
        <v>610</v>
      </c>
      <c r="C100" s="462"/>
      <c r="D100" s="462"/>
      <c r="E100" s="462"/>
      <c r="F100" s="462"/>
      <c r="G100" s="462"/>
      <c r="H100" s="462"/>
      <c r="I100" s="462"/>
      <c r="J100" s="462"/>
      <c r="K100" s="462"/>
    </row>
    <row r="101" spans="1:12" s="39" customFormat="1" ht="15">
      <c r="A101" s="177"/>
      <c r="B101" s="462"/>
      <c r="C101" s="462"/>
      <c r="D101" s="462"/>
      <c r="E101" s="462"/>
      <c r="F101" s="462"/>
      <c r="G101" s="462"/>
      <c r="H101" s="462"/>
      <c r="I101" s="462"/>
      <c r="J101" s="462"/>
      <c r="K101" s="462"/>
    </row>
    <row r="102" spans="1:12" s="39" customFormat="1" ht="13.5" customHeight="1">
      <c r="A102" s="177"/>
      <c r="B102" s="902" t="str">
        <f>+CONCATENATE(A217,A218,TEXT(A219,"###,###,###,###,###,###,###,###"),A220,A221,A222,A223,TEXT(A224,"###,###,###,###,###,###,###,###"),A225,A226,A227,A228,A229)</f>
        <v>In forming our opinion, we have considered the adequacy of the disclosures made in the financial statements concerning the basis of preparation of the financial statements. At the balance sheet date, the Company had net liabilities of US$5,970,728 (2010: US$6,768,736).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C102" s="902"/>
      <c r="D102" s="902"/>
      <c r="E102" s="902"/>
      <c r="F102" s="902"/>
      <c r="G102" s="902"/>
      <c r="H102" s="902"/>
      <c r="I102" s="902"/>
      <c r="J102" s="902"/>
      <c r="K102" s="902"/>
    </row>
    <row r="103" spans="1:12" s="39" customFormat="1" ht="15">
      <c r="A103" s="177"/>
      <c r="B103" s="902"/>
      <c r="C103" s="902"/>
      <c r="D103" s="902"/>
      <c r="E103" s="902"/>
      <c r="F103" s="902"/>
      <c r="G103" s="902"/>
      <c r="H103" s="902"/>
      <c r="I103" s="902"/>
      <c r="J103" s="902"/>
      <c r="K103" s="902"/>
    </row>
    <row r="104" spans="1:12" s="39" customFormat="1" ht="15">
      <c r="A104" s="177"/>
      <c r="B104" s="902"/>
      <c r="C104" s="902"/>
      <c r="D104" s="902"/>
      <c r="E104" s="902"/>
      <c r="F104" s="902"/>
      <c r="G104" s="902"/>
      <c r="H104" s="902"/>
      <c r="I104" s="902"/>
      <c r="J104" s="902"/>
      <c r="K104" s="902"/>
    </row>
    <row r="105" spans="1:12" s="39" customFormat="1" ht="15">
      <c r="A105" s="177"/>
      <c r="B105" s="902"/>
      <c r="C105" s="902"/>
      <c r="D105" s="902"/>
      <c r="E105" s="902"/>
      <c r="F105" s="902"/>
      <c r="G105" s="902"/>
      <c r="H105" s="902"/>
      <c r="I105" s="902"/>
      <c r="J105" s="902"/>
      <c r="K105" s="902"/>
    </row>
    <row r="106" spans="1:12" s="39" customFormat="1" ht="15">
      <c r="A106" s="177"/>
      <c r="B106" s="902"/>
      <c r="C106" s="902"/>
      <c r="D106" s="902"/>
      <c r="E106" s="902"/>
      <c r="F106" s="902"/>
      <c r="G106" s="902"/>
      <c r="H106" s="902"/>
      <c r="I106" s="902"/>
      <c r="J106" s="902"/>
      <c r="K106" s="902"/>
    </row>
    <row r="107" spans="1:12" s="39" customFormat="1" ht="27.75" customHeight="1">
      <c r="A107" s="177"/>
      <c r="B107" s="902"/>
      <c r="C107" s="902"/>
      <c r="D107" s="902"/>
      <c r="E107" s="902"/>
      <c r="F107" s="902"/>
      <c r="G107" s="902"/>
      <c r="H107" s="902"/>
      <c r="I107" s="902"/>
      <c r="J107" s="902"/>
      <c r="K107" s="902"/>
    </row>
    <row r="108" spans="1:12">
      <c r="A108" s="41"/>
      <c r="K108" s="172">
        <v>2</v>
      </c>
      <c r="L108" s="166"/>
    </row>
    <row r="109" spans="1:12">
      <c r="A109" s="900" t="s">
        <v>601</v>
      </c>
      <c r="B109" s="900"/>
      <c r="C109" s="900"/>
      <c r="D109" s="900"/>
      <c r="E109" s="900"/>
      <c r="F109" s="900"/>
      <c r="G109" s="900"/>
      <c r="H109" s="900"/>
      <c r="I109" s="900"/>
      <c r="J109" s="900"/>
      <c r="K109" s="900"/>
      <c r="L109" s="900"/>
    </row>
    <row r="110" spans="1:12" s="163" customFormat="1" ht="25.5">
      <c r="A110" s="1044" t="s">
        <v>599</v>
      </c>
      <c r="B110" s="1044"/>
      <c r="C110" s="1044"/>
      <c r="D110" s="1044"/>
      <c r="E110" s="1044"/>
      <c r="F110" s="1044"/>
      <c r="G110" s="1044"/>
      <c r="H110" s="1044"/>
      <c r="I110" s="1044"/>
      <c r="J110" s="1044"/>
      <c r="K110" s="1044"/>
      <c r="L110" s="1044"/>
    </row>
    <row r="112" spans="1:12">
      <c r="B112" s="167" t="s">
        <v>611</v>
      </c>
      <c r="C112" s="168"/>
      <c r="D112" s="168"/>
      <c r="E112" s="168"/>
      <c r="F112" s="168"/>
    </row>
    <row r="113" spans="1:12">
      <c r="B113" s="164" t="s">
        <v>602</v>
      </c>
      <c r="C113" s="168"/>
      <c r="D113" s="168"/>
      <c r="E113" s="168"/>
      <c r="F113" s="168"/>
    </row>
    <row r="114" spans="1:12">
      <c r="B114" s="175" t="str">
        <f>+Control!D3</f>
        <v>MIC INCORPORATION LIMITED </v>
      </c>
      <c r="C114" s="168"/>
      <c r="D114" s="168"/>
      <c r="E114" s="168"/>
      <c r="F114" s="168"/>
    </row>
    <row r="115" spans="1:12">
      <c r="B115" s="178" t="str">
        <f>+Control!D6</f>
        <v>31 December, 2016</v>
      </c>
      <c r="C115" s="179"/>
      <c r="D115" s="179"/>
      <c r="E115" s="179"/>
      <c r="F115" s="179"/>
      <c r="G115" s="180"/>
    </row>
    <row r="116" spans="1:12" ht="8.25" customHeight="1">
      <c r="B116" s="164"/>
      <c r="C116" s="168"/>
      <c r="D116" s="168"/>
      <c r="E116" s="168"/>
      <c r="F116" s="168"/>
    </row>
    <row r="117" spans="1:12">
      <c r="B117" s="175" t="s">
        <v>612</v>
      </c>
      <c r="C117" s="168"/>
      <c r="D117" s="168"/>
      <c r="E117" s="168"/>
      <c r="F117" s="168"/>
    </row>
    <row r="118" spans="1:12" ht="8.25" customHeight="1">
      <c r="B118" s="165"/>
      <c r="C118" s="168"/>
      <c r="D118" s="168"/>
      <c r="E118" s="168"/>
      <c r="F118" s="168"/>
    </row>
    <row r="119" spans="1:12" ht="16.5" customHeight="1">
      <c r="B119" s="903" t="str">
        <f>+CONCATENATE(A232,A233,A234,A235,A236,A237,A238,A239,A240)</f>
        <v>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loss for the period and net assets at 31 December, 2016.</v>
      </c>
      <c r="C119" s="903"/>
      <c r="D119" s="903"/>
      <c r="E119" s="903"/>
      <c r="F119" s="903"/>
      <c r="G119" s="903"/>
      <c r="H119" s="903"/>
      <c r="I119" s="903"/>
      <c r="J119" s="903"/>
      <c r="K119" s="903"/>
    </row>
    <row r="120" spans="1:12" ht="16.5" customHeight="1">
      <c r="B120" s="903"/>
      <c r="C120" s="903"/>
      <c r="D120" s="903"/>
      <c r="E120" s="903"/>
      <c r="F120" s="903"/>
      <c r="G120" s="903"/>
      <c r="H120" s="903"/>
      <c r="I120" s="903"/>
      <c r="J120" s="903"/>
      <c r="K120" s="903"/>
    </row>
    <row r="121" spans="1:12" ht="16.5" customHeight="1">
      <c r="B121" s="903"/>
      <c r="C121" s="903"/>
      <c r="D121" s="903"/>
      <c r="E121" s="903"/>
      <c r="F121" s="903"/>
      <c r="G121" s="903"/>
      <c r="H121" s="903"/>
      <c r="I121" s="903"/>
      <c r="J121" s="903"/>
      <c r="K121" s="903"/>
    </row>
    <row r="122" spans="1:12" ht="24" customHeight="1">
      <c r="B122" s="903"/>
      <c r="C122" s="903"/>
      <c r="D122" s="903"/>
      <c r="E122" s="903"/>
      <c r="F122" s="903"/>
      <c r="G122" s="903"/>
      <c r="H122" s="903"/>
      <c r="I122" s="903"/>
      <c r="J122" s="903"/>
      <c r="K122" s="903"/>
    </row>
    <row r="123" spans="1:12" ht="9.75" customHeight="1">
      <c r="B123" s="164"/>
      <c r="C123" s="168"/>
      <c r="D123" s="168"/>
      <c r="E123" s="168"/>
      <c r="F123" s="168"/>
    </row>
    <row r="124" spans="1:12">
      <c r="B124" s="185" t="s">
        <v>613</v>
      </c>
      <c r="C124" s="168"/>
      <c r="D124" s="168"/>
      <c r="G124" s="169" t="str">
        <f>+CONCATENATE(L124,L125,L126,L127)</f>
        <v>Amount (US$)</v>
      </c>
      <c r="L124" s="50" t="s">
        <v>614</v>
      </c>
    </row>
    <row r="125" spans="1:12" s="39" customFormat="1" ht="15">
      <c r="A125" s="48"/>
      <c r="B125" s="445" t="s">
        <v>615</v>
      </c>
      <c r="C125" s="186"/>
      <c r="D125" s="186"/>
      <c r="E125" s="186"/>
      <c r="G125" s="187">
        <v>909478</v>
      </c>
      <c r="H125" s="188" t="s">
        <v>616</v>
      </c>
      <c r="L125" s="51" t="s">
        <v>444</v>
      </c>
    </row>
    <row r="126" spans="1:12" s="39" customFormat="1" ht="15">
      <c r="A126" s="48"/>
      <c r="B126" s="445" t="s">
        <v>617</v>
      </c>
      <c r="C126" s="186"/>
      <c r="D126" s="186"/>
      <c r="G126" s="187">
        <v>878162</v>
      </c>
      <c r="H126" s="188" t="s">
        <v>616</v>
      </c>
      <c r="L126" s="51" t="str">
        <f>+Control!D68</f>
        <v>US$</v>
      </c>
    </row>
    <row r="127" spans="1:12" s="39" customFormat="1" ht="15">
      <c r="A127" s="48"/>
      <c r="B127" s="445" t="s">
        <v>618</v>
      </c>
      <c r="D127" s="186"/>
      <c r="G127" s="187">
        <v>28314</v>
      </c>
      <c r="H127" s="188" t="s">
        <v>616</v>
      </c>
      <c r="L127" s="51" t="s">
        <v>5</v>
      </c>
    </row>
    <row r="128" spans="1:12" s="39" customFormat="1" ht="15">
      <c r="A128" s="48"/>
      <c r="B128" s="445" t="s">
        <v>619</v>
      </c>
      <c r="C128" s="186"/>
      <c r="D128" s="186"/>
      <c r="E128" s="186"/>
      <c r="G128" s="189">
        <v>124</v>
      </c>
      <c r="H128" s="188" t="s">
        <v>616</v>
      </c>
    </row>
    <row r="129" spans="1:11" s="39" customFormat="1" ht="15">
      <c r="A129" s="48"/>
      <c r="B129" s="445" t="s">
        <v>620</v>
      </c>
      <c r="C129" s="186"/>
      <c r="D129" s="186"/>
      <c r="E129" s="186"/>
      <c r="G129" s="189">
        <v>124</v>
      </c>
      <c r="H129" s="188" t="s">
        <v>616</v>
      </c>
    </row>
    <row r="130" spans="1:11" s="39" customFormat="1" ht="15">
      <c r="A130" s="48"/>
      <c r="B130" s="445" t="s">
        <v>621</v>
      </c>
      <c r="D130" s="186"/>
      <c r="G130" s="187">
        <v>7794</v>
      </c>
      <c r="H130" s="188" t="s">
        <v>616</v>
      </c>
    </row>
    <row r="131" spans="1:11" s="39" customFormat="1" ht="15">
      <c r="A131" s="48"/>
      <c r="B131" s="445" t="s">
        <v>622</v>
      </c>
      <c r="C131" s="186"/>
      <c r="D131" s="186"/>
      <c r="E131" s="186"/>
      <c r="G131" s="187">
        <v>6000</v>
      </c>
      <c r="H131" s="188" t="s">
        <v>616</v>
      </c>
    </row>
    <row r="132" spans="1:11" ht="9" customHeight="1">
      <c r="B132" s="445"/>
      <c r="C132" s="168"/>
      <c r="D132" s="168"/>
      <c r="E132" s="168"/>
      <c r="F132" s="170"/>
    </row>
    <row r="133" spans="1:11" ht="16.5" customHeight="1">
      <c r="B133" s="902" t="s">
        <v>623</v>
      </c>
      <c r="C133" s="902"/>
      <c r="D133" s="902"/>
      <c r="E133" s="902"/>
      <c r="F133" s="902"/>
      <c r="G133" s="902"/>
      <c r="H133" s="902"/>
      <c r="I133" s="902"/>
      <c r="J133" s="902"/>
      <c r="K133" s="902"/>
    </row>
    <row r="134" spans="1:11" ht="16.5" customHeight="1">
      <c r="B134" s="902"/>
      <c r="C134" s="902"/>
      <c r="D134" s="902"/>
      <c r="E134" s="902"/>
      <c r="F134" s="902"/>
      <c r="G134" s="902"/>
      <c r="H134" s="902"/>
      <c r="I134" s="902"/>
      <c r="J134" s="902"/>
      <c r="K134" s="902"/>
    </row>
    <row r="135" spans="1:11" ht="16.5" customHeight="1">
      <c r="B135" s="902"/>
      <c r="C135" s="902"/>
      <c r="D135" s="902"/>
      <c r="E135" s="902"/>
      <c r="F135" s="902"/>
      <c r="G135" s="902"/>
      <c r="H135" s="902"/>
      <c r="I135" s="902"/>
      <c r="J135" s="902"/>
      <c r="K135" s="902"/>
    </row>
    <row r="136" spans="1:11" ht="16.5" customHeight="1">
      <c r="B136" s="902"/>
      <c r="C136" s="902"/>
      <c r="D136" s="902"/>
      <c r="E136" s="902"/>
      <c r="F136" s="902"/>
      <c r="G136" s="902"/>
      <c r="H136" s="902"/>
      <c r="I136" s="902"/>
      <c r="J136" s="902"/>
      <c r="K136" s="902"/>
    </row>
    <row r="137" spans="1:11" ht="19.5" customHeight="1">
      <c r="B137" s="902"/>
      <c r="C137" s="902"/>
      <c r="D137" s="902"/>
      <c r="E137" s="902"/>
      <c r="F137" s="902"/>
      <c r="G137" s="902"/>
      <c r="H137" s="902"/>
      <c r="I137" s="902"/>
      <c r="J137" s="902"/>
      <c r="K137" s="902"/>
    </row>
    <row r="138" spans="1:11" ht="8.25" customHeight="1">
      <c r="B138" s="445"/>
      <c r="C138" s="168"/>
      <c r="D138" s="168"/>
      <c r="E138" s="168"/>
      <c r="F138" s="170"/>
    </row>
    <row r="139" spans="1:11">
      <c r="B139" s="169" t="s">
        <v>624</v>
      </c>
      <c r="C139" s="168"/>
      <c r="D139" s="168"/>
      <c r="F139" s="170"/>
      <c r="G139" s="169" t="str">
        <f>+CONCATENATE(L124,L125,L126,L127)</f>
        <v>Amount (US$)</v>
      </c>
    </row>
    <row r="140" spans="1:11">
      <c r="B140" s="445" t="s">
        <v>625</v>
      </c>
      <c r="C140" s="168"/>
      <c r="D140" s="168"/>
      <c r="F140" s="170"/>
      <c r="G140" s="187">
        <v>11208</v>
      </c>
      <c r="H140" s="188" t="s">
        <v>616</v>
      </c>
    </row>
    <row r="141" spans="1:11" ht="8.25" customHeight="1">
      <c r="B141" s="445"/>
      <c r="C141" s="168"/>
      <c r="D141" s="168"/>
      <c r="E141" s="168"/>
      <c r="F141" s="170"/>
    </row>
    <row r="142" spans="1:11">
      <c r="B142" s="164" t="s">
        <v>626</v>
      </c>
      <c r="C142" s="168"/>
      <c r="D142" s="168"/>
      <c r="E142" s="168"/>
      <c r="F142" s="170"/>
    </row>
    <row r="143" spans="1:11" ht="6" customHeight="1">
      <c r="B143" s="445"/>
      <c r="C143" s="168"/>
      <c r="D143" s="168"/>
      <c r="E143" s="168"/>
      <c r="F143" s="170"/>
    </row>
    <row r="144" spans="1:11" ht="16.5" customHeight="1">
      <c r="B144" s="902" t="s">
        <v>627</v>
      </c>
      <c r="C144" s="902"/>
      <c r="D144" s="902"/>
      <c r="E144" s="902"/>
      <c r="F144" s="902"/>
      <c r="G144" s="902"/>
      <c r="H144" s="902"/>
      <c r="I144" s="902"/>
      <c r="J144" s="902"/>
      <c r="K144" s="902"/>
    </row>
    <row r="145" spans="2:11" ht="16.5" customHeight="1">
      <c r="B145" s="902"/>
      <c r="C145" s="902"/>
      <c r="D145" s="902"/>
      <c r="E145" s="902"/>
      <c r="F145" s="902"/>
      <c r="G145" s="902"/>
      <c r="H145" s="902"/>
      <c r="I145" s="902"/>
      <c r="J145" s="902"/>
      <c r="K145" s="902"/>
    </row>
    <row r="146" spans="2:11" ht="16.5" customHeight="1">
      <c r="B146" s="902"/>
      <c r="C146" s="902"/>
      <c r="D146" s="902"/>
      <c r="E146" s="902"/>
      <c r="F146" s="902"/>
      <c r="G146" s="902"/>
      <c r="H146" s="902"/>
      <c r="I146" s="902"/>
      <c r="J146" s="902"/>
      <c r="K146" s="902"/>
    </row>
    <row r="147" spans="2:11" ht="16.5" customHeight="1">
      <c r="B147" s="902"/>
      <c r="C147" s="902"/>
      <c r="D147" s="902"/>
      <c r="E147" s="902"/>
      <c r="F147" s="902"/>
      <c r="G147" s="902"/>
      <c r="H147" s="902"/>
      <c r="I147" s="902"/>
      <c r="J147" s="902"/>
      <c r="K147" s="902"/>
    </row>
    <row r="148" spans="2:11" ht="10.5" customHeight="1">
      <c r="B148" s="902"/>
      <c r="C148" s="902"/>
      <c r="D148" s="902"/>
      <c r="E148" s="902"/>
      <c r="F148" s="902"/>
      <c r="G148" s="902"/>
      <c r="H148" s="902"/>
      <c r="I148" s="902"/>
      <c r="J148" s="902"/>
      <c r="K148" s="902"/>
    </row>
    <row r="149" spans="2:11">
      <c r="B149" s="175" t="s">
        <v>628</v>
      </c>
      <c r="C149" s="168"/>
      <c r="D149" s="168"/>
      <c r="E149" s="168"/>
      <c r="F149" s="170"/>
    </row>
    <row r="150" spans="2:11" ht="7.5" customHeight="1">
      <c r="B150" s="445"/>
      <c r="C150" s="168"/>
      <c r="D150" s="168"/>
      <c r="E150" s="168"/>
      <c r="F150" s="170"/>
    </row>
    <row r="151" spans="2:11">
      <c r="B151" s="445" t="s">
        <v>629</v>
      </c>
      <c r="C151" s="168"/>
      <c r="D151" s="168"/>
      <c r="E151" s="168"/>
      <c r="F151" s="170"/>
    </row>
    <row r="152" spans="2:11" ht="9" customHeight="1">
      <c r="B152" s="445"/>
      <c r="C152" s="168"/>
      <c r="D152" s="168"/>
      <c r="E152" s="168"/>
      <c r="F152" s="170"/>
    </row>
    <row r="153" spans="2:11" ht="16.5" customHeight="1">
      <c r="B153" s="445" t="s">
        <v>630</v>
      </c>
      <c r="C153" s="902" t="s">
        <v>631</v>
      </c>
      <c r="D153" s="902"/>
      <c r="E153" s="902"/>
      <c r="F153" s="902"/>
      <c r="G153" s="902"/>
      <c r="H153" s="902"/>
      <c r="I153" s="902"/>
      <c r="J153" s="902"/>
      <c r="K153" s="902"/>
    </row>
    <row r="154" spans="2:11" ht="16.5" customHeight="1">
      <c r="B154" s="445"/>
      <c r="C154" s="902"/>
      <c r="D154" s="902"/>
      <c r="E154" s="902"/>
      <c r="F154" s="902"/>
      <c r="G154" s="902"/>
      <c r="H154" s="902"/>
      <c r="I154" s="902"/>
      <c r="J154" s="902"/>
      <c r="K154" s="902"/>
    </row>
    <row r="155" spans="2:11" ht="9" customHeight="1">
      <c r="B155" s="445"/>
      <c r="C155" s="168"/>
      <c r="D155" s="168"/>
      <c r="E155" s="168"/>
      <c r="F155" s="170"/>
    </row>
    <row r="156" spans="2:11">
      <c r="B156" s="445" t="s">
        <v>632</v>
      </c>
      <c r="C156" s="445" t="s">
        <v>633</v>
      </c>
      <c r="D156" s="168"/>
      <c r="E156" s="168"/>
      <c r="F156" s="170"/>
    </row>
    <row r="157" spans="2:11">
      <c r="B157" s="445"/>
      <c r="C157" s="168"/>
      <c r="D157" s="168"/>
      <c r="E157" s="168"/>
      <c r="F157" s="170"/>
    </row>
    <row r="158" spans="2:11">
      <c r="B158" s="445"/>
      <c r="C158" s="168"/>
      <c r="D158" s="168"/>
      <c r="E158" s="168"/>
      <c r="F158" s="170"/>
    </row>
    <row r="159" spans="2:11">
      <c r="B159" s="445"/>
      <c r="C159" s="168"/>
      <c r="D159" s="168"/>
      <c r="E159" s="168"/>
      <c r="F159" s="170"/>
    </row>
    <row r="160" spans="2:11">
      <c r="B160" s="43" t="s">
        <v>634</v>
      </c>
      <c r="C160" s="168"/>
      <c r="D160" s="168"/>
      <c r="E160" s="168"/>
      <c r="F160" s="170"/>
    </row>
    <row r="161" spans="1:13">
      <c r="B161" s="43" t="s">
        <v>635</v>
      </c>
      <c r="C161" s="168"/>
      <c r="D161" s="168"/>
      <c r="E161" s="168"/>
      <c r="F161" s="170"/>
    </row>
    <row r="162" spans="1:13">
      <c r="B162" s="43" t="s">
        <v>636</v>
      </c>
      <c r="C162" s="168"/>
      <c r="D162" s="168"/>
      <c r="E162" s="168"/>
      <c r="F162" s="170"/>
    </row>
    <row r="163" spans="1:13">
      <c r="B163" s="190" t="s">
        <v>637</v>
      </c>
      <c r="C163" s="168"/>
      <c r="D163" s="168"/>
      <c r="E163" s="168"/>
      <c r="F163" s="170"/>
    </row>
    <row r="164" spans="1:13">
      <c r="A164" s="445"/>
      <c r="B164" s="190" t="s">
        <v>638</v>
      </c>
      <c r="C164" s="168"/>
      <c r="D164" s="168"/>
      <c r="E164" s="168"/>
      <c r="F164" s="170"/>
      <c r="K164" s="172">
        <v>3</v>
      </c>
    </row>
    <row r="165" spans="1:13">
      <c r="A165" s="900" t="s">
        <v>601</v>
      </c>
      <c r="B165" s="900"/>
      <c r="C165" s="900"/>
      <c r="D165" s="900"/>
      <c r="E165" s="900"/>
      <c r="F165" s="900"/>
      <c r="G165" s="900"/>
      <c r="H165" s="900"/>
      <c r="I165" s="900"/>
      <c r="J165" s="900"/>
      <c r="K165" s="900"/>
      <c r="L165" s="900"/>
    </row>
    <row r="169" spans="1:13" s="50" customFormat="1">
      <c r="A169" s="173" t="s">
        <v>639</v>
      </c>
      <c r="M169" s="50" t="s">
        <v>640</v>
      </c>
    </row>
    <row r="170" spans="1:13" s="50" customFormat="1">
      <c r="A170" s="173" t="s">
        <v>641</v>
      </c>
    </row>
    <row r="171" spans="1:13" s="50" customFormat="1">
      <c r="A171" s="173" t="s">
        <v>642</v>
      </c>
    </row>
    <row r="172" spans="1:13" s="50" customFormat="1">
      <c r="A172" s="173" t="s">
        <v>643</v>
      </c>
    </row>
    <row r="175" spans="1:13" s="50" customFormat="1">
      <c r="A175" s="173" t="s">
        <v>644</v>
      </c>
    </row>
    <row r="176" spans="1:13" s="50" customFormat="1">
      <c r="A176" s="173" t="str">
        <f>+IF(Control!D95=1,"SOLE SHAREHOLDER","SHAREHOLDERS")</f>
        <v>SOLE SHAREHOLDER</v>
      </c>
    </row>
    <row r="177" spans="1:1" s="50" customFormat="1">
      <c r="A177" s="173" t="s">
        <v>645</v>
      </c>
    </row>
    <row r="179" spans="1:1" s="50" customFormat="1">
      <c r="A179" s="173" t="str">
        <f>+IF(Control!D78=1,"Director's","Directors'")</f>
        <v>Director's</v>
      </c>
    </row>
    <row r="180" spans="1:1" s="50" customFormat="1">
      <c r="A180" s="173" t="s">
        <v>646</v>
      </c>
    </row>
    <row r="182" spans="1:1" s="50" customFormat="1">
      <c r="A182" s="173" t="str">
        <f>+IF(Control!D78=1,"The director","The directors")</f>
        <v>The director</v>
      </c>
    </row>
    <row r="183" spans="1:1" s="50" customFormat="1">
      <c r="A183" s="173" t="str">
        <f>+IF(Control!D78=1," is"," are")</f>
        <v xml:space="preserve"> is</v>
      </c>
    </row>
    <row r="184" spans="1:1" s="50" customFormat="1">
      <c r="A184" s="173" t="s">
        <v>647</v>
      </c>
    </row>
    <row r="185" spans="1:1" s="50" customFormat="1">
      <c r="A185" s="173" t="str">
        <f>+IF(Control!D78=1,"director","directors")</f>
        <v>director</v>
      </c>
    </row>
    <row r="186" spans="1:1" s="50" customFormat="1">
      <c r="A186" s="173" t="str">
        <f>+IF(Control!D78=1," determines"," determine")</f>
        <v xml:space="preserve"> determines</v>
      </c>
    </row>
    <row r="187" spans="1:1" s="50" customFormat="1">
      <c r="A187" s="173" t="s">
        <v>648</v>
      </c>
    </row>
    <row r="194" spans="1:1" s="50" customFormat="1">
      <c r="A194" s="173" t="s">
        <v>649</v>
      </c>
    </row>
    <row r="195" spans="1:1" s="50" customFormat="1">
      <c r="A195" s="173" t="str">
        <f>+Control!D3</f>
        <v>MIC INCORPORATION LIMITED </v>
      </c>
    </row>
    <row r="196" spans="1:1" s="50" customFormat="1">
      <c r="A196" s="173" t="s">
        <v>650</v>
      </c>
    </row>
    <row r="197" spans="1:1" s="50" customFormat="1">
      <c r="A197" s="173">
        <v>4</v>
      </c>
    </row>
    <row r="198" spans="1:1" s="50" customFormat="1">
      <c r="A198" s="173" t="s">
        <v>651</v>
      </c>
    </row>
    <row r="199" spans="1:1" s="50" customFormat="1">
      <c r="A199" s="173">
        <v>10</v>
      </c>
    </row>
    <row r="200" spans="1:1" s="50" customFormat="1">
      <c r="A200" s="173" t="s">
        <v>652</v>
      </c>
    </row>
    <row r="201" spans="1:1" s="50" customFormat="1">
      <c r="A201" s="173" t="s">
        <v>653</v>
      </c>
    </row>
    <row r="202" spans="1:1" s="50" customFormat="1">
      <c r="A202" s="173" t="s">
        <v>654</v>
      </c>
    </row>
    <row r="203" spans="1:1" s="50" customFormat="1">
      <c r="A203" s="173" t="str">
        <f>+Control!D6</f>
        <v>31 December, 2016</v>
      </c>
    </row>
    <row r="204" spans="1:1" s="50" customFormat="1">
      <c r="A204" s="173" t="s">
        <v>655</v>
      </c>
    </row>
    <row r="205" spans="1:1" s="50" customFormat="1">
      <c r="A205" s="173" t="s">
        <v>656</v>
      </c>
    </row>
    <row r="206" spans="1:1" s="50" customFormat="1">
      <c r="A206" s="173" t="s">
        <v>657</v>
      </c>
    </row>
    <row r="207" spans="1:1" s="50" customFormat="1">
      <c r="A207" s="173" t="s">
        <v>658</v>
      </c>
    </row>
    <row r="208" spans="1:1" s="50" customFormat="1">
      <c r="A208" s="173" t="s">
        <v>659</v>
      </c>
    </row>
    <row r="209" spans="1:4" s="50" customFormat="1">
      <c r="A209" s="173" t="str">
        <f>+LOWER(Control!D9)</f>
        <v>period</v>
      </c>
    </row>
    <row r="210" spans="1:4" s="50" customFormat="1">
      <c r="A210" s="173" t="s">
        <v>660</v>
      </c>
    </row>
    <row r="211" spans="1:4" s="50" customFormat="1">
      <c r="A211" s="173" t="str">
        <f>+Control!D6</f>
        <v>31 December, 2016</v>
      </c>
    </row>
    <row r="212" spans="1:4" s="50" customFormat="1">
      <c r="A212" s="173" t="s">
        <v>661</v>
      </c>
    </row>
    <row r="217" spans="1:4" s="50" customFormat="1">
      <c r="A217" s="173" t="s">
        <v>662</v>
      </c>
    </row>
    <row r="218" spans="1:4" s="50" customFormat="1">
      <c r="A218" s="173" t="str">
        <f>+Control!D68</f>
        <v>US$</v>
      </c>
    </row>
    <row r="219" spans="1:4" s="50" customFormat="1">
      <c r="A219" s="1043">
        <v>5970728</v>
      </c>
      <c r="B219" s="1043"/>
      <c r="C219" s="1043"/>
      <c r="D219" s="1043"/>
    </row>
    <row r="220" spans="1:4" s="50" customFormat="1">
      <c r="A220" s="173" t="s">
        <v>663</v>
      </c>
    </row>
    <row r="221" spans="1:4" s="50" customFormat="1">
      <c r="A221" s="1043">
        <v>2010</v>
      </c>
      <c r="B221" s="1043"/>
      <c r="C221" s="1043"/>
      <c r="D221" s="1043"/>
    </row>
    <row r="222" spans="1:4" s="50" customFormat="1">
      <c r="A222" s="173" t="s">
        <v>664</v>
      </c>
    </row>
    <row r="223" spans="1:4" s="50" customFormat="1">
      <c r="A223" s="173" t="str">
        <f>+Control!D68</f>
        <v>US$</v>
      </c>
    </row>
    <row r="224" spans="1:4" s="50" customFormat="1">
      <c r="A224" s="1043">
        <v>6768736</v>
      </c>
      <c r="B224" s="1043"/>
      <c r="C224" s="1043"/>
      <c r="D224" s="1043"/>
    </row>
    <row r="225" spans="1:1" s="50" customFormat="1">
      <c r="A225" s="173" t="s">
        <v>665</v>
      </c>
    </row>
    <row r="226" spans="1:1" s="50" customFormat="1">
      <c r="A226" s="173" t="str">
        <f>+IF(Control!D95=1,"shareholder","shareholders")</f>
        <v>shareholder</v>
      </c>
    </row>
    <row r="227" spans="1:1" s="50" customFormat="1">
      <c r="A227" s="173" t="s">
        <v>267</v>
      </c>
    </row>
    <row r="228" spans="1:1" s="50" customFormat="1">
      <c r="A228" s="173" t="str">
        <f>+Control!D97</f>
        <v>his</v>
      </c>
    </row>
    <row r="229" spans="1:1" s="50" customFormat="1">
      <c r="A229" s="173" t="s">
        <v>666</v>
      </c>
    </row>
    <row r="232" spans="1:1" s="50" customFormat="1">
      <c r="A232" s="173" t="s">
        <v>667</v>
      </c>
    </row>
    <row r="233" spans="1:1" s="182" customFormat="1">
      <c r="A233" s="181" t="str">
        <f>+IF(Control!D118&gt;0,"profit","loss")</f>
        <v>loss</v>
      </c>
    </row>
    <row r="234" spans="1:1" s="50" customFormat="1">
      <c r="A234" s="173" t="s">
        <v>659</v>
      </c>
    </row>
    <row r="235" spans="1:1" s="50" customFormat="1">
      <c r="A235" s="173" t="str">
        <f>+LOWER(Control!D9)</f>
        <v>period</v>
      </c>
    </row>
    <row r="236" spans="1:1" s="50" customFormat="1">
      <c r="A236" s="173" t="s">
        <v>668</v>
      </c>
    </row>
    <row r="237" spans="1:1" s="182" customFormat="1">
      <c r="A237" s="181" t="str">
        <f>+IF(Control!D106&gt;0,"assets","liabilities")</f>
        <v>assets</v>
      </c>
    </row>
    <row r="238" spans="1:1" s="50" customFormat="1">
      <c r="A238" s="173" t="s">
        <v>440</v>
      </c>
    </row>
    <row r="239" spans="1:1" s="50" customFormat="1">
      <c r="A239" s="173" t="str">
        <f>+Control!D6</f>
        <v>31 December, 2016</v>
      </c>
    </row>
    <row r="240" spans="1:1" s="50" customFormat="1">
      <c r="A240" s="173" t="s">
        <v>239</v>
      </c>
    </row>
  </sheetData>
  <mergeCells count="28">
    <mergeCell ref="A109:L109"/>
    <mergeCell ref="B63:K66"/>
    <mergeCell ref="B70:K73"/>
    <mergeCell ref="B97:K98"/>
    <mergeCell ref="B88:K95"/>
    <mergeCell ref="B75:K77"/>
    <mergeCell ref="B102:K107"/>
    <mergeCell ref="B80:K86"/>
    <mergeCell ref="A1:L1"/>
    <mergeCell ref="B27:L27"/>
    <mergeCell ref="C32:L32"/>
    <mergeCell ref="C33:L33"/>
    <mergeCell ref="A54:L54"/>
    <mergeCell ref="A14:L14"/>
    <mergeCell ref="A17:L17"/>
    <mergeCell ref="C20:K21"/>
    <mergeCell ref="C36:L36"/>
    <mergeCell ref="D41:L41"/>
    <mergeCell ref="A53:L53"/>
    <mergeCell ref="A219:D219"/>
    <mergeCell ref="A221:D221"/>
    <mergeCell ref="A224:D224"/>
    <mergeCell ref="B119:K122"/>
    <mergeCell ref="A110:L110"/>
    <mergeCell ref="A165:L165"/>
    <mergeCell ref="B133:K137"/>
    <mergeCell ref="B144:K148"/>
    <mergeCell ref="C153:K154"/>
  </mergeCells>
  <phoneticPr fontId="13" type="noConversion"/>
  <pageMargins left="0.51181102362204722" right="0.31496062992125984" top="0.55118110236220474" bottom="3.937007874015748E-2" header="0.31496062992125984" footer="0.31496062992125984"/>
  <pageSetup paperSize="9" scale="97" fitToHeight="0" orientation="portrait" r:id="rId1"/>
  <colBreaks count="1" manualBreakCount="1">
    <brk id="5" min="53" max="84" man="1"/>
  </col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6"/>
  <dimension ref="A1:AC156"/>
  <sheetViews>
    <sheetView topLeftCell="A31" zoomScale="85" zoomScaleNormal="85" workbookViewId="0">
      <selection activeCell="P56" sqref="P56"/>
    </sheetView>
  </sheetViews>
  <sheetFormatPr defaultRowHeight="15.75"/>
  <cols>
    <col min="1" max="1" width="4" customWidth="1" collapsed="1"/>
    <col min="2" max="2" width="13.375" customWidth="1" collapsed="1"/>
    <col min="4" max="4" width="11.875" customWidth="1" collapsed="1"/>
    <col min="5" max="5" width="3.625" customWidth="1" collapsed="1"/>
    <col min="6" max="6" width="8.125" customWidth="1" collapsed="1"/>
    <col min="7" max="7" width="3.125" customWidth="1" collapsed="1"/>
    <col min="8" max="8" width="13" customWidth="1" collapsed="1"/>
    <col min="9" max="9" width="2.625" customWidth="1" collapsed="1"/>
    <col min="10" max="10" width="3.375" customWidth="1" collapsed="1"/>
    <col min="13" max="13" width="3.125" customWidth="1" collapsed="1"/>
    <col min="14" max="14" width="2.375" bestFit="1" customWidth="1" collapsed="1"/>
    <col min="15" max="15" width="3.5" bestFit="1" customWidth="1" collapsed="1"/>
    <col min="18" max="18" width="11.625" customWidth="1" collapsed="1"/>
  </cols>
  <sheetData>
    <row r="1" spans="1:25" s="197" customFormat="1" ht="12.75">
      <c r="A1" s="195" t="str">
        <f>+CONCATENATE(P1,Q1)</f>
        <v>REPORT OF THE DIRECTOR</v>
      </c>
      <c r="K1" s="197" t="s">
        <v>669</v>
      </c>
      <c r="P1" s="198" t="s">
        <v>670</v>
      </c>
      <c r="Q1" s="198" t="str">
        <f>+IF(Control!D78=1,"DIRECTOR","DIRECTORS")</f>
        <v>DIRECTOR</v>
      </c>
    </row>
    <row r="2" spans="1:25" s="197" customFormat="1" ht="12.75">
      <c r="A2" s="196"/>
      <c r="K2" s="197" t="s">
        <v>671</v>
      </c>
    </row>
    <row r="3" spans="1:25" s="197" customFormat="1" ht="12.75">
      <c r="A3" s="294" t="str">
        <f>+CONCATENATE(P3,Q3,R3,S3,T3,U3,V3)</f>
        <v>On behalf of the Board of Director, I submit herewith its annual report together with the audited financial statements of the Company for the period ended 31 December, 2016.</v>
      </c>
      <c r="B3" s="294"/>
      <c r="C3" s="294"/>
      <c r="D3" s="294"/>
      <c r="E3" s="294"/>
      <c r="F3" s="294"/>
      <c r="G3" s="294"/>
      <c r="H3" s="294"/>
      <c r="I3" s="294"/>
      <c r="J3" s="294"/>
      <c r="L3" s="197" t="s">
        <v>672</v>
      </c>
      <c r="M3" s="294"/>
      <c r="N3" s="294"/>
      <c r="O3" s="294"/>
      <c r="P3" s="198" t="s">
        <v>673</v>
      </c>
      <c r="Q3" s="198" t="str">
        <f>+IF(Control!D78=1,"Director","Directors")</f>
        <v>Director</v>
      </c>
      <c r="R3" s="198" t="s">
        <v>674</v>
      </c>
      <c r="S3" s="198" t="str">
        <f>+LOWER(Control!D9)</f>
        <v>period</v>
      </c>
      <c r="T3" s="198" t="s">
        <v>660</v>
      </c>
      <c r="U3" s="198" t="str">
        <f>+Control!D6</f>
        <v>31 December, 2016</v>
      </c>
      <c r="V3" s="198" t="s">
        <v>239</v>
      </c>
    </row>
    <row r="4" spans="1:25" s="197" customFormat="1" ht="12.75">
      <c r="A4" s="294"/>
      <c r="B4" s="294"/>
      <c r="C4" s="294"/>
      <c r="D4" s="294"/>
      <c r="E4" s="294"/>
      <c r="F4" s="294"/>
      <c r="G4" s="294"/>
      <c r="H4" s="294"/>
      <c r="I4" s="294"/>
      <c r="J4" s="294"/>
      <c r="L4" s="197" t="s">
        <v>672</v>
      </c>
      <c r="M4" s="294"/>
      <c r="N4" s="294"/>
      <c r="O4" s="294"/>
    </row>
    <row r="5" spans="1:25" s="197" customFormat="1" ht="12.75">
      <c r="A5" s="195" t="s">
        <v>675</v>
      </c>
      <c r="B5" s="294"/>
      <c r="C5" s="294"/>
      <c r="D5" s="294"/>
      <c r="E5" s="294"/>
      <c r="F5" s="294"/>
      <c r="G5" s="294"/>
      <c r="H5" s="294"/>
      <c r="I5" s="294"/>
      <c r="J5" s="294"/>
      <c r="L5" s="292" t="str">
        <f>+IF(Control!D30=1,"Y","N")</f>
        <v>N</v>
      </c>
      <c r="M5" s="294"/>
      <c r="N5" s="294"/>
      <c r="O5" s="294"/>
      <c r="Y5" s="292"/>
    </row>
    <row r="6" spans="1:25" s="197" customFormat="1" ht="12.75">
      <c r="A6" s="294" t="str">
        <f>+CONCATENATE(P6,Q6,R6)</f>
        <v>The Company was incorporated on 2 March, 2014 under the Hong Kong Companies Ordinance.</v>
      </c>
      <c r="B6" s="294"/>
      <c r="C6" s="294"/>
      <c r="D6" s="294"/>
      <c r="E6" s="294"/>
      <c r="F6" s="294"/>
      <c r="G6" s="294"/>
      <c r="H6" s="294"/>
      <c r="I6" s="294"/>
      <c r="J6" s="294"/>
      <c r="L6" s="292" t="str">
        <f>+IF(Control!D30=1,"Y","N")</f>
        <v>N</v>
      </c>
      <c r="M6" s="294"/>
      <c r="N6" s="294"/>
      <c r="O6" s="294"/>
      <c r="P6" s="197" t="s">
        <v>676</v>
      </c>
      <c r="Q6" s="197" t="str">
        <f>TEXT(Control!D11, "d mmmm, yyyy")</f>
        <v>2 March, 2014</v>
      </c>
      <c r="R6" s="197" t="s">
        <v>1294</v>
      </c>
    </row>
    <row r="7" spans="1:25" s="197" customFormat="1" ht="12.75">
      <c r="A7" s="294"/>
      <c r="B7" s="294"/>
      <c r="C7" s="294"/>
      <c r="D7" s="294"/>
      <c r="E7" s="294"/>
      <c r="F7" s="294"/>
      <c r="G7" s="294"/>
      <c r="H7" s="294"/>
      <c r="I7" s="294"/>
      <c r="J7" s="294"/>
      <c r="L7" s="292" t="str">
        <f>+IF(Control!D30=1,"Y","N")</f>
        <v>N</v>
      </c>
      <c r="M7" s="294"/>
      <c r="N7" s="294"/>
      <c r="O7" s="294"/>
    </row>
    <row r="8" spans="1:25" s="197" customFormat="1" ht="12.75">
      <c r="A8" s="299" t="s">
        <v>677</v>
      </c>
      <c r="B8" s="294"/>
      <c r="C8" s="294"/>
      <c r="D8" s="294"/>
      <c r="E8" s="294"/>
      <c r="F8" s="294"/>
      <c r="G8" s="294"/>
      <c r="H8" s="294"/>
      <c r="I8" s="294"/>
      <c r="J8" s="294"/>
      <c r="L8" s="292" t="str">
        <f>+IF(Control!D55=1,"Y","N")</f>
        <v>N</v>
      </c>
      <c r="M8" s="294"/>
      <c r="N8" s="294"/>
      <c r="O8" s="294"/>
    </row>
    <row r="9" spans="1:25" s="197" customFormat="1" ht="12.75">
      <c r="A9" s="294" t="str">
        <f>+CONCATENATE(P9,Q9,R9,S9,T9,U9,V9,W9,X9)</f>
        <v>The Company's name has been changed to MIC INCORPORATION LIMITED  匯新興業有限公司 from SANYONGFAN HK LIMITED 三永繁有限公司 since 7 February, 2017.</v>
      </c>
      <c r="B9" s="294"/>
      <c r="C9" s="294"/>
      <c r="D9" s="294"/>
      <c r="E9" s="294"/>
      <c r="F9" s="294"/>
      <c r="G9" s="294"/>
      <c r="H9" s="294"/>
      <c r="I9" s="294"/>
      <c r="J9" s="294"/>
      <c r="L9" s="292" t="str">
        <f>+IF(Control!D55=1,"Y","N")</f>
        <v>N</v>
      </c>
      <c r="M9" s="294"/>
      <c r="N9" s="294"/>
      <c r="O9" s="294"/>
      <c r="P9" s="197" t="s">
        <v>678</v>
      </c>
      <c r="Q9" s="197" t="str">
        <f>+Control!D3</f>
        <v>MIC INCORPORATION LIMITED </v>
      </c>
      <c r="R9" s="197" t="s">
        <v>172</v>
      </c>
      <c r="S9" s="197" t="str">
        <f>IF(Control!D2=Control!D4,"",Control!D4)</f>
        <v>匯新興業有限公司</v>
      </c>
      <c r="T9" s="197" t="s">
        <v>679</v>
      </c>
      <c r="U9" s="197" t="str">
        <f>+Control!D56</f>
        <v>SANYONGFAN HK LIMITED 三永繁有限公司</v>
      </c>
      <c r="V9" s="197" t="s">
        <v>1184</v>
      </c>
      <c r="W9" s="197" t="str">
        <f>TEXT(Control!D57, "d mmmm, yyyy")</f>
        <v>7 February, 2017</v>
      </c>
      <c r="X9" s="197" t="s">
        <v>239</v>
      </c>
    </row>
    <row r="10" spans="1:25" s="197" customFormat="1" ht="12.75">
      <c r="A10" s="294"/>
      <c r="B10" s="294"/>
      <c r="C10" s="294"/>
      <c r="D10" s="294"/>
      <c r="E10" s="294"/>
      <c r="F10" s="294"/>
      <c r="G10" s="294"/>
      <c r="H10" s="294"/>
      <c r="I10" s="294"/>
      <c r="J10" s="294"/>
      <c r="L10" s="292" t="str">
        <f>+IF(Control!D55=1,"Y","N")</f>
        <v>N</v>
      </c>
      <c r="M10" s="294"/>
      <c r="N10" s="294"/>
      <c r="O10" s="294"/>
    </row>
    <row r="11" spans="1:25" s="197" customFormat="1" ht="12.75">
      <c r="A11" s="195" t="s">
        <v>680</v>
      </c>
      <c r="L11" s="197" t="s">
        <v>672</v>
      </c>
      <c r="P11" s="197" t="str">
        <f>+CONCATENATE(P12,Q12,R12,S12,T12)</f>
        <v>The principal activity of the Company was engaged in general trading during the period.</v>
      </c>
    </row>
    <row r="12" spans="1:25" s="293" customFormat="1" ht="12.75">
      <c r="A12" s="375" t="str">
        <f>+IF(Control!D64=0,Section1!P13,Section1!P11)</f>
        <v>The principal activity of the Company was engaged in general trading during the period.</v>
      </c>
      <c r="L12" s="293" t="s">
        <v>672</v>
      </c>
      <c r="P12" s="293" t="s">
        <v>681</v>
      </c>
      <c r="Q12" s="293" t="str">
        <f>LOWER(Control!D65)</f>
        <v>general trading</v>
      </c>
      <c r="R12" s="293" t="s">
        <v>682</v>
      </c>
      <c r="S12" s="293" t="str">
        <f>+Control!E8</f>
        <v>period</v>
      </c>
      <c r="T12" s="293" t="s">
        <v>239</v>
      </c>
    </row>
    <row r="13" spans="1:25" s="197" customFormat="1" ht="12.75">
      <c r="A13" s="42"/>
      <c r="L13" s="197" t="s">
        <v>672</v>
      </c>
      <c r="P13" s="197" t="str">
        <f>+CONCATENATE(P14,Q14,R14)</f>
        <v>The Company was inactive during the period.</v>
      </c>
    </row>
    <row r="14" spans="1:25" s="197" customFormat="1" ht="12.75">
      <c r="A14" s="195" t="s">
        <v>683</v>
      </c>
      <c r="L14" s="197" t="s">
        <v>672</v>
      </c>
      <c r="P14" s="197" t="s">
        <v>1126</v>
      </c>
      <c r="Q14" s="197" t="str">
        <f>+LOWER(Control!E8)</f>
        <v>period</v>
      </c>
      <c r="R14" s="197" t="s">
        <v>1125</v>
      </c>
    </row>
    <row r="15" spans="1:25" s="197" customFormat="1" ht="14.25" customHeight="1">
      <c r="A15" s="294" t="str">
        <f>+CONCATENATE(P15,Q15,R15,S15,T15,U15,V15,P16,Q16,R16,S16,T16,U16,V16,W16)</f>
        <v xml:space="preserve">The results of the Company for the period ended 31 December, 2016 and the state of the Company’s affairs at 31 December, 2016 are set out in the annexed financial statements.  The director does not recommend the payment of a final dividend for the period ended 31 December, 2016. </v>
      </c>
      <c r="B15" s="131"/>
      <c r="C15" s="131"/>
      <c r="D15" s="131"/>
      <c r="E15" s="131"/>
      <c r="F15" s="131"/>
      <c r="G15" s="131"/>
      <c r="H15" s="131"/>
      <c r="I15" s="131"/>
      <c r="J15" s="131"/>
      <c r="L15" s="197" t="s">
        <v>672</v>
      </c>
      <c r="M15" s="131"/>
      <c r="N15" s="131"/>
      <c r="O15" s="131"/>
      <c r="P15" s="198" t="s">
        <v>1621</v>
      </c>
      <c r="Q15" s="198" t="str">
        <f>+LOWER(Control!D9)</f>
        <v>period</v>
      </c>
      <c r="R15" s="198" t="s">
        <v>660</v>
      </c>
      <c r="S15" s="198" t="str">
        <f>+Control!D6</f>
        <v>31 December, 2016</v>
      </c>
      <c r="T15" s="198" t="s">
        <v>685</v>
      </c>
      <c r="U15" s="198" t="str">
        <f>+Control!D6</f>
        <v>31 December, 2016</v>
      </c>
      <c r="V15" s="198" t="s">
        <v>686</v>
      </c>
      <c r="W15" s="198"/>
    </row>
    <row r="16" spans="1:25" s="197" customFormat="1" ht="14.25" customHeight="1">
      <c r="A16" s="294"/>
      <c r="B16" s="131"/>
      <c r="C16" s="131"/>
      <c r="D16" s="131"/>
      <c r="E16" s="131"/>
      <c r="F16" s="131"/>
      <c r="G16" s="131"/>
      <c r="H16" s="131"/>
      <c r="I16" s="131"/>
      <c r="J16" s="131"/>
      <c r="L16" s="197" t="s">
        <v>1618</v>
      </c>
      <c r="M16" s="131"/>
      <c r="N16" s="131"/>
      <c r="O16" s="131"/>
      <c r="P16" s="198" t="str">
        <f>+IF(Control!D78=1,"director","directors")</f>
        <v>director</v>
      </c>
      <c r="Q16" s="198" t="s">
        <v>172</v>
      </c>
      <c r="R16" s="198" t="str">
        <f>+IF(Control!D78=1,"does","do")</f>
        <v>does</v>
      </c>
      <c r="S16" s="198" t="s">
        <v>687</v>
      </c>
      <c r="T16" s="198" t="str">
        <f>+LOWER(Control!D9)</f>
        <v>period</v>
      </c>
      <c r="U16" s="198" t="s">
        <v>660</v>
      </c>
      <c r="V16" s="198" t="str">
        <f>+Control!D6</f>
        <v>31 December, 2016</v>
      </c>
      <c r="W16" s="198" t="s">
        <v>688</v>
      </c>
    </row>
    <row r="17" spans="1:25" s="197" customFormat="1" ht="14.25" customHeight="1">
      <c r="A17" s="294" t="s">
        <v>1628</v>
      </c>
      <c r="B17" s="131"/>
      <c r="C17" s="131"/>
      <c r="D17" s="131"/>
      <c r="E17" s="131"/>
      <c r="F17" s="131"/>
      <c r="G17" s="131"/>
      <c r="H17" s="131"/>
      <c r="I17" s="131"/>
      <c r="J17" s="131"/>
      <c r="L17" s="197" t="s">
        <v>1619</v>
      </c>
      <c r="M17" s="131"/>
      <c r="N17" s="131"/>
      <c r="O17" s="131"/>
      <c r="P17" s="292" t="s">
        <v>1622</v>
      </c>
      <c r="Q17" s="292"/>
      <c r="R17" s="292"/>
      <c r="S17" s="292"/>
      <c r="T17" s="292"/>
      <c r="U17" s="292"/>
      <c r="V17" s="292"/>
      <c r="W17" s="292"/>
    </row>
    <row r="18" spans="1:25" s="197" customFormat="1" ht="14.25" customHeight="1">
      <c r="A18" s="294"/>
      <c r="B18" s="131"/>
      <c r="C18" s="131"/>
      <c r="D18" s="131"/>
      <c r="E18" s="131"/>
      <c r="F18" s="131"/>
      <c r="G18" s="131"/>
      <c r="H18" s="131"/>
      <c r="I18" s="131"/>
      <c r="J18" s="131"/>
      <c r="L18" s="197" t="str">
        <f>+L17</f>
        <v>N</v>
      </c>
      <c r="M18" s="131"/>
      <c r="N18" s="131"/>
      <c r="O18" s="131"/>
      <c r="P18" s="292"/>
      <c r="Q18" s="292"/>
      <c r="R18" s="292"/>
      <c r="S18" s="292"/>
      <c r="T18" s="292"/>
      <c r="U18" s="292"/>
      <c r="V18" s="292"/>
      <c r="W18" s="292"/>
    </row>
    <row r="19" spans="1:25" s="197" customFormat="1" ht="12.75">
      <c r="A19" s="294" t="s">
        <v>1620</v>
      </c>
      <c r="B19" s="131"/>
      <c r="C19" s="131"/>
      <c r="D19" s="131"/>
      <c r="E19" s="131"/>
      <c r="F19" s="131"/>
      <c r="G19" s="131"/>
      <c r="H19" s="131"/>
      <c r="I19" s="131"/>
      <c r="J19" s="131"/>
      <c r="L19" s="197" t="str">
        <f>+L17</f>
        <v>N</v>
      </c>
      <c r="M19" s="131"/>
      <c r="N19" s="131"/>
      <c r="O19" s="131"/>
      <c r="P19" s="292" t="s">
        <v>1622</v>
      </c>
      <c r="Q19" s="292"/>
      <c r="R19" s="292"/>
      <c r="S19" s="292"/>
      <c r="T19" s="292"/>
      <c r="U19" s="292"/>
      <c r="V19" s="292"/>
      <c r="W19" s="292"/>
    </row>
    <row r="20" spans="1:25" s="197" customFormat="1" ht="12.75">
      <c r="A20" s="294"/>
      <c r="B20" s="131"/>
      <c r="C20" s="131"/>
      <c r="D20" s="131"/>
      <c r="E20" s="131"/>
      <c r="F20" s="131"/>
      <c r="G20" s="131"/>
      <c r="H20" s="131"/>
      <c r="I20" s="131"/>
      <c r="J20" s="131"/>
      <c r="L20" s="197" t="str">
        <f>+L19</f>
        <v>N</v>
      </c>
      <c r="M20" s="131"/>
      <c r="N20" s="131"/>
      <c r="O20" s="131"/>
      <c r="P20" s="292"/>
      <c r="Q20" s="292"/>
      <c r="R20" s="292"/>
      <c r="S20" s="292"/>
      <c r="T20" s="292"/>
      <c r="U20" s="292"/>
      <c r="V20" s="292"/>
      <c r="W20" s="292"/>
    </row>
    <row r="21" spans="1:25" s="197" customFormat="1" ht="13.5">
      <c r="A21" s="298" t="s">
        <v>689</v>
      </c>
      <c r="B21" s="131"/>
      <c r="C21" s="131"/>
      <c r="D21" s="131"/>
      <c r="E21" s="131"/>
      <c r="F21" s="131"/>
      <c r="G21" s="131"/>
      <c r="H21" s="131"/>
      <c r="I21" s="131"/>
      <c r="J21" s="131"/>
      <c r="L21" s="293" t="str">
        <f>+IF(Control!D62=1,"Y","N")</f>
        <v>N</v>
      </c>
      <c r="M21" s="131"/>
      <c r="N21" s="131"/>
      <c r="O21" s="131"/>
      <c r="P21" s="292"/>
      <c r="Q21" s="292"/>
      <c r="R21" s="292"/>
      <c r="S21" s="292"/>
      <c r="T21" s="292"/>
      <c r="U21" s="292"/>
      <c r="V21" s="292"/>
      <c r="W21" s="292"/>
    </row>
    <row r="22" spans="1:25" s="197" customFormat="1" ht="12.75">
      <c r="A22" s="294" t="str">
        <f>+CONCATENATE(P22,Q22,R22,S22,T22,U22,V22,W22,X22,Q23,R23,S23,T23,U23,W23,X23,P27,Q27)</f>
        <v xml:space="preserve">Pursuant to a resolution of the Board of Director dated 0 January, 1900, the Company's financial year end date has been changed from 0 to 31 December, 20160. The accounts now presented cover a period of fifteen2 March, 2014 to 31 December, 2016. Accordingly, the comparative figures (which cover a period of twelve1 October, 2011 to 30 September, 2012) for the profit and loss account, statement of changes in equity and related notes are not comparable with those of the current period.  </v>
      </c>
      <c r="B22" s="131"/>
      <c r="C22" s="131"/>
      <c r="D22" s="131"/>
      <c r="E22" s="131"/>
      <c r="F22" s="131"/>
      <c r="G22" s="131"/>
      <c r="H22" s="131"/>
      <c r="I22" s="131"/>
      <c r="J22" s="131"/>
      <c r="L22" s="293" t="str">
        <f>+IF(Control!D63=1,"Y","N")</f>
        <v>N</v>
      </c>
      <c r="M22" s="131"/>
      <c r="N22" s="131"/>
      <c r="O22" s="131"/>
      <c r="P22" s="198" t="s">
        <v>690</v>
      </c>
      <c r="Q22" s="302" t="str">
        <f>TEXT(Control!D60, "d mmmm, yyyy")</f>
        <v>0 January, 1900</v>
      </c>
      <c r="R22" s="198" t="s">
        <v>691</v>
      </c>
      <c r="S22" s="300">
        <f>Control!D61</f>
        <v>0</v>
      </c>
      <c r="T22" s="198" t="s">
        <v>651</v>
      </c>
      <c r="U22" s="300" t="str">
        <f>TEXT(Control!D12, "d mmmm, yyyy")</f>
        <v>31 December, 2016</v>
      </c>
      <c r="V22" s="198">
        <f>+Control!D62</f>
        <v>0</v>
      </c>
      <c r="W22" s="198" t="s">
        <v>692</v>
      </c>
      <c r="X22" s="293" t="s">
        <v>693</v>
      </c>
      <c r="Y22" s="293" t="s">
        <v>694</v>
      </c>
    </row>
    <row r="23" spans="1:25" s="197" customFormat="1" ht="12.75">
      <c r="A23" s="131"/>
      <c r="B23" s="131"/>
      <c r="C23" s="131"/>
      <c r="D23" s="131"/>
      <c r="E23" s="131"/>
      <c r="F23" s="131"/>
      <c r="G23" s="131"/>
      <c r="H23" s="131"/>
      <c r="I23" s="131"/>
      <c r="J23" s="131"/>
      <c r="L23" s="293" t="str">
        <f>+IF(Control!D65=1,"Y","N")</f>
        <v>N</v>
      </c>
      <c r="M23" s="131"/>
      <c r="N23" s="131"/>
      <c r="O23" s="131"/>
      <c r="P23" s="198" t="s">
        <v>695</v>
      </c>
      <c r="Q23" s="198" t="str">
        <f>TEXT(Control!D11, "d mmmm, yyyy")</f>
        <v>2 March, 2014</v>
      </c>
      <c r="R23" s="198" t="s">
        <v>651</v>
      </c>
      <c r="S23" s="198" t="str">
        <f>TEXT(Control!D12, "d mmmm, yyyy")</f>
        <v>31 December, 2016</v>
      </c>
      <c r="T23" s="198" t="s">
        <v>696</v>
      </c>
      <c r="U23" s="293" t="s">
        <v>697</v>
      </c>
      <c r="V23" s="198" t="s">
        <v>695</v>
      </c>
      <c r="W23" s="293" t="s">
        <v>698</v>
      </c>
      <c r="X23" s="198" t="s">
        <v>651</v>
      </c>
    </row>
    <row r="24" spans="1:25" s="197" customFormat="1" ht="12.75">
      <c r="A24" s="195" t="s">
        <v>699</v>
      </c>
      <c r="B24" s="131"/>
      <c r="C24" s="131"/>
      <c r="D24" s="131"/>
      <c r="E24" s="131"/>
      <c r="F24" s="131"/>
      <c r="G24" s="131"/>
      <c r="H24" s="131"/>
      <c r="I24" s="131"/>
      <c r="J24" s="131"/>
      <c r="L24" s="293" t="str">
        <f>+IF(Control!D32=1,"Y","N")</f>
        <v>Y</v>
      </c>
      <c r="M24" s="131"/>
      <c r="N24" s="131"/>
      <c r="O24" s="131"/>
      <c r="P24" s="292"/>
      <c r="Q24" s="292"/>
      <c r="R24" s="292"/>
      <c r="S24" s="292"/>
      <c r="T24" s="292"/>
      <c r="U24" s="292"/>
      <c r="V24" s="292"/>
      <c r="W24" s="292"/>
      <c r="X24" s="292"/>
    </row>
    <row r="25" spans="1:25" s="197" customFormat="1" ht="12.75">
      <c r="A25" s="42" t="str">
        <f>+CONCATENATE(P25,Q25,R25,S25,T25)</f>
        <v>Movements in property, plant and equipment during the period are set out in note 7 to the financial statements.</v>
      </c>
      <c r="B25" s="131"/>
      <c r="C25" s="131"/>
      <c r="D25" s="131"/>
      <c r="E25" s="131"/>
      <c r="F25" s="131"/>
      <c r="G25" s="131"/>
      <c r="H25" s="131"/>
      <c r="I25" s="131"/>
      <c r="J25" s="131"/>
      <c r="L25" s="293" t="str">
        <f>+IF(Control!D32=1,"Y","N")</f>
        <v>Y</v>
      </c>
      <c r="M25" s="131"/>
      <c r="N25" s="131"/>
      <c r="O25" s="131"/>
      <c r="P25" s="292" t="s">
        <v>700</v>
      </c>
      <c r="Q25" s="292" t="str">
        <f>+Control!E8</f>
        <v>period</v>
      </c>
      <c r="R25" s="292" t="s">
        <v>701</v>
      </c>
      <c r="S25" s="292">
        <f>+Section4!B11</f>
        <v>7</v>
      </c>
      <c r="T25" s="292" t="s">
        <v>702</v>
      </c>
      <c r="U25" s="292"/>
      <c r="V25" s="292"/>
      <c r="W25" s="292"/>
      <c r="X25" s="292"/>
    </row>
    <row r="26" spans="1:25" s="197" customFormat="1" ht="12.75">
      <c r="A26" s="131"/>
      <c r="B26" s="131"/>
      <c r="C26" s="131"/>
      <c r="D26" s="131"/>
      <c r="E26" s="131"/>
      <c r="F26" s="131"/>
      <c r="G26" s="131"/>
      <c r="H26" s="131"/>
      <c r="I26" s="131"/>
      <c r="J26" s="131"/>
      <c r="L26" s="293" t="str">
        <f>+IF(Control!D32=1,"Y","N")</f>
        <v>Y</v>
      </c>
      <c r="M26" s="131"/>
      <c r="N26" s="131"/>
      <c r="O26" s="131"/>
      <c r="P26" s="292"/>
      <c r="Q26" s="292"/>
      <c r="R26" s="292"/>
      <c r="S26" s="292"/>
      <c r="T26" s="292"/>
      <c r="U26" s="292"/>
      <c r="V26" s="292"/>
      <c r="W26" s="292"/>
      <c r="X26" s="292"/>
    </row>
    <row r="27" spans="1:25" s="197" customFormat="1" ht="12.75">
      <c r="A27" s="195" t="s">
        <v>703</v>
      </c>
      <c r="L27" s="197" t="s">
        <v>672</v>
      </c>
      <c r="P27" s="293" t="s">
        <v>704</v>
      </c>
      <c r="Q27" s="198" t="s">
        <v>705</v>
      </c>
    </row>
    <row r="28" spans="1:25" s="197" customFormat="1" ht="12.75">
      <c r="A28" s="42" t="str">
        <f>+CONCATENATE(P28,Q28,R28,S28,T28)</f>
        <v>Movements in issued capital during the period are set out in note 9 to the financial statements.</v>
      </c>
      <c r="L28" s="197" t="s">
        <v>672</v>
      </c>
      <c r="P28" s="197" t="s">
        <v>706</v>
      </c>
      <c r="Q28" s="197" t="str">
        <f>+Control!E8</f>
        <v>period</v>
      </c>
      <c r="R28" s="197" t="s">
        <v>701</v>
      </c>
      <c r="S28" s="197">
        <f>+Section4!B58</f>
        <v>9</v>
      </c>
      <c r="T28" s="197" t="s">
        <v>702</v>
      </c>
    </row>
    <row r="29" spans="1:25" s="197" customFormat="1" ht="12.75">
      <c r="A29" s="42"/>
      <c r="L29" s="197" t="s">
        <v>672</v>
      </c>
    </row>
    <row r="30" spans="1:25" s="197" customFormat="1" ht="12.75">
      <c r="A30" s="195" t="str">
        <f>+IF(Control!D78=1,"DIRECTOR","DIRECTORS")</f>
        <v>DIRECTOR</v>
      </c>
      <c r="L30" s="197" t="s">
        <v>672</v>
      </c>
    </row>
    <row r="31" spans="1:25" s="197" customFormat="1" ht="12.75">
      <c r="A31" s="42" t="str">
        <f>+CONCATENATE(P31,Q31,R31,S31,T31,U31,V31)</f>
        <v>The director who held office during the period and up to the date of reporting was:</v>
      </c>
      <c r="L31" s="197" t="s">
        <v>672</v>
      </c>
      <c r="P31" s="198" t="s">
        <v>707</v>
      </c>
      <c r="Q31" s="198" t="str">
        <f>+IF(Control!D78=1,"director","directors")</f>
        <v>director</v>
      </c>
      <c r="R31" s="198" t="s">
        <v>708</v>
      </c>
      <c r="S31" s="198" t="str">
        <f>+LOWER(Control!D9)</f>
        <v>period</v>
      </c>
      <c r="T31" s="198" t="s">
        <v>709</v>
      </c>
      <c r="U31" s="198" t="str">
        <f>+IF(Control!D78=1,"was","were")</f>
        <v>was</v>
      </c>
      <c r="V31" s="198" t="s">
        <v>710</v>
      </c>
    </row>
    <row r="32" spans="1:25" s="197" customFormat="1" ht="12.75">
      <c r="A32" s="42"/>
      <c r="L32" s="197" t="s">
        <v>672</v>
      </c>
    </row>
    <row r="33" spans="1:27" s="197" customFormat="1" ht="12.75">
      <c r="A33" s="42"/>
      <c r="B33" s="293" t="str">
        <f>+'Dir info'!C4</f>
        <v>Zhou Qianwei</v>
      </c>
      <c r="D33" s="293" t="str">
        <f>+'Dir info'!C11</f>
        <v/>
      </c>
      <c r="L33" s="292" t="str">
        <f>+IF('Dir info'!C4=0,"N","Y")</f>
        <v>Y</v>
      </c>
      <c r="P33" s="197" t="s">
        <v>711</v>
      </c>
      <c r="Q33" s="197" t="str">
        <f>TEXT(Control!D11, "d mmmm, yyyy")</f>
        <v>2 March, 2014</v>
      </c>
      <c r="R33" s="197" t="s">
        <v>712</v>
      </c>
      <c r="Y33" s="293" t="s">
        <v>713</v>
      </c>
    </row>
    <row r="34" spans="1:27" s="197" customFormat="1" ht="12.75">
      <c r="A34" s="42"/>
      <c r="B34" s="293">
        <f>+'Dir info'!C5</f>
        <v>0</v>
      </c>
      <c r="D34" s="293" t="str">
        <f>+'Dir info'!C14</f>
        <v/>
      </c>
      <c r="L34" s="292" t="str">
        <f>+IF('Dir info'!C5=0,"N","Y")</f>
        <v>N</v>
      </c>
      <c r="P34" s="197" t="s">
        <v>1152</v>
      </c>
      <c r="Q34" s="197" t="s">
        <v>1153</v>
      </c>
      <c r="R34" s="197" t="s">
        <v>712</v>
      </c>
      <c r="S34" s="197" t="str">
        <f>+CONCATENATE(P34,Q34,R34)</f>
        <v>(Appointed on 1 April, 2014)</v>
      </c>
      <c r="Y34" s="293"/>
    </row>
    <row r="35" spans="1:27" s="197" customFormat="1" ht="12.75">
      <c r="A35" s="42"/>
      <c r="B35" s="293">
        <f>+'Dir info'!C6</f>
        <v>0</v>
      </c>
      <c r="D35" s="293" t="str">
        <f>+'Dir info'!C17</f>
        <v/>
      </c>
      <c r="L35" s="292" t="str">
        <f>+IF('Dir info'!C6=0,"N","Y")</f>
        <v>N</v>
      </c>
      <c r="Y35" s="293"/>
    </row>
    <row r="36" spans="1:27" s="197" customFormat="1" ht="12.75">
      <c r="A36" s="42"/>
      <c r="B36" s="293">
        <f>+'Dir info'!C7</f>
        <v>0</v>
      </c>
      <c r="D36" s="293" t="str">
        <f>+'Dir info'!C20</f>
        <v/>
      </c>
      <c r="L36" s="292" t="str">
        <f>+IF('Dir info'!C7=0,"N","Y")</f>
        <v>N</v>
      </c>
      <c r="Y36" s="293"/>
    </row>
    <row r="37" spans="1:27" s="197" customFormat="1" ht="12.75">
      <c r="A37" s="42"/>
      <c r="B37" s="293">
        <f>+'Dir info'!C8</f>
        <v>0</v>
      </c>
      <c r="D37" s="293" t="str">
        <f>+'Dir info'!C23</f>
        <v/>
      </c>
      <c r="L37" s="292" t="str">
        <f>+IF('Dir info'!C8=0,"N","Y")</f>
        <v>N</v>
      </c>
      <c r="Y37" s="293"/>
    </row>
    <row r="38" spans="1:27" s="197" customFormat="1" ht="12.75">
      <c r="A38" s="42"/>
      <c r="B38" s="293">
        <f>+'Dir info'!C9</f>
        <v>0</v>
      </c>
      <c r="D38" s="293" t="str">
        <f>+'Dir info'!C26</f>
        <v/>
      </c>
      <c r="L38" s="292" t="str">
        <f>+IF('Dir info'!C9=0,"N","Y")</f>
        <v>N</v>
      </c>
      <c r="Y38" s="293"/>
    </row>
    <row r="39" spans="1:27" s="197" customFormat="1" ht="12.75">
      <c r="A39" s="42"/>
      <c r="L39" s="197" t="s">
        <v>672</v>
      </c>
      <c r="Y39" s="293" t="s">
        <v>714</v>
      </c>
    </row>
    <row r="40" spans="1:27" s="197" customFormat="1" ht="12.75">
      <c r="A40" s="294" t="str">
        <f>+CONCATENATE(P40,Q40,R40)</f>
        <v>In accordance with the Company’s Articles of Association, the director shall continue in office until the next annual general meeting.</v>
      </c>
      <c r="B40" s="294"/>
      <c r="C40" s="294"/>
      <c r="D40" s="294"/>
      <c r="E40" s="294"/>
      <c r="F40" s="294"/>
      <c r="G40" s="294"/>
      <c r="H40" s="294"/>
      <c r="I40" s="294"/>
      <c r="J40" s="294"/>
      <c r="L40" s="197" t="s">
        <v>672</v>
      </c>
      <c r="M40" s="294"/>
      <c r="N40" s="294"/>
      <c r="O40" s="294"/>
      <c r="P40" s="198" t="s">
        <v>715</v>
      </c>
      <c r="Q40" s="198" t="str">
        <f>+IF(Control!D78=1,"director","directors")</f>
        <v>director</v>
      </c>
      <c r="R40" s="198" t="s">
        <v>716</v>
      </c>
      <c r="S40" s="198"/>
      <c r="T40" s="198"/>
      <c r="U40" s="198"/>
      <c r="V40" s="198"/>
    </row>
    <row r="41" spans="1:27" s="197" customFormat="1" ht="12.75">
      <c r="A41" s="294"/>
      <c r="B41" s="294"/>
      <c r="C41" s="294"/>
      <c r="D41" s="294"/>
      <c r="E41" s="294"/>
      <c r="F41" s="294"/>
      <c r="G41" s="294"/>
      <c r="H41" s="294"/>
      <c r="I41" s="294"/>
      <c r="J41" s="294"/>
      <c r="L41" s="197" t="s">
        <v>672</v>
      </c>
      <c r="M41" s="294"/>
      <c r="N41" s="294"/>
      <c r="O41" s="294"/>
      <c r="P41" s="197" t="str">
        <f>+CONCATENATE(P43,Q43,R43,S43,T43,AA43)</f>
        <v>The donations made by the Company during the period amounted to US$Nil.</v>
      </c>
    </row>
    <row r="42" spans="1:27" s="197" customFormat="1" ht="12.75">
      <c r="A42" s="299" t="s">
        <v>1610</v>
      </c>
      <c r="B42" s="294"/>
      <c r="C42" s="294"/>
      <c r="D42" s="294"/>
      <c r="E42" s="294"/>
      <c r="F42" s="294"/>
      <c r="G42" s="294"/>
      <c r="H42" s="294"/>
      <c r="I42" s="294"/>
      <c r="J42" s="294"/>
      <c r="L42" s="197" t="str">
        <f>IF(P53&gt;0,"N",Section6!M260)</f>
        <v>N</v>
      </c>
      <c r="M42" s="294"/>
      <c r="N42" s="294"/>
      <c r="O42" s="294"/>
      <c r="P42" s="197" t="str">
        <f>+CONCATENATE(P43,Q43,R43,S43,T43,U43,V43,W43,X43,Y43,Z43,AA43)</f>
        <v>The donations made by the Company during the period amounted to US$Nil (2016: US$Nil).</v>
      </c>
    </row>
    <row r="43" spans="1:27" s="197" customFormat="1" ht="12.75">
      <c r="A43" s="294" t="str">
        <f>+IF(Control!D30=1,Section1!P41,Section1!P42)</f>
        <v>The donations made by the Company during the period amounted to US$Nil (2016: US$Nil).</v>
      </c>
      <c r="B43" s="294"/>
      <c r="C43" s="294"/>
      <c r="D43" s="294"/>
      <c r="E43" s="294"/>
      <c r="F43" s="294"/>
      <c r="G43" s="294"/>
      <c r="H43" s="294"/>
      <c r="I43" s="294"/>
      <c r="J43" s="294"/>
      <c r="L43" s="197" t="str">
        <f>+L42</f>
        <v>N</v>
      </c>
      <c r="M43" s="294"/>
      <c r="N43" s="294"/>
      <c r="O43" s="294"/>
      <c r="P43" s="197" t="s">
        <v>1611</v>
      </c>
      <c r="Q43" s="197" t="str">
        <f>+Control!E8</f>
        <v>period</v>
      </c>
      <c r="R43" s="197" t="s">
        <v>1612</v>
      </c>
      <c r="S43" s="197" t="str">
        <f>+Control!D68</f>
        <v>US$</v>
      </c>
      <c r="T43" s="591" t="str">
        <f>IF(T44&lt;1,"Nil",T44)</f>
        <v>Nil</v>
      </c>
      <c r="U43" s="197" t="s">
        <v>1613</v>
      </c>
      <c r="V43" s="197" t="str">
        <f>+RIGHT(Control!H13,4)</f>
        <v>2016</v>
      </c>
      <c r="W43" s="197" t="s">
        <v>1614</v>
      </c>
      <c r="X43" s="197" t="str">
        <f>+S43</f>
        <v>US$</v>
      </c>
      <c r="Y43" s="591" t="str">
        <f>IF(Y44&lt;1,"Nil",Y44)</f>
        <v>Nil</v>
      </c>
      <c r="Z43" s="197" t="s">
        <v>1615</v>
      </c>
      <c r="AA43" s="197" t="s">
        <v>1616</v>
      </c>
    </row>
    <row r="44" spans="1:27" s="197" customFormat="1" ht="12.75">
      <c r="A44" s="294"/>
      <c r="B44" s="294"/>
      <c r="C44" s="294"/>
      <c r="D44" s="294"/>
      <c r="E44" s="294"/>
      <c r="F44" s="294"/>
      <c r="G44" s="294"/>
      <c r="H44" s="294"/>
      <c r="I44" s="294"/>
      <c r="J44" s="294"/>
      <c r="L44" s="197" t="str">
        <f>+L42</f>
        <v>N</v>
      </c>
      <c r="M44" s="294"/>
      <c r="N44" s="294"/>
      <c r="O44" s="294"/>
      <c r="T44" s="592">
        <f>+Section6!C260</f>
        <v>0</v>
      </c>
      <c r="Y44" s="592">
        <f>+Section6!E260</f>
        <v>0</v>
      </c>
    </row>
    <row r="45" spans="1:27" s="197" customFormat="1" ht="12.75">
      <c r="A45" s="195" t="str">
        <f>+IF(Control!D78=1,"DIRECTOR’S INTEREST","DIRECTORS’ INTEREST")</f>
        <v>DIRECTOR’S INTEREST</v>
      </c>
      <c r="L45" s="197" t="s">
        <v>672</v>
      </c>
    </row>
    <row r="46" spans="1:27" s="197" customFormat="1" ht="12.75">
      <c r="A46" s="294" t="str">
        <f>+CONCATENATE(P46,Q47,R47,S47,T47)</f>
        <v>Other than those disclosed in note 9 to the financial statements, no contracts of significance to which the Company was a party and in which the director of the Company had a material interest subsisted at the end of the period or at any time during the period.</v>
      </c>
      <c r="L46" s="197" t="str">
        <f>+IF(Control!D34=1,"Y","N")</f>
        <v>N</v>
      </c>
      <c r="P46" s="197" t="s">
        <v>1501</v>
      </c>
    </row>
    <row r="47" spans="1:27" s="197" customFormat="1" ht="12.75">
      <c r="A47" s="294" t="str">
        <f>+CONCATENATE(P47,Q47,R47,S47,T47)</f>
        <v>No contracts of significance to which the Company was a party and in which the director of the Company had a material interest subsisted at the end of the period or at any time during the period.</v>
      </c>
      <c r="B47" s="294"/>
      <c r="C47" s="294"/>
      <c r="D47" s="294"/>
      <c r="E47" s="294"/>
      <c r="F47" s="294"/>
      <c r="G47" s="294"/>
      <c r="H47" s="294"/>
      <c r="I47" s="294"/>
      <c r="J47" s="294"/>
      <c r="L47" s="197" t="str">
        <f>+IF(Control!D34=1,"N","Y")</f>
        <v>Y</v>
      </c>
      <c r="M47" s="294"/>
      <c r="N47" s="294"/>
      <c r="O47" s="294"/>
      <c r="P47" s="198" t="s">
        <v>717</v>
      </c>
      <c r="Q47" s="198" t="str">
        <f>+LOWER(Control!D9)</f>
        <v>period</v>
      </c>
      <c r="R47" s="198" t="s">
        <v>718</v>
      </c>
      <c r="S47" s="198" t="str">
        <f>+LOWER(Control!D9)</f>
        <v>period</v>
      </c>
      <c r="T47" s="198" t="s">
        <v>239</v>
      </c>
    </row>
    <row r="48" spans="1:27" s="197" customFormat="1" ht="12.75">
      <c r="A48" s="294"/>
      <c r="B48" s="294"/>
      <c r="C48" s="294"/>
      <c r="D48" s="294"/>
      <c r="E48" s="294"/>
      <c r="F48" s="294"/>
      <c r="G48" s="294"/>
      <c r="H48" s="294"/>
      <c r="I48" s="294"/>
      <c r="J48" s="294"/>
      <c r="L48" s="197" t="s">
        <v>672</v>
      </c>
      <c r="M48" s="294"/>
      <c r="N48" s="294"/>
      <c r="O48" s="294"/>
    </row>
    <row r="49" spans="1:29" s="197" customFormat="1" ht="14.25" customHeight="1">
      <c r="A49" s="294" t="str">
        <f>+CONCATENATE(P49,Q49,R49)</f>
        <v>At no time during the period was the Company a party to any arrangement to enable the director of the Company to obtain benefits by means of the acquisition of shares in or debentures of the Company or any other body corporate.</v>
      </c>
      <c r="B49" s="294"/>
      <c r="C49" s="294"/>
      <c r="D49" s="294"/>
      <c r="E49" s="294"/>
      <c r="F49" s="294"/>
      <c r="G49" s="294"/>
      <c r="H49" s="294"/>
      <c r="I49" s="294"/>
      <c r="J49" s="294"/>
      <c r="K49" s="198"/>
      <c r="L49" s="197" t="s">
        <v>672</v>
      </c>
      <c r="M49" s="294"/>
      <c r="N49" s="294"/>
      <c r="O49" s="294"/>
      <c r="P49" s="198" t="s">
        <v>719</v>
      </c>
      <c r="Q49" s="198" t="str">
        <f>+LOWER(Control!D9)</f>
        <v>period</v>
      </c>
      <c r="R49" s="198" t="s">
        <v>720</v>
      </c>
      <c r="S49" s="198"/>
      <c r="T49" s="198"/>
      <c r="U49" s="198"/>
      <c r="V49" s="198"/>
      <c r="W49" s="198"/>
      <c r="X49" s="198"/>
      <c r="Y49" s="198"/>
      <c r="Z49" s="198"/>
      <c r="AA49" s="198"/>
      <c r="AB49" s="198"/>
      <c r="AC49" s="198"/>
    </row>
    <row r="50" spans="1:29" s="197" customFormat="1" ht="12.75">
      <c r="A50" s="294"/>
      <c r="B50" s="294"/>
      <c r="C50" s="294"/>
      <c r="D50" s="294"/>
      <c r="E50" s="294"/>
      <c r="F50" s="294"/>
      <c r="G50" s="294"/>
      <c r="H50" s="294"/>
      <c r="I50" s="294"/>
      <c r="J50" s="294"/>
      <c r="L50" s="197" t="s">
        <v>672</v>
      </c>
      <c r="M50" s="294"/>
      <c r="N50" s="294"/>
      <c r="O50" s="294"/>
    </row>
    <row r="51" spans="1:29" s="197" customFormat="1" ht="12.75">
      <c r="A51" s="299" t="s">
        <v>1247</v>
      </c>
      <c r="B51" s="294"/>
      <c r="C51" s="294"/>
      <c r="D51" s="294"/>
      <c r="E51" s="294"/>
      <c r="F51" s="294"/>
      <c r="G51" s="294"/>
      <c r="H51" s="294"/>
      <c r="I51" s="294"/>
      <c r="J51" s="294"/>
      <c r="L51" s="197" t="str">
        <f>+IF(P53&gt;=0,"Y","N")</f>
        <v>N</v>
      </c>
      <c r="M51" s="294"/>
      <c r="N51" s="294"/>
      <c r="O51" s="294"/>
      <c r="P51" s="197" t="s">
        <v>1248</v>
      </c>
      <c r="Q51" s="197" t="s">
        <v>1249</v>
      </c>
    </row>
    <row r="52" spans="1:29" s="197" customFormat="1" ht="12.75">
      <c r="A52" s="294" t="str">
        <f>+CONCATENATE(P54,Q54,R54,S54,T54,U54,V54)</f>
        <v>At no time during the financial period and up to the date of this Director's Report, there was or is, any permitted indemnity provision being in force the benefit of any of the director of the Company (whether made by the Company or otherwise).</v>
      </c>
      <c r="B52" s="294"/>
      <c r="C52" s="294"/>
      <c r="D52" s="294"/>
      <c r="E52" s="294"/>
      <c r="F52" s="294"/>
      <c r="G52" s="294"/>
      <c r="H52" s="294"/>
      <c r="I52" s="294"/>
      <c r="J52" s="294"/>
      <c r="L52" s="197" t="str">
        <f>+L51</f>
        <v>N</v>
      </c>
      <c r="M52" s="294"/>
      <c r="N52" s="294"/>
      <c r="O52" s="294"/>
      <c r="P52" s="515">
        <f>+Control!D11</f>
        <v>41700</v>
      </c>
      <c r="Q52" s="515">
        <v>41701</v>
      </c>
    </row>
    <row r="53" spans="1:29" s="197" customFormat="1" ht="12.75">
      <c r="A53" s="294"/>
      <c r="B53" s="294"/>
      <c r="C53" s="294"/>
      <c r="D53" s="294"/>
      <c r="E53" s="294"/>
      <c r="F53" s="294"/>
      <c r="G53" s="294"/>
      <c r="H53" s="294"/>
      <c r="I53" s="294"/>
      <c r="J53" s="294"/>
      <c r="L53" s="197" t="str">
        <f>+L51</f>
        <v>N</v>
      </c>
      <c r="M53" s="294"/>
      <c r="N53" s="294"/>
      <c r="O53" s="294"/>
      <c r="P53" s="516">
        <f>+P52-Q52</f>
        <v>-1</v>
      </c>
      <c r="W53" s="197" t="s">
        <v>1264</v>
      </c>
    </row>
    <row r="54" spans="1:29" s="197" customFormat="1" ht="12.75">
      <c r="A54" s="195" t="s">
        <v>721</v>
      </c>
      <c r="L54" s="197" t="s">
        <v>672</v>
      </c>
      <c r="P54" s="198" t="s">
        <v>1250</v>
      </c>
      <c r="Q54" s="198" t="str">
        <f>+LOWER(Control!D9)</f>
        <v>period</v>
      </c>
      <c r="R54" s="198" t="s">
        <v>1251</v>
      </c>
      <c r="S54" s="198" t="str">
        <f>+IF(Control!D78=1,"Director's","Directors'")</f>
        <v>Director's</v>
      </c>
      <c r="T54" s="198" t="s">
        <v>1252</v>
      </c>
      <c r="U54" s="198" t="str">
        <f>+IF(Control!D78=1,"director","directors'")</f>
        <v>director</v>
      </c>
      <c r="V54" s="198" t="s">
        <v>1262</v>
      </c>
      <c r="W54" s="293" t="s">
        <v>1263</v>
      </c>
      <c r="X54" s="293"/>
      <c r="Y54" s="293"/>
      <c r="Z54" s="293"/>
      <c r="AA54" s="293"/>
    </row>
    <row r="55" spans="1:29" s="197" customFormat="1" ht="12.75">
      <c r="A55" s="294" t="str">
        <f>+CONCATENATE(P55,Q55,R55,S55,T55)</f>
        <v>The financial statements have been audited by Messrs. Matthew S.H. Law, Certified Public Accountant (Practising) who retire and, being eligible, offer themselves for re-appointment at the forthcoming annual general meeting.</v>
      </c>
      <c r="B55" s="294"/>
      <c r="C55" s="294"/>
      <c r="D55" s="294"/>
      <c r="E55" s="294"/>
      <c r="F55" s="294"/>
      <c r="G55" s="294"/>
      <c r="H55" s="294"/>
      <c r="I55" s="294"/>
      <c r="J55" s="294"/>
      <c r="L55" s="197" t="str">
        <f>+IF(Control!D51="","Y","N")</f>
        <v>Y</v>
      </c>
      <c r="M55" s="294"/>
      <c r="N55" s="294"/>
      <c r="O55" s="294"/>
      <c r="P55" s="197" t="s">
        <v>722</v>
      </c>
      <c r="Q55" s="197" t="str">
        <f>+Control!D136</f>
        <v>Matthew S.H. Law</v>
      </c>
      <c r="R55" s="197" t="s">
        <v>388</v>
      </c>
      <c r="S55" s="197" t="str">
        <f>+Control!D137</f>
        <v>Certified Public Accountant (Practising)</v>
      </c>
      <c r="T55" s="197" t="s">
        <v>723</v>
      </c>
    </row>
    <row r="56" spans="1:29" s="197" customFormat="1" ht="12.75">
      <c r="A56" s="294" t="str">
        <f>+CONCATENATE(P59,Q59,R59,S59,T59,U59,V59,W59,X59,Y59,Z59,AA59)</f>
        <v>Matthew S.H. Law, Certified Public Accountant (Practising) was appointed as auditors for the period in place of Messrs. 0. Matthew S.H. Law, Certified Public Accountant (Practising) retires and, being eligible, offers themselves for re-appointment.</v>
      </c>
      <c r="B56" s="294"/>
      <c r="C56" s="294"/>
      <c r="D56" s="294"/>
      <c r="E56" s="294"/>
      <c r="F56" s="294"/>
      <c r="G56" s="294"/>
      <c r="H56" s="294"/>
      <c r="I56" s="294"/>
      <c r="J56" s="294"/>
      <c r="L56" s="197" t="str">
        <f>+IF(L55="Y","N","Y")</f>
        <v>N</v>
      </c>
      <c r="M56" s="294"/>
      <c r="N56" s="294"/>
      <c r="O56" s="294"/>
    </row>
    <row r="57" spans="1:29" s="197" customFormat="1" ht="12.75">
      <c r="A57" s="294"/>
      <c r="B57" s="294"/>
      <c r="C57" s="294"/>
      <c r="D57" s="294"/>
      <c r="E57" s="294"/>
      <c r="F57" s="294"/>
      <c r="G57" s="294"/>
      <c r="H57" s="294"/>
      <c r="I57" s="294"/>
      <c r="J57" s="294"/>
      <c r="L57" s="197" t="s">
        <v>672</v>
      </c>
      <c r="M57" s="294"/>
      <c r="N57" s="294"/>
      <c r="O57" s="294"/>
    </row>
    <row r="58" spans="1:29" s="197" customFormat="1" ht="12.75">
      <c r="A58" s="42" t="s">
        <v>724</v>
      </c>
      <c r="L58" s="197" t="s">
        <v>672</v>
      </c>
      <c r="P58" s="195" t="s">
        <v>721</v>
      </c>
    </row>
    <row r="59" spans="1:29" s="197" customFormat="1" ht="12.75">
      <c r="A59" s="42"/>
      <c r="L59" s="197" t="s">
        <v>672</v>
      </c>
      <c r="P59" s="197" t="str">
        <f>+Control!D136</f>
        <v>Matthew S.H. Law</v>
      </c>
      <c r="Q59" s="197" t="s">
        <v>388</v>
      </c>
      <c r="R59" s="197" t="str">
        <f>+Control!D137</f>
        <v>Certified Public Accountant (Practising)</v>
      </c>
      <c r="S59" s="197" t="s">
        <v>1722</v>
      </c>
      <c r="T59" s="197" t="str">
        <f>+Control!E8</f>
        <v>period</v>
      </c>
      <c r="U59" s="197" t="s">
        <v>1723</v>
      </c>
      <c r="V59" s="197">
        <f>+Control!D51</f>
        <v>0</v>
      </c>
      <c r="W59" s="197" t="s">
        <v>1724</v>
      </c>
      <c r="X59" s="197" t="str">
        <f>+Control!D136</f>
        <v>Matthew S.H. Law</v>
      </c>
      <c r="Y59" s="197" t="s">
        <v>388</v>
      </c>
      <c r="Z59" s="197" t="str">
        <f>+Control!D137</f>
        <v>Certified Public Accountant (Practising)</v>
      </c>
      <c r="AA59" s="197" t="s">
        <v>1725</v>
      </c>
    </row>
    <row r="60" spans="1:29" s="197" customFormat="1" ht="12.75">
      <c r="A60" s="42"/>
      <c r="L60" s="197" t="s">
        <v>672</v>
      </c>
    </row>
    <row r="61" spans="1:29" s="197" customFormat="1" ht="12.75">
      <c r="A61" s="42"/>
      <c r="L61" s="197" t="s">
        <v>672</v>
      </c>
      <c r="P61" s="197" t="s">
        <v>1276</v>
      </c>
    </row>
    <row r="62" spans="1:29" s="197" customFormat="1" ht="12.75">
      <c r="A62" s="42"/>
      <c r="L62" s="197" t="s">
        <v>672</v>
      </c>
      <c r="P62" s="197" t="s">
        <v>1293</v>
      </c>
    </row>
    <row r="63" spans="1:29" s="197" customFormat="1" ht="12.75">
      <c r="A63" s="42"/>
      <c r="L63" s="197" t="s">
        <v>672</v>
      </c>
    </row>
    <row r="64" spans="1:29" s="308" customFormat="1">
      <c r="A64" s="307" t="s">
        <v>725</v>
      </c>
      <c r="C64" s="309" t="s">
        <v>726</v>
      </c>
      <c r="L64" s="308" t="s">
        <v>672</v>
      </c>
      <c r="P64" s="197" t="s">
        <v>1503</v>
      </c>
    </row>
    <row r="65" spans="1:16" s="308" customFormat="1" ht="12.75">
      <c r="A65" s="42" t="str">
        <f>+'Dir info'!C4</f>
        <v>Zhou Qianwei</v>
      </c>
      <c r="C65" s="309"/>
      <c r="L65" s="308" t="s">
        <v>672</v>
      </c>
      <c r="P65" s="197" t="s">
        <v>1502</v>
      </c>
    </row>
    <row r="66" spans="1:16" s="197" customFormat="1" ht="12.75">
      <c r="A66" s="42" t="s">
        <v>727</v>
      </c>
      <c r="L66" s="197" t="s">
        <v>672</v>
      </c>
    </row>
    <row r="67" spans="1:16" s="197" customFormat="1" ht="12.75">
      <c r="A67" s="42" t="s">
        <v>728</v>
      </c>
      <c r="L67" s="197" t="s">
        <v>672</v>
      </c>
    </row>
    <row r="68" spans="1:16" s="197" customFormat="1" ht="12.75">
      <c r="A68" s="42"/>
      <c r="K68" s="197" t="s">
        <v>729</v>
      </c>
    </row>
    <row r="69" spans="1:16" s="197" customFormat="1" ht="12.75">
      <c r="A69" s="42"/>
    </row>
    <row r="70" spans="1:16" s="197" customFormat="1" ht="12.75">
      <c r="A70" s="42"/>
      <c r="P70" s="308"/>
    </row>
    <row r="71" spans="1:16" s="197" customFormat="1" ht="12.75">
      <c r="A71" s="42"/>
    </row>
    <row r="72" spans="1:16" s="197" customFormat="1" ht="12.75">
      <c r="A72" s="42"/>
    </row>
    <row r="73" spans="1:16" s="197" customFormat="1" ht="12.75">
      <c r="A73" s="42"/>
    </row>
    <row r="74" spans="1:16" s="197" customFormat="1" ht="12.75">
      <c r="A74" s="42"/>
    </row>
    <row r="75" spans="1:16" s="197" customFormat="1" ht="12.75">
      <c r="A75" s="42"/>
    </row>
    <row r="76" spans="1:16" s="197" customFormat="1" ht="12.75">
      <c r="A76" s="42" t="s">
        <v>730</v>
      </c>
    </row>
    <row r="77" spans="1:16">
      <c r="A77" s="39"/>
    </row>
    <row r="78" spans="1:16">
      <c r="A78" s="297"/>
    </row>
    <row r="79" spans="1:16">
      <c r="A79" s="39"/>
    </row>
    <row r="80" spans="1:16">
      <c r="A80" s="39"/>
    </row>
    <row r="81" spans="1:1">
      <c r="A81" s="39"/>
    </row>
    <row r="82" spans="1:1">
      <c r="A82" s="298" t="s">
        <v>689</v>
      </c>
    </row>
    <row r="83" spans="1:1">
      <c r="A83" s="39"/>
    </row>
    <row r="84" spans="1:1">
      <c r="A84" s="39"/>
    </row>
    <row r="85" spans="1:1">
      <c r="A85" s="39"/>
    </row>
    <row r="86" spans="1:1">
      <c r="A86" s="39"/>
    </row>
    <row r="87" spans="1:1">
      <c r="A87" s="39"/>
    </row>
    <row r="88" spans="1:1">
      <c r="A88" s="39"/>
    </row>
    <row r="89" spans="1:1">
      <c r="A89" s="39"/>
    </row>
    <row r="90" spans="1:1">
      <c r="A90" s="39"/>
    </row>
    <row r="91" spans="1:1">
      <c r="A91" s="39"/>
    </row>
    <row r="92" spans="1:1">
      <c r="A92" s="39"/>
    </row>
    <row r="93" spans="1:1">
      <c r="A93" s="39"/>
    </row>
    <row r="94" spans="1:1">
      <c r="A94" s="39"/>
    </row>
    <row r="95" spans="1:1">
      <c r="A95" s="39"/>
    </row>
    <row r="96" spans="1:1">
      <c r="A96" s="39"/>
    </row>
    <row r="97" spans="1:1">
      <c r="A97" s="39"/>
    </row>
    <row r="98" spans="1:1">
      <c r="A98" s="39"/>
    </row>
    <row r="99" spans="1:1">
      <c r="A99" s="39"/>
    </row>
    <row r="100" spans="1:1">
      <c r="A100" s="39"/>
    </row>
    <row r="101" spans="1:1">
      <c r="A101" s="39"/>
    </row>
    <row r="102" spans="1:1">
      <c r="A102" s="39"/>
    </row>
    <row r="103" spans="1:1">
      <c r="A103" s="39"/>
    </row>
    <row r="104" spans="1:1">
      <c r="A104" s="39"/>
    </row>
    <row r="105" spans="1:1">
      <c r="A105" s="39"/>
    </row>
    <row r="106" spans="1:1">
      <c r="A106" s="39"/>
    </row>
    <row r="107" spans="1:1">
      <c r="A107" s="39"/>
    </row>
    <row r="108" spans="1:1">
      <c r="A108" s="39"/>
    </row>
    <row r="109" spans="1:1">
      <c r="A109" s="39"/>
    </row>
    <row r="110" spans="1:1">
      <c r="A110" s="39"/>
    </row>
    <row r="111" spans="1:1">
      <c r="A111" s="39"/>
    </row>
    <row r="112" spans="1:1">
      <c r="A112" s="39"/>
    </row>
    <row r="113" spans="1:1">
      <c r="A113" s="39"/>
    </row>
    <row r="114" spans="1:1">
      <c r="A114" s="39"/>
    </row>
    <row r="115" spans="1:1">
      <c r="A115" s="39"/>
    </row>
    <row r="116" spans="1:1">
      <c r="A116" s="39"/>
    </row>
    <row r="117" spans="1:1">
      <c r="A117" s="39"/>
    </row>
    <row r="118" spans="1:1">
      <c r="A118" s="39"/>
    </row>
    <row r="119" spans="1:1">
      <c r="A119" s="39"/>
    </row>
    <row r="120" spans="1:1">
      <c r="A120" s="39"/>
    </row>
    <row r="121" spans="1:1">
      <c r="A121" s="39"/>
    </row>
    <row r="122" spans="1:1">
      <c r="A122" s="39"/>
    </row>
    <row r="123" spans="1:1">
      <c r="A123" s="39"/>
    </row>
    <row r="124" spans="1:1">
      <c r="A124" s="39"/>
    </row>
    <row r="125" spans="1:1">
      <c r="A125" s="39"/>
    </row>
    <row r="126" spans="1:1">
      <c r="A126" s="39"/>
    </row>
    <row r="127" spans="1:1">
      <c r="A127" s="39"/>
    </row>
    <row r="128" spans="1:1">
      <c r="A128" s="39"/>
    </row>
    <row r="129" spans="1:1">
      <c r="A129" s="39"/>
    </row>
    <row r="130" spans="1:1">
      <c r="A130" s="39"/>
    </row>
    <row r="131" spans="1:1">
      <c r="A131" s="39"/>
    </row>
    <row r="132" spans="1:1">
      <c r="A132" s="39"/>
    </row>
    <row r="133" spans="1:1">
      <c r="A133" s="39"/>
    </row>
    <row r="134" spans="1:1">
      <c r="A134" s="39"/>
    </row>
    <row r="135" spans="1:1">
      <c r="A135" s="39"/>
    </row>
    <row r="136" spans="1:1">
      <c r="A136" s="39"/>
    </row>
    <row r="137" spans="1:1">
      <c r="A137" s="39"/>
    </row>
    <row r="138" spans="1:1">
      <c r="A138" s="39"/>
    </row>
    <row r="139" spans="1:1">
      <c r="A139" s="39"/>
    </row>
    <row r="140" spans="1:1">
      <c r="A140" s="39"/>
    </row>
    <row r="141" spans="1:1">
      <c r="A141" s="39"/>
    </row>
    <row r="142" spans="1:1">
      <c r="A142" s="39"/>
    </row>
    <row r="143" spans="1:1">
      <c r="A143" s="39"/>
    </row>
    <row r="144" spans="1:1">
      <c r="A144" s="39"/>
    </row>
    <row r="145" spans="1:1">
      <c r="A145" s="39"/>
    </row>
    <row r="146" spans="1:1">
      <c r="A146" s="39"/>
    </row>
    <row r="147" spans="1:1">
      <c r="A147" s="39"/>
    </row>
    <row r="148" spans="1:1">
      <c r="A148" s="39"/>
    </row>
    <row r="149" spans="1:1">
      <c r="A149" s="39"/>
    </row>
    <row r="150" spans="1:1">
      <c r="A150" s="39"/>
    </row>
    <row r="151" spans="1:1">
      <c r="A151" s="39"/>
    </row>
    <row r="152" spans="1:1">
      <c r="A152" s="39"/>
    </row>
    <row r="153" spans="1:1">
      <c r="A153" s="39"/>
    </row>
    <row r="154" spans="1:1">
      <c r="A154" s="39"/>
    </row>
    <row r="155" spans="1:1">
      <c r="A155" s="39"/>
    </row>
    <row r="156" spans="1:1">
      <c r="A156" s="39"/>
    </row>
  </sheetData>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8">
    <pageSetUpPr fitToPage="1"/>
  </sheetPr>
  <dimension ref="A1:V742"/>
  <sheetViews>
    <sheetView topLeftCell="A10" workbookViewId="0">
      <selection activeCell="E24" sqref="E24"/>
    </sheetView>
  </sheetViews>
  <sheetFormatPr defaultColWidth="9" defaultRowHeight="15.75"/>
  <cols>
    <col min="1" max="1" width="21.125" style="1" customWidth="1" collapsed="1"/>
    <col min="2" max="2" width="29.5" style="1" customWidth="1" collapsed="1"/>
    <col min="3" max="3" width="24.5" style="1" customWidth="1" collapsed="1"/>
    <col min="4" max="5" width="9" style="1" collapsed="1"/>
    <col min="6" max="6" width="5.125" style="1" customWidth="1" collapsed="1"/>
    <col min="7" max="7" width="4.125" style="1" customWidth="1" collapsed="1"/>
    <col min="8" max="8" width="7.125" style="1" customWidth="1" collapsed="1"/>
    <col min="9" max="9" width="11.875" style="1" customWidth="1" collapsed="1"/>
    <col min="10" max="10" width="9.125" style="1" bestFit="1" customWidth="1" collapsed="1"/>
    <col min="11" max="11" width="21.875" style="1" customWidth="1" collapsed="1"/>
    <col min="12" max="12" width="11" style="1" customWidth="1" collapsed="1"/>
    <col min="13" max="13" width="9.375" style="1" bestFit="1" customWidth="1" collapsed="1"/>
    <col min="14" max="14" width="9" style="1" collapsed="1"/>
    <col min="15" max="15" width="12.875" style="1" bestFit="1" customWidth="1" collapsed="1"/>
    <col min="16" max="16" width="11.5" style="1" bestFit="1" customWidth="1" collapsed="1"/>
    <col min="17" max="16384" width="9" style="1" collapsed="1"/>
  </cols>
  <sheetData>
    <row r="1" spans="1:17">
      <c r="A1" s="1" t="str">
        <f>+CONCATENATE(L1,M1,N1)</f>
        <v>Matthew S.H. Law 羅城熙執業會計師</v>
      </c>
      <c r="I1" s="1" t="s">
        <v>0</v>
      </c>
      <c r="L1" s="50" t="str">
        <f>Control!D136</f>
        <v>Matthew S.H. Law</v>
      </c>
      <c r="M1" s="50" t="s">
        <v>172</v>
      </c>
      <c r="N1" s="50" t="str">
        <f>Control!D138</f>
        <v>羅城熙執業會計師</v>
      </c>
      <c r="O1" s="50"/>
      <c r="P1" s="50"/>
      <c r="Q1" s="50"/>
    </row>
    <row r="2" spans="1:17">
      <c r="A2" s="1" t="str">
        <f>+CONCATENATE(L2,M2)</f>
        <v>Address: Unit 402, 4/F., Fourseas Building, No. 208 Nathan Road, Kowloon</v>
      </c>
      <c r="I2" s="1" t="s">
        <v>1</v>
      </c>
      <c r="L2" s="50" t="s">
        <v>731</v>
      </c>
      <c r="M2" s="50" t="str">
        <f>+Control!D142</f>
        <v>Unit 402, 4/F., Fourseas Building, No. 208 Nathan Road, Kowloon</v>
      </c>
      <c r="N2" s="50"/>
      <c r="O2" s="50"/>
      <c r="P2" s="50"/>
      <c r="Q2" s="50"/>
    </row>
    <row r="3" spans="1:17" s="39" customFormat="1" ht="15">
      <c r="A3" s="164" t="s">
        <v>602</v>
      </c>
      <c r="I3" s="39" t="s">
        <v>12</v>
      </c>
    </row>
    <row r="4" spans="1:17" s="39" customFormat="1" ht="15">
      <c r="A4" s="164" t="str">
        <f>+CONCATENATE(A204,A205,A206)</f>
        <v>TO THE SOLE SHAREHOLDER OF</v>
      </c>
      <c r="I4" s="39" t="s">
        <v>12</v>
      </c>
      <c r="K4" s="174"/>
    </row>
    <row r="5" spans="1:17" s="39" customFormat="1" ht="15">
      <c r="A5" s="175" t="str">
        <f>+Control!D3</f>
        <v>MIC INCORPORATION LIMITED </v>
      </c>
      <c r="I5" s="39" t="s">
        <v>12</v>
      </c>
    </row>
    <row r="6" spans="1:17" s="39" customFormat="1" ht="15">
      <c r="A6" s="43" t="s">
        <v>603</v>
      </c>
      <c r="I6" s="39" t="s">
        <v>12</v>
      </c>
    </row>
    <row r="7" spans="1:17" s="39" customFormat="1" ht="15">
      <c r="I7" s="39" t="s">
        <v>12</v>
      </c>
      <c r="J7" s="670">
        <v>42719</v>
      </c>
      <c r="K7" s="39" t="s">
        <v>1716</v>
      </c>
    </row>
    <row r="8" spans="1:17" s="39" customFormat="1" ht="15">
      <c r="A8" s="39" t="s">
        <v>602</v>
      </c>
      <c r="I8" s="39" t="s">
        <v>732</v>
      </c>
      <c r="J8" s="670">
        <f>+Control!D12</f>
        <v>42735</v>
      </c>
      <c r="K8" s="39" t="s">
        <v>1717</v>
      </c>
    </row>
    <row r="9" spans="1:17" s="39" customFormat="1" ht="15">
      <c r="A9" s="39" t="str">
        <f>+A4</f>
        <v>TO THE SOLE SHAREHOLDER OF</v>
      </c>
      <c r="I9" s="39" t="s">
        <v>732</v>
      </c>
      <c r="J9" s="670"/>
    </row>
    <row r="10" spans="1:17" s="39" customFormat="1" ht="15">
      <c r="A10" s="39" t="str">
        <f>+Control!D3</f>
        <v>MIC INCORPORATION LIMITED </v>
      </c>
      <c r="I10" s="39" t="s">
        <v>732</v>
      </c>
      <c r="J10" s="671">
        <f>+J8-J7</f>
        <v>16</v>
      </c>
      <c r="K10" s="39" t="s">
        <v>1718</v>
      </c>
    </row>
    <row r="11" spans="1:17" s="39" customFormat="1" ht="15">
      <c r="A11" s="39" t="str">
        <f>+Control!D6</f>
        <v>31 December, 2016</v>
      </c>
      <c r="I11" s="39" t="s">
        <v>732</v>
      </c>
    </row>
    <row r="12" spans="1:17" s="39" customFormat="1" ht="15">
      <c r="I12" s="39" t="s">
        <v>733</v>
      </c>
    </row>
    <row r="13" spans="1:17" s="39" customFormat="1" ht="15">
      <c r="A13" s="297" t="s">
        <v>1679</v>
      </c>
      <c r="J13" s="39" t="str">
        <f>+IF(J10&gt;=0,"Y","N")</f>
        <v>Y</v>
      </c>
      <c r="K13" s="39" t="s">
        <v>1701</v>
      </c>
    </row>
    <row r="14" spans="1:17" s="39" customFormat="1" ht="15">
      <c r="J14" s="39" t="str">
        <f>+J13</f>
        <v>Y</v>
      </c>
      <c r="K14" s="39" t="s">
        <v>1701</v>
      </c>
    </row>
    <row r="15" spans="1:17" s="39" customFormat="1" ht="15">
      <c r="A15" s="297" t="s">
        <v>1682</v>
      </c>
      <c r="J15" s="39" t="str">
        <f>+J13</f>
        <v>Y</v>
      </c>
      <c r="K15" s="39" t="s">
        <v>1701</v>
      </c>
      <c r="O15" s="39" t="s">
        <v>1879</v>
      </c>
      <c r="P15" s="39" t="str">
        <f>+CONCATENATE(P17,Q17,R17,S17,T17,U18,V18,V17)</f>
        <v xml:space="preserve">We have audited the financial statements of MIC INCORPORATION LIMITED  ("the Company") set out on pages 5 to 10, which comprise the statement of financial position as at 31 December, 2016, and the income statement for the period ended 31 December, 2016, and notes to the financial statements, including a summary of significant accounting policies. </v>
      </c>
    </row>
    <row r="16" spans="1:17" s="39" customFormat="1" ht="15">
      <c r="J16" s="39" t="str">
        <f>+J13</f>
        <v>Y</v>
      </c>
      <c r="K16" s="39" t="s">
        <v>1701</v>
      </c>
      <c r="O16" s="39" t="s">
        <v>1878</v>
      </c>
      <c r="P16" s="39" t="str">
        <f>+CONCATENATE(P17,Q17,R17,S17,T17,U17,V17)</f>
        <v xml:space="preserve">We have audited the financial statements of MIC INCORPORATION LIMITED  ("the Company") set out on pages 5 to 10, which comprise the statement of financial position as at 31 December, 2016, and the income statement for the year then ended, and notes to the financial statements, including a summary of significant accounting policies. </v>
      </c>
    </row>
    <row r="17" spans="1:22" s="39" customFormat="1" ht="15">
      <c r="A17" s="39" t="str">
        <f>+IF(Control!D9="Period",Section2!P15,Section2!P16)</f>
        <v xml:space="preserve">We have audited the financial statements of MIC INCORPORATION LIMITED  ("the Company") set out on pages 5 to 10, which comprise the statement of financial position as at 31 December, 2016, and the income statement for the period ended 31 December, 2016, and notes to the financial statements, including a summary of significant accounting policies. </v>
      </c>
      <c r="J17" s="39" t="str">
        <f>+J13</f>
        <v>Y</v>
      </c>
      <c r="K17" s="39" t="s">
        <v>1701</v>
      </c>
      <c r="P17" s="39" t="s">
        <v>1680</v>
      </c>
      <c r="Q17" s="39" t="str">
        <f>+Control!D2</f>
        <v>MIC INCORPORATION LIMITED </v>
      </c>
      <c r="R17" s="39" t="s">
        <v>1681</v>
      </c>
      <c r="S17" s="39" t="str">
        <f>+Control!D6</f>
        <v>31 December, 2016</v>
      </c>
      <c r="T17" s="39" t="s">
        <v>1875</v>
      </c>
      <c r="U17" s="39" t="s">
        <v>1876</v>
      </c>
      <c r="V17" s="39" t="s">
        <v>1877</v>
      </c>
    </row>
    <row r="18" spans="1:22" s="39" customFormat="1" ht="15">
      <c r="J18" s="39" t="str">
        <f>+J13</f>
        <v>Y</v>
      </c>
      <c r="K18" s="39" t="s">
        <v>1701</v>
      </c>
      <c r="U18" s="39" t="s">
        <v>1880</v>
      </c>
      <c r="V18" s="39" t="str">
        <f>+Control!D6</f>
        <v>31 December, 2016</v>
      </c>
    </row>
    <row r="19" spans="1:22" s="39" customFormat="1" ht="15">
      <c r="A19" s="39" t="s">
        <v>1683</v>
      </c>
      <c r="J19" s="39" t="str">
        <f>+J13</f>
        <v>Y</v>
      </c>
      <c r="K19" s="39" t="s">
        <v>1701</v>
      </c>
    </row>
    <row r="20" spans="1:22" s="39" customFormat="1" ht="15">
      <c r="J20" s="39" t="str">
        <f>+J13</f>
        <v>Y</v>
      </c>
      <c r="K20" s="39" t="s">
        <v>1701</v>
      </c>
    </row>
    <row r="21" spans="1:22" s="39" customFormat="1" ht="15">
      <c r="A21" s="297" t="s">
        <v>1684</v>
      </c>
      <c r="J21" s="39" t="str">
        <f>+J13</f>
        <v>Y</v>
      </c>
      <c r="K21" s="39" t="s">
        <v>1701</v>
      </c>
    </row>
    <row r="22" spans="1:22" s="39" customFormat="1" ht="15">
      <c r="J22" s="39" t="str">
        <f>+J13</f>
        <v>Y</v>
      </c>
      <c r="K22" s="39" t="s">
        <v>1701</v>
      </c>
    </row>
    <row r="23" spans="1:22" s="39" customFormat="1" ht="15">
      <c r="A23" s="39" t="s">
        <v>1938</v>
      </c>
      <c r="J23" s="39" t="str">
        <f>+J13</f>
        <v>Y</v>
      </c>
      <c r="K23" s="39" t="s">
        <v>1701</v>
      </c>
    </row>
    <row r="24" spans="1:22" s="39" customFormat="1" ht="15">
      <c r="J24" s="39" t="str">
        <f>+J13</f>
        <v>Y</v>
      </c>
      <c r="K24" s="39" t="s">
        <v>1701</v>
      </c>
    </row>
    <row r="25" spans="1:22" s="39" customFormat="1" ht="15">
      <c r="A25" s="297" t="s">
        <v>1685</v>
      </c>
      <c r="J25" s="39" t="str">
        <f>+J13</f>
        <v>Y</v>
      </c>
      <c r="K25" s="39" t="s">
        <v>1701</v>
      </c>
    </row>
    <row r="26" spans="1:22" s="39" customFormat="1" ht="15">
      <c r="J26" s="39" t="str">
        <f>+J13</f>
        <v>Y</v>
      </c>
      <c r="K26" s="39" t="s">
        <v>1701</v>
      </c>
    </row>
    <row r="27" spans="1:22" s="39" customFormat="1" ht="15">
      <c r="A27" s="39" t="str">
        <f>+CONCATENATE(P27,Q27,R27,S27,T27)</f>
        <v>The director is responsible for the other information. The other information comprises the information included in the report of the director, but does not include the financial statements and our auditor’s report thereon.</v>
      </c>
      <c r="J27" s="39" t="str">
        <f>+J13</f>
        <v>Y</v>
      </c>
      <c r="K27" s="39" t="s">
        <v>1701</v>
      </c>
      <c r="P27" s="39" t="s">
        <v>1686</v>
      </c>
      <c r="Q27" s="39" t="str">
        <f>+IF('Dir info'!C1=1,"director is","directors are")</f>
        <v>director is</v>
      </c>
      <c r="R27" s="39" t="s">
        <v>1687</v>
      </c>
      <c r="S27" s="39" t="str">
        <f>+IF('Dir info'!C1=1,"director","directors")</f>
        <v>director</v>
      </c>
      <c r="T27" s="39" t="s">
        <v>1688</v>
      </c>
    </row>
    <row r="28" spans="1:22" s="39" customFormat="1" ht="15">
      <c r="J28" s="39" t="str">
        <f>+J13</f>
        <v>Y</v>
      </c>
      <c r="K28" s="39" t="s">
        <v>1701</v>
      </c>
    </row>
    <row r="29" spans="1:22" s="39" customFormat="1" ht="15">
      <c r="A29" s="39" t="s">
        <v>1689</v>
      </c>
      <c r="J29" s="39" t="str">
        <f>+J13</f>
        <v>Y</v>
      </c>
      <c r="K29" s="39" t="s">
        <v>1701</v>
      </c>
    </row>
    <row r="30" spans="1:22" s="39" customFormat="1" ht="15">
      <c r="J30" s="39" t="str">
        <f>+J13</f>
        <v>Y</v>
      </c>
      <c r="K30" s="39" t="s">
        <v>1701</v>
      </c>
    </row>
    <row r="31" spans="1:22" s="39" customFormat="1" ht="15">
      <c r="A31" s="39" t="s">
        <v>1927</v>
      </c>
      <c r="J31" s="39" t="str">
        <f>+J13</f>
        <v>Y</v>
      </c>
      <c r="K31" s="39" t="s">
        <v>1701</v>
      </c>
    </row>
    <row r="32" spans="1:22" s="39" customFormat="1" ht="15">
      <c r="J32" s="39" t="str">
        <f>+J13</f>
        <v>Y</v>
      </c>
      <c r="K32" s="39" t="s">
        <v>1701</v>
      </c>
    </row>
    <row r="33" spans="1:20" s="39" customFormat="1" ht="15">
      <c r="A33" s="297" t="str">
        <f>+CONCATENATE(P33,Q33,R33)</f>
        <v>Responsibilities of Director and Those Charged with Governance for the Financial Statements</v>
      </c>
      <c r="J33" s="39" t="str">
        <f>+J13</f>
        <v>Y</v>
      </c>
      <c r="K33" s="39" t="s">
        <v>1701</v>
      </c>
      <c r="P33" s="39" t="s">
        <v>1690</v>
      </c>
      <c r="Q33" s="39" t="str">
        <f>+IF('Dir info'!C1=1,"Director","Directors")</f>
        <v>Director</v>
      </c>
      <c r="R33" s="39" t="s">
        <v>1691</v>
      </c>
    </row>
    <row r="34" spans="1:20" s="39" customFormat="1" ht="15">
      <c r="J34" s="39" t="str">
        <f>+J13</f>
        <v>Y</v>
      </c>
      <c r="K34" s="39" t="s">
        <v>1701</v>
      </c>
    </row>
    <row r="35" spans="1:20" s="39" customFormat="1" ht="15">
      <c r="A35" s="39" t="str">
        <f>+CONCATENATE(P35,Q35,R35,S35,T35)</f>
        <v xml:space="preserve">The director is responsible for the preparation of the financial statements in accordance with the SME-FRS issued by the HKICPA and the Hong Kong Companies Ordinance, and for such internal control as the director determines is necessary to enable the preparation of financial statements that are free from material misstatement, whether due to fraud or error. </v>
      </c>
      <c r="J35" s="39" t="str">
        <f>+J13</f>
        <v>Y</v>
      </c>
      <c r="K35" s="39" t="s">
        <v>1701</v>
      </c>
      <c r="P35" s="39" t="s">
        <v>1686</v>
      </c>
      <c r="Q35" s="39" t="str">
        <f>+IF('Dir info'!C1=1,"director is","directors are")</f>
        <v>director is</v>
      </c>
      <c r="R35" s="39" t="s">
        <v>1721</v>
      </c>
      <c r="S35" s="39" t="str">
        <f>+IF('Dir info'!C1=1,"director determines","directors determine")</f>
        <v>director determines</v>
      </c>
      <c r="T35" s="39" t="s">
        <v>1692</v>
      </c>
    </row>
    <row r="36" spans="1:20" s="39" customFormat="1" ht="15">
      <c r="J36" s="39" t="str">
        <f>+J13</f>
        <v>Y</v>
      </c>
      <c r="K36" s="39" t="s">
        <v>1701</v>
      </c>
    </row>
    <row r="37" spans="1:20" s="39" customFormat="1" ht="15">
      <c r="A37" s="39" t="str">
        <f>+CONCATENATE(P37,Q37,R37,S37,T37)</f>
        <v xml:space="preserve">In preparing the financial statements, the director is responsible for assessing the Company's ability to continue as a going concern, disclosing, as applicable, matters related to going concern and using the going concern basis of accounting unless the director either intend to liquidate the Company or to cease operations, or have no realistic alternative but to do so. </v>
      </c>
      <c r="J37" s="39" t="str">
        <f>+J13</f>
        <v>Y</v>
      </c>
      <c r="K37" s="39" t="s">
        <v>1701</v>
      </c>
      <c r="P37" s="39" t="s">
        <v>1693</v>
      </c>
      <c r="Q37" s="39" t="str">
        <f>+IF('Dir info'!C1=1,"director is","directors are")</f>
        <v>director is</v>
      </c>
      <c r="R37" s="39" t="s">
        <v>1694</v>
      </c>
      <c r="S37" s="39" t="str">
        <f>+IF('Dir info'!C1=1,"director","directors")</f>
        <v>director</v>
      </c>
      <c r="T37" s="39" t="s">
        <v>1695</v>
      </c>
    </row>
    <row r="38" spans="1:20" s="39" customFormat="1" ht="15">
      <c r="J38" s="39" t="str">
        <f>+J13</f>
        <v>Y</v>
      </c>
      <c r="K38" s="39" t="s">
        <v>1701</v>
      </c>
    </row>
    <row r="39" spans="1:20" s="39" customFormat="1" ht="15">
      <c r="A39" s="39" t="s">
        <v>1696</v>
      </c>
      <c r="J39" s="39" t="str">
        <f>+J13</f>
        <v>Y</v>
      </c>
      <c r="K39" s="39" t="s">
        <v>1701</v>
      </c>
    </row>
    <row r="40" spans="1:20" s="39" customFormat="1" ht="15">
      <c r="J40" s="39" t="str">
        <f>+J13</f>
        <v>Y</v>
      </c>
      <c r="K40" s="39" t="s">
        <v>1701</v>
      </c>
    </row>
    <row r="41" spans="1:20" s="39" customFormat="1" ht="15">
      <c r="A41" s="297" t="s">
        <v>1697</v>
      </c>
      <c r="J41" s="39" t="str">
        <f>+J13</f>
        <v>Y</v>
      </c>
      <c r="K41" s="39" t="s">
        <v>1701</v>
      </c>
    </row>
    <row r="42" spans="1:20" s="39" customFormat="1" ht="15">
      <c r="J42" s="39" t="str">
        <f>+J13</f>
        <v>Y</v>
      </c>
      <c r="K42" s="39" t="s">
        <v>1701</v>
      </c>
    </row>
    <row r="43" spans="1:20" s="39" customFormat="1" ht="15">
      <c r="A43" s="39" t="s">
        <v>1698</v>
      </c>
      <c r="J43" s="39" t="str">
        <f>+J13</f>
        <v>Y</v>
      </c>
      <c r="K43" s="39" t="s">
        <v>1701</v>
      </c>
    </row>
    <row r="44" spans="1:20" s="39" customFormat="1" ht="15">
      <c r="J44" s="39" t="str">
        <f>+J13</f>
        <v>Y</v>
      </c>
      <c r="K44" s="39" t="s">
        <v>1701</v>
      </c>
    </row>
    <row r="45" spans="1:20" s="39" customFormat="1" ht="15">
      <c r="A45" s="39" t="s">
        <v>1699</v>
      </c>
      <c r="J45" s="39" t="str">
        <f>+J13</f>
        <v>Y</v>
      </c>
      <c r="K45" s="39" t="s">
        <v>1701</v>
      </c>
    </row>
    <row r="46" spans="1:20" s="39" customFormat="1" ht="15">
      <c r="J46" s="39" t="str">
        <f>+J13</f>
        <v>Y</v>
      </c>
      <c r="K46" s="39" t="s">
        <v>1701</v>
      </c>
      <c r="M46" s="689" t="s">
        <v>1737</v>
      </c>
    </row>
    <row r="47" spans="1:20" s="39" customFormat="1" ht="15">
      <c r="A47" s="667" t="s">
        <v>1929</v>
      </c>
      <c r="J47" s="39" t="str">
        <f>+J13</f>
        <v>Y</v>
      </c>
      <c r="K47" s="39" t="s">
        <v>1701</v>
      </c>
      <c r="M47" s="667" t="s">
        <v>1736</v>
      </c>
    </row>
    <row r="48" spans="1:20" s="39" customFormat="1" ht="15">
      <c r="A48" s="667" t="s">
        <v>1930</v>
      </c>
      <c r="J48" s="39" t="str">
        <f>+J13</f>
        <v>Y</v>
      </c>
      <c r="K48" s="39" t="s">
        <v>1701</v>
      </c>
      <c r="M48" s="667" t="s">
        <v>1738</v>
      </c>
    </row>
    <row r="49" spans="1:15" s="39" customFormat="1" ht="15">
      <c r="A49" s="667" t="s">
        <v>1700</v>
      </c>
      <c r="J49" s="39" t="str">
        <f>+J13</f>
        <v>Y</v>
      </c>
      <c r="K49" s="39" t="s">
        <v>1701</v>
      </c>
    </row>
    <row r="50" spans="1:15" s="39" customFormat="1" ht="15">
      <c r="A50" s="667" t="s">
        <v>1931</v>
      </c>
      <c r="J50" s="39" t="str">
        <f>+J13</f>
        <v>Y</v>
      </c>
      <c r="K50" s="39" t="s">
        <v>1701</v>
      </c>
      <c r="M50" s="667" t="s">
        <v>1739</v>
      </c>
    </row>
    <row r="51" spans="1:15" s="39" customFormat="1" ht="15">
      <c r="A51" s="667" t="s">
        <v>1932</v>
      </c>
      <c r="J51" s="39" t="str">
        <f>+J13</f>
        <v>Y</v>
      </c>
      <c r="K51" s="39" t="s">
        <v>1701</v>
      </c>
      <c r="M51" s="667" t="s">
        <v>1740</v>
      </c>
    </row>
    <row r="52" spans="1:15" s="39" customFormat="1" ht="15">
      <c r="J52" s="39" t="str">
        <f>+J13</f>
        <v>Y</v>
      </c>
      <c r="K52" s="39" t="s">
        <v>1701</v>
      </c>
    </row>
    <row r="53" spans="1:15" s="39" customFormat="1" ht="15">
      <c r="A53" s="39" t="s">
        <v>1928</v>
      </c>
      <c r="J53" s="39" t="str">
        <f>+J13</f>
        <v>Y</v>
      </c>
      <c r="K53" s="39" t="s">
        <v>1701</v>
      </c>
    </row>
    <row r="54" spans="1:15" s="39" customFormat="1">
      <c r="J54" s="39" t="str">
        <f>+J13</f>
        <v>Y</v>
      </c>
      <c r="K54" s="39" t="s">
        <v>1701</v>
      </c>
      <c r="L54" s="1" t="s">
        <v>1703</v>
      </c>
    </row>
    <row r="55" spans="1:15" s="675" customFormat="1">
      <c r="A55" s="672" t="s">
        <v>1277</v>
      </c>
      <c r="B55" s="673"/>
      <c r="C55" s="673"/>
      <c r="D55" s="673"/>
      <c r="E55" s="673"/>
      <c r="F55" s="673"/>
      <c r="G55" s="673"/>
      <c r="H55" s="673"/>
      <c r="I55" s="674"/>
      <c r="J55" s="675" t="s">
        <v>1714</v>
      </c>
      <c r="K55" s="674" t="str">
        <f>+IF(Control!D17=1,"N",(IF(N56=1,IF(N57=0,"Y","N"),IF(N58=0,"Y","N"))))</f>
        <v>N</v>
      </c>
      <c r="L55" s="675" t="s">
        <v>1701</v>
      </c>
      <c r="M55" s="676" t="s">
        <v>610</v>
      </c>
    </row>
    <row r="56" spans="1:15" s="675" customFormat="1">
      <c r="A56" s="673"/>
      <c r="B56" s="673"/>
      <c r="C56" s="673"/>
      <c r="D56" s="673"/>
      <c r="E56" s="673"/>
      <c r="F56" s="673"/>
      <c r="G56" s="673"/>
      <c r="H56" s="673"/>
      <c r="I56" s="673"/>
      <c r="J56" s="675" t="s">
        <v>1714</v>
      </c>
      <c r="K56" s="674" t="str">
        <f>+K55</f>
        <v>N</v>
      </c>
      <c r="L56" s="675" t="s">
        <v>1701</v>
      </c>
      <c r="M56" s="676" t="s">
        <v>610</v>
      </c>
      <c r="N56" s="675">
        <f>+Control!D30</f>
        <v>0</v>
      </c>
      <c r="O56" s="675" t="s">
        <v>1177</v>
      </c>
    </row>
    <row r="57" spans="1:15" s="675" customFormat="1" ht="13.5" customHeight="1">
      <c r="A57" s="677" t="str">
        <f>+CONCATENATE(A247,A248,TEXT(A249,"###,###,###,###,###,###,###,###"),A250,A251,A252,A253,TEXT(A254,"###,###,###,###,###,###,###,###"),A255,A256,A257,A258,A259)</f>
        <v>In forming our opinion, we have considered the adequacy of the disclosures made in the financial statements concerning the basis of preparation of the financial statements. At the balance sheet date, the Company had net liabilities of US$Nil (2016: US$Nil).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B57" s="678"/>
      <c r="C57" s="678"/>
      <c r="D57" s="678"/>
      <c r="E57" s="678"/>
      <c r="F57" s="678"/>
      <c r="G57" s="678"/>
      <c r="H57" s="678"/>
      <c r="I57" s="678"/>
      <c r="J57" s="675" t="s">
        <v>1714</v>
      </c>
      <c r="K57" s="674" t="str">
        <f>+K55</f>
        <v>N</v>
      </c>
      <c r="L57" s="675" t="s">
        <v>1701</v>
      </c>
      <c r="M57" s="676" t="s">
        <v>610</v>
      </c>
      <c r="N57" s="675">
        <f>IF(Section4!E61&gt;0,1,0)</f>
        <v>1</v>
      </c>
      <c r="O57" s="675" t="s">
        <v>1175</v>
      </c>
    </row>
    <row r="58" spans="1:15" s="675" customFormat="1">
      <c r="A58" s="678"/>
      <c r="B58" s="678"/>
      <c r="C58" s="678"/>
      <c r="D58" s="678"/>
      <c r="E58" s="678"/>
      <c r="F58" s="678"/>
      <c r="G58" s="678"/>
      <c r="H58" s="678"/>
      <c r="I58" s="678"/>
      <c r="J58" s="675" t="s">
        <v>1714</v>
      </c>
      <c r="K58" s="674" t="str">
        <f>+K55</f>
        <v>N</v>
      </c>
      <c r="L58" s="675" t="s">
        <v>1701</v>
      </c>
      <c r="M58" s="676" t="s">
        <v>610</v>
      </c>
      <c r="N58" s="675">
        <f>IF(AND(Section4!C61&gt;0,Section4!E61&gt;0)=TRUE,1,0)</f>
        <v>1</v>
      </c>
      <c r="O58" s="675" t="s">
        <v>1176</v>
      </c>
    </row>
    <row r="59" spans="1:15" s="675" customFormat="1" ht="15">
      <c r="A59" s="679" t="s">
        <v>1560</v>
      </c>
      <c r="J59" s="675" t="s">
        <v>1714</v>
      </c>
      <c r="K59" s="675" t="str">
        <f>+IF(Control!D17=1,"Y","N")</f>
        <v>N</v>
      </c>
      <c r="L59" s="675" t="s">
        <v>1701</v>
      </c>
      <c r="M59" s="675" t="s">
        <v>1704</v>
      </c>
    </row>
    <row r="60" spans="1:15" s="675" customFormat="1" ht="15">
      <c r="J60" s="675" t="s">
        <v>1714</v>
      </c>
      <c r="K60" s="674" t="str">
        <f>+K59</f>
        <v>N</v>
      </c>
      <c r="L60" s="675" t="s">
        <v>1701</v>
      </c>
      <c r="M60" s="675" t="s">
        <v>1704</v>
      </c>
    </row>
    <row r="61" spans="1:15" s="675" customFormat="1" ht="15">
      <c r="A61" s="675" t="str">
        <f>+CONCATENATE(K176,L176,M176,N176,O176,P176,Q176)</f>
        <v>In forming our opinion, we have considered the adequacy of the disclosures made in the financial statements concerning the basis of preparation of the financial statements. At the balance sheet date, the Company had net liabilities of HK$-9,849 (2016: HK$-11,140).</v>
      </c>
      <c r="J61" s="675" t="s">
        <v>1714</v>
      </c>
      <c r="K61" s="675" t="str">
        <f>+IF(K63="Y","N",(IF(Control!D30=1,"N",(IF(Control!D17=1,"Y","N")))))</f>
        <v>N</v>
      </c>
      <c r="L61" s="675" t="s">
        <v>1701</v>
      </c>
      <c r="M61" s="675" t="s">
        <v>1704</v>
      </c>
    </row>
    <row r="62" spans="1:15" s="675" customFormat="1" ht="15">
      <c r="A62" s="675" t="str">
        <f>+CONCATENATE(K176,P176,R176)</f>
        <v>In forming our opinion, we have considered the adequacy of the disclosures made in the financial statements concerning the basis of preparation of the financial statements. At the balance sheet date, the Company had net liabilities of HK$-11,140.</v>
      </c>
      <c r="J62" s="675" t="s">
        <v>1714</v>
      </c>
      <c r="K62" s="675" t="str">
        <f>+IF(K63="Y","N",(IF(Control!D30=0,"N",(IF(Control!D17=1,"Y","N")))))</f>
        <v>N</v>
      </c>
      <c r="L62" s="675" t="s">
        <v>1701</v>
      </c>
      <c r="M62" s="675" t="s">
        <v>1704</v>
      </c>
    </row>
    <row r="63" spans="1:15" s="675" customFormat="1" ht="15">
      <c r="A63" s="675" t="s">
        <v>1702</v>
      </c>
      <c r="J63" s="675" t="s">
        <v>1714</v>
      </c>
      <c r="K63" s="675" t="str">
        <f>+IF(AND(Section4!I56+Section4!K56=2,Control!D17=1),"Y","N")</f>
        <v>N</v>
      </c>
      <c r="L63" s="675" t="s">
        <v>1701</v>
      </c>
      <c r="M63" s="675" t="s">
        <v>1704</v>
      </c>
    </row>
    <row r="64" spans="1:15" s="675" customFormat="1" ht="15">
      <c r="J64" s="675" t="s">
        <v>1714</v>
      </c>
      <c r="K64" s="674" t="str">
        <f>+K59</f>
        <v>N</v>
      </c>
      <c r="L64" s="675" t="s">
        <v>1701</v>
      </c>
      <c r="M64" s="675" t="s">
        <v>1704</v>
      </c>
    </row>
    <row r="65" spans="1:16" s="675" customFormat="1" ht="15">
      <c r="A65" s="675" t="str">
        <f>+CONCATENATE(K180)</f>
        <v>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v>
      </c>
      <c r="J65" s="675" t="s">
        <v>1714</v>
      </c>
      <c r="K65" s="674" t="str">
        <f>+K59</f>
        <v>N</v>
      </c>
      <c r="L65" s="675" t="s">
        <v>1701</v>
      </c>
      <c r="M65" s="675" t="s">
        <v>1704</v>
      </c>
    </row>
    <row r="66" spans="1:16" s="675" customFormat="1" ht="15">
      <c r="J66" s="675" t="s">
        <v>1714</v>
      </c>
      <c r="K66" s="675" t="str">
        <f>+K59</f>
        <v>N</v>
      </c>
      <c r="L66" s="675" t="s">
        <v>1701</v>
      </c>
      <c r="M66" s="675" t="s">
        <v>1704</v>
      </c>
    </row>
    <row r="67" spans="1:16" s="675" customFormat="1" ht="15">
      <c r="A67" s="680" t="str">
        <f>+A157</f>
        <v>Report on other matters under the Hong Kong Companies Ordinance, Cap. 32</v>
      </c>
      <c r="J67" s="675" t="s">
        <v>1714</v>
      </c>
      <c r="K67" s="675" t="str">
        <f>IF(K157="Y","N",J164)</f>
        <v>Y</v>
      </c>
      <c r="L67" s="675" t="s">
        <v>1701</v>
      </c>
      <c r="M67" s="675" t="s">
        <v>1705</v>
      </c>
    </row>
    <row r="68" spans="1:16" s="675" customFormat="1" ht="15">
      <c r="J68" s="675" t="s">
        <v>1714</v>
      </c>
      <c r="K68" s="675" t="str">
        <f>+K67</f>
        <v>Y</v>
      </c>
      <c r="L68" s="675" t="s">
        <v>1701</v>
      </c>
      <c r="M68" s="675" t="s">
        <v>1705</v>
      </c>
    </row>
    <row r="69" spans="1:16" s="675" customFormat="1" ht="15">
      <c r="A69" s="680" t="str">
        <f>+A157</f>
        <v>Report on other matters under the Hong Kong Companies Ordinance, Cap. 32</v>
      </c>
      <c r="J69" s="675" t="s">
        <v>1714</v>
      </c>
      <c r="K69" s="675" t="str">
        <f>+J166</f>
        <v>N</v>
      </c>
      <c r="L69" s="675" t="s">
        <v>1701</v>
      </c>
      <c r="M69" s="675" t="s">
        <v>1707</v>
      </c>
    </row>
    <row r="70" spans="1:16" s="675" customFormat="1" ht="15">
      <c r="J70" s="675" t="s">
        <v>1714</v>
      </c>
      <c r="K70" s="675" t="str">
        <f>+K69</f>
        <v>N</v>
      </c>
      <c r="L70" s="675" t="s">
        <v>1701</v>
      </c>
      <c r="M70" s="675" t="s">
        <v>1708</v>
      </c>
    </row>
    <row r="71" spans="1:16" s="675" customFormat="1">
      <c r="A71" s="675" t="s">
        <v>1709</v>
      </c>
      <c r="J71" s="675" t="s">
        <v>1714</v>
      </c>
      <c r="K71" s="675" t="str">
        <f>+IF(AND(Control!D13&gt;=18,Control!D14&gt;=0,(Control!D13+Control!D14)&gt;=19),"Y","N")</f>
        <v>Y</v>
      </c>
      <c r="L71" s="675" t="s">
        <v>1701</v>
      </c>
      <c r="M71" s="675" t="s">
        <v>1711</v>
      </c>
      <c r="N71" s="676"/>
      <c r="O71" s="676" t="s">
        <v>748</v>
      </c>
      <c r="P71" s="676" t="str">
        <f>+IF(M82&gt;0,"622","32")</f>
        <v>32</v>
      </c>
    </row>
    <row r="72" spans="1:16" s="675" customFormat="1" ht="15">
      <c r="J72" s="675" t="s">
        <v>1714</v>
      </c>
      <c r="K72" s="674" t="str">
        <f>+K71</f>
        <v>Y</v>
      </c>
      <c r="L72" s="675" t="s">
        <v>1701</v>
      </c>
      <c r="M72" s="675" t="s">
        <v>1711</v>
      </c>
    </row>
    <row r="73" spans="1:16" s="675" customFormat="1" ht="15">
      <c r="A73" s="675" t="s">
        <v>1712</v>
      </c>
      <c r="J73" s="675" t="s">
        <v>1714</v>
      </c>
      <c r="K73" s="675" t="str">
        <f>IF(Control!D30=1,"N",IF(AND(Control!G13&gt;=18,Control!G14&gt;=0,(Control!G13+Control!G14)&gt;=19),"Y","N"))</f>
        <v>N</v>
      </c>
      <c r="L73" s="675" t="s">
        <v>1701</v>
      </c>
      <c r="M73" s="675" t="s">
        <v>1713</v>
      </c>
    </row>
    <row r="74" spans="1:16" s="675" customFormat="1" ht="15">
      <c r="J74" s="675" t="s">
        <v>1714</v>
      </c>
      <c r="K74" s="674" t="str">
        <f>+K73</f>
        <v>N</v>
      </c>
      <c r="L74" s="675" t="s">
        <v>1701</v>
      </c>
      <c r="M74" s="675" t="s">
        <v>1713</v>
      </c>
    </row>
    <row r="75" spans="1:16" s="668" customFormat="1" ht="15">
      <c r="J75" s="669" t="s">
        <v>1714</v>
      </c>
      <c r="K75" s="668" t="s">
        <v>1715</v>
      </c>
    </row>
    <row r="76" spans="1:16" s="48" customFormat="1" ht="15">
      <c r="A76" s="175" t="s">
        <v>604</v>
      </c>
      <c r="J76" s="48" t="str">
        <f>+IF(J13="Y","N","Y")</f>
        <v>N</v>
      </c>
      <c r="K76" s="48" t="s">
        <v>734</v>
      </c>
    </row>
    <row r="77" spans="1:16" s="48" customFormat="1" ht="15">
      <c r="J77" s="48" t="str">
        <f>+J76</f>
        <v>N</v>
      </c>
      <c r="K77" s="48" t="s">
        <v>734</v>
      </c>
    </row>
    <row r="78" spans="1:16" s="48" customFormat="1" ht="15.75" customHeight="1">
      <c r="A78" s="263" t="str">
        <f>+CONCATENATE(A224,A225,A226,A227,A228,A229,A230,A231,A232,A233,A234,A235,A236,A237,A238,A239,A240,A241,A242)</f>
        <v>We have audited the financial statements of MIC INCORPORATION LIMITED  (the "Company") set out on pages 4 to 9, which comprise the statement of financial position as at 31 December, 2016, and the income statement and the statement of changes in equity for the period ended 31 December, 2016, and a summary of significant accounting policies and other explanatory information.</v>
      </c>
      <c r="B78" s="176"/>
      <c r="C78" s="176"/>
      <c r="D78" s="176"/>
      <c r="E78" s="176"/>
      <c r="F78" s="176"/>
      <c r="G78" s="176"/>
      <c r="H78" s="176"/>
      <c r="I78" s="176"/>
      <c r="J78" s="48" t="str">
        <f>+J76</f>
        <v>N</v>
      </c>
      <c r="K78" s="48" t="s">
        <v>734</v>
      </c>
    </row>
    <row r="79" spans="1:16" s="48" customFormat="1" ht="15">
      <c r="A79" s="176"/>
      <c r="B79" s="176"/>
      <c r="C79" s="176"/>
      <c r="D79" s="176"/>
      <c r="E79" s="176"/>
      <c r="F79" s="176"/>
      <c r="G79" s="176"/>
      <c r="H79" s="176"/>
      <c r="I79" s="176"/>
      <c r="J79" s="48" t="str">
        <f>+J76</f>
        <v>N</v>
      </c>
      <c r="K79" s="48" t="s">
        <v>734</v>
      </c>
    </row>
    <row r="80" spans="1:16" s="39" customFormat="1" ht="15">
      <c r="A80" s="175" t="str">
        <f>+CONCATENATE(A208,A209)</f>
        <v>Director's responsibility for the financial statements</v>
      </c>
      <c r="I80" s="48"/>
      <c r="J80" s="48" t="str">
        <f>+J76</f>
        <v>N</v>
      </c>
      <c r="K80" s="48" t="s">
        <v>734</v>
      </c>
    </row>
    <row r="81" spans="1:14" s="39" customFormat="1" ht="15">
      <c r="J81" s="48" t="str">
        <f>+J76</f>
        <v>N</v>
      </c>
      <c r="K81" s="48" t="s">
        <v>734</v>
      </c>
    </row>
    <row r="82" spans="1:14" s="39" customFormat="1" ht="15.75" customHeight="1">
      <c r="A82" s="263" t="str">
        <f>+CONCATENATE(A211,A212,A213,A214,A215,A216)</f>
        <v xml:space="preserve">The director is responsible for the preparation of financial statements in accordance with the Small and Medium-sized Entity Financial Reporting Standard (SME-FRS) issued by the Hong Kong Institute of Certified Public Accountants, and for such internal control as the director determines is necessary to enable the preparation of financial statements that are free from material misstatement, whether due to fraud or error. </v>
      </c>
      <c r="B82" s="176"/>
      <c r="C82" s="176"/>
      <c r="D82" s="176"/>
      <c r="E82" s="176"/>
      <c r="F82" s="176"/>
      <c r="G82" s="176"/>
      <c r="H82" s="176"/>
      <c r="I82" s="176"/>
      <c r="J82" s="48" t="str">
        <f>+IF(J13="Y","N",IF(M82&lt;0,"Y","N"))</f>
        <v>N</v>
      </c>
      <c r="K82" s="51" t="s">
        <v>735</v>
      </c>
      <c r="L82" s="356">
        <v>41701</v>
      </c>
      <c r="M82" s="407">
        <f>+Control!D11-L82</f>
        <v>-1</v>
      </c>
      <c r="N82" s="39" t="str">
        <f>IF(Control!D28=1,"N","Y")</f>
        <v>N</v>
      </c>
    </row>
    <row r="83" spans="1:14" s="39" customFormat="1" ht="15">
      <c r="A83" s="176"/>
      <c r="B83" s="176"/>
      <c r="C83" s="176"/>
      <c r="D83" s="176"/>
      <c r="E83" s="176"/>
      <c r="F83" s="176"/>
      <c r="G83" s="176"/>
      <c r="H83" s="176"/>
      <c r="I83" s="176"/>
      <c r="J83" s="48" t="str">
        <f>+J82</f>
        <v>N</v>
      </c>
      <c r="K83" s="51" t="s">
        <v>735</v>
      </c>
    </row>
    <row r="84" spans="1:14" s="39" customFormat="1" ht="15" customHeight="1">
      <c r="A84" s="263" t="s">
        <v>1475</v>
      </c>
      <c r="B84" s="176"/>
      <c r="C84" s="176"/>
      <c r="D84" s="176"/>
      <c r="E84" s="176"/>
      <c r="F84" s="176"/>
      <c r="G84" s="176"/>
      <c r="H84" s="176"/>
      <c r="I84" s="176"/>
      <c r="J84" s="48" t="str">
        <f>+J82</f>
        <v>N</v>
      </c>
      <c r="K84" s="51" t="s">
        <v>735</v>
      </c>
    </row>
    <row r="85" spans="1:14" s="39" customFormat="1" ht="15" customHeight="1">
      <c r="A85" s="263"/>
      <c r="B85" s="176"/>
      <c r="C85" s="176"/>
      <c r="D85" s="176"/>
      <c r="E85" s="176"/>
      <c r="F85" s="176"/>
      <c r="G85" s="176"/>
      <c r="H85" s="176"/>
      <c r="I85" s="176"/>
      <c r="J85" s="48" t="str">
        <f>+J82</f>
        <v>N</v>
      </c>
      <c r="K85" s="51" t="s">
        <v>735</v>
      </c>
    </row>
    <row r="86" spans="1:14" s="39" customFormat="1" ht="15" customHeight="1">
      <c r="A86" s="263" t="str">
        <f>+CONCATENATE(A218,A219,A220,A221,A222)</f>
        <v xml:space="preserve">The director is responsible for the preparation of financial statements in accordance with the Small and Medium-sized Entity Financial Reporting Standard (SME-FRS) issued by the Hong Kong Institute of Certified Public Accountants, and the Hong Kong Companies Ordinance, and for such internal control as the director determines is necessary to enable the preparation of financial statements that are free from material misstatement, whether due to fraud or error. </v>
      </c>
      <c r="B86" s="176"/>
      <c r="C86" s="176"/>
      <c r="D86" s="176"/>
      <c r="E86" s="176"/>
      <c r="F86" s="176"/>
      <c r="G86" s="176"/>
      <c r="H86" s="176"/>
      <c r="I86" s="176"/>
      <c r="J86" s="48" t="str">
        <f>+IF(J13="Y","N",IF(M82&gt;0,"Y","N"))</f>
        <v>N</v>
      </c>
      <c r="K86" s="374" t="s">
        <v>736</v>
      </c>
    </row>
    <row r="87" spans="1:14" s="39" customFormat="1" ht="15">
      <c r="A87" s="176"/>
      <c r="B87" s="176"/>
      <c r="C87" s="176"/>
      <c r="D87" s="176"/>
      <c r="E87" s="176"/>
      <c r="F87" s="176"/>
      <c r="G87" s="176"/>
      <c r="H87" s="176"/>
      <c r="I87" s="176"/>
      <c r="J87" s="48" t="str">
        <f>+J86</f>
        <v>N</v>
      </c>
      <c r="K87" s="374" t="s">
        <v>736</v>
      </c>
    </row>
    <row r="88" spans="1:14" s="39" customFormat="1" ht="15">
      <c r="A88" s="175" t="s">
        <v>606</v>
      </c>
      <c r="I88" s="48"/>
      <c r="J88" s="48" t="str">
        <f>+J76</f>
        <v>N</v>
      </c>
      <c r="K88" s="48" t="s">
        <v>734</v>
      </c>
    </row>
    <row r="89" spans="1:14" s="39" customFormat="1" ht="15">
      <c r="J89" s="48" t="str">
        <f>+J76</f>
        <v>N</v>
      </c>
      <c r="K89" s="48" t="s">
        <v>734</v>
      </c>
    </row>
    <row r="90" spans="1:14" s="39" customFormat="1" ht="15.75" customHeight="1">
      <c r="A90" s="263" t="s">
        <v>1926</v>
      </c>
      <c r="B90" s="176"/>
      <c r="C90" s="176"/>
      <c r="D90" s="176"/>
      <c r="E90" s="176"/>
      <c r="F90" s="176"/>
      <c r="G90" s="176"/>
      <c r="H90" s="176"/>
      <c r="I90" s="176"/>
      <c r="J90" s="48" t="str">
        <f>+J82</f>
        <v>N</v>
      </c>
      <c r="K90" s="51" t="s">
        <v>735</v>
      </c>
    </row>
    <row r="91" spans="1:14" s="39" customFormat="1" ht="15">
      <c r="A91" s="43"/>
      <c r="J91" s="48" t="str">
        <f>+J82</f>
        <v>N</v>
      </c>
      <c r="K91" s="51" t="s">
        <v>735</v>
      </c>
    </row>
    <row r="92" spans="1:14" s="39" customFormat="1" ht="15.75" customHeight="1">
      <c r="A92" s="263" t="s">
        <v>608</v>
      </c>
      <c r="B92" s="176"/>
      <c r="C92" s="176"/>
      <c r="D92" s="176"/>
      <c r="E92" s="176"/>
      <c r="F92" s="176"/>
      <c r="G92" s="176"/>
      <c r="H92" s="176"/>
      <c r="I92" s="176"/>
      <c r="J92" s="48" t="str">
        <f>+J82</f>
        <v>N</v>
      </c>
      <c r="K92" s="51" t="s">
        <v>735</v>
      </c>
    </row>
    <row r="93" spans="1:14" s="39" customFormat="1" ht="15">
      <c r="A93" s="43"/>
      <c r="J93" s="48" t="str">
        <f>+J82</f>
        <v>N</v>
      </c>
      <c r="K93" s="51" t="s">
        <v>735</v>
      </c>
    </row>
    <row r="94" spans="1:14" s="39" customFormat="1" ht="15.75" customHeight="1">
      <c r="A94" s="263" t="s">
        <v>609</v>
      </c>
      <c r="B94" s="176"/>
      <c r="C94" s="176"/>
      <c r="D94" s="176"/>
      <c r="E94" s="176"/>
      <c r="F94" s="176"/>
      <c r="G94" s="176"/>
      <c r="H94" s="176"/>
      <c r="I94" s="176"/>
      <c r="J94" s="48" t="str">
        <f>+J82</f>
        <v>N</v>
      </c>
      <c r="K94" s="51" t="s">
        <v>735</v>
      </c>
    </row>
    <row r="95" spans="1:14" s="39" customFormat="1" ht="15.75" customHeight="1">
      <c r="A95" s="263"/>
      <c r="B95" s="176"/>
      <c r="C95" s="176"/>
      <c r="D95" s="176"/>
      <c r="E95" s="176"/>
      <c r="F95" s="176"/>
      <c r="G95" s="176"/>
      <c r="H95" s="176"/>
      <c r="I95" s="176"/>
      <c r="J95" s="48" t="str">
        <f>+J82</f>
        <v>N</v>
      </c>
      <c r="K95" s="51" t="s">
        <v>735</v>
      </c>
    </row>
    <row r="96" spans="1:14" s="39" customFormat="1" ht="15.75" customHeight="1">
      <c r="A96" s="263" t="s">
        <v>1933</v>
      </c>
      <c r="B96" s="176"/>
      <c r="C96" s="176"/>
      <c r="D96" s="176"/>
      <c r="E96" s="176"/>
      <c r="F96" s="176"/>
      <c r="G96" s="176"/>
      <c r="H96" s="176"/>
      <c r="I96" s="176"/>
      <c r="J96" s="48" t="str">
        <f>+J86</f>
        <v>N</v>
      </c>
      <c r="K96" s="374" t="s">
        <v>736</v>
      </c>
    </row>
    <row r="97" spans="1:13" s="39" customFormat="1" ht="15.75" customHeight="1">
      <c r="A97" s="263"/>
      <c r="B97" s="176"/>
      <c r="C97" s="176"/>
      <c r="D97" s="176"/>
      <c r="E97" s="176"/>
      <c r="F97" s="176"/>
      <c r="G97" s="176"/>
      <c r="H97" s="176"/>
      <c r="I97" s="176"/>
      <c r="J97" s="48" t="str">
        <f>+J86</f>
        <v>N</v>
      </c>
      <c r="K97" s="374" t="s">
        <v>736</v>
      </c>
    </row>
    <row r="98" spans="1:13" s="39" customFormat="1" ht="15.75" customHeight="1">
      <c r="A98" s="263" t="str">
        <f>+CONCATENATE(A279,A280,A281)</f>
        <v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director, as well as evaluating the overall presentation of the financial statements. </v>
      </c>
      <c r="B98" s="176"/>
      <c r="C98" s="176"/>
      <c r="D98" s="176"/>
      <c r="E98" s="176"/>
      <c r="F98" s="176"/>
      <c r="G98" s="176"/>
      <c r="H98" s="176"/>
      <c r="I98" s="176"/>
      <c r="J98" s="48" t="str">
        <f>+J86</f>
        <v>N</v>
      </c>
      <c r="K98" s="374" t="s">
        <v>736</v>
      </c>
    </row>
    <row r="99" spans="1:13" s="39" customFormat="1" ht="15">
      <c r="A99" s="462"/>
      <c r="B99" s="462"/>
      <c r="C99" s="462"/>
      <c r="D99" s="462"/>
      <c r="E99" s="462"/>
      <c r="F99" s="462"/>
      <c r="G99" s="462"/>
      <c r="H99" s="462"/>
      <c r="I99" s="462"/>
      <c r="J99" s="48" t="str">
        <f>+J86</f>
        <v>N</v>
      </c>
      <c r="K99" s="374" t="s">
        <v>736</v>
      </c>
    </row>
    <row r="100" spans="1:13" s="39" customFormat="1" ht="15">
      <c r="A100" s="263" t="s">
        <v>609</v>
      </c>
      <c r="B100" s="462"/>
      <c r="C100" s="462"/>
      <c r="D100" s="462"/>
      <c r="E100" s="462"/>
      <c r="F100" s="462"/>
      <c r="G100" s="462"/>
      <c r="H100" s="462"/>
      <c r="I100" s="462"/>
      <c r="J100" s="48" t="str">
        <f>+J86</f>
        <v>N</v>
      </c>
      <c r="K100" s="374" t="s">
        <v>736</v>
      </c>
    </row>
    <row r="101" spans="1:13" s="39" customFormat="1" ht="15">
      <c r="A101" s="462"/>
      <c r="B101" s="462"/>
      <c r="C101" s="462"/>
      <c r="D101" s="462"/>
      <c r="E101" s="462"/>
      <c r="F101" s="462"/>
      <c r="G101" s="462"/>
      <c r="H101" s="462"/>
      <c r="I101" s="462"/>
      <c r="J101" s="48" t="str">
        <f>+J86</f>
        <v>N</v>
      </c>
      <c r="K101" s="374" t="s">
        <v>736</v>
      </c>
    </row>
    <row r="102" spans="1:13">
      <c r="A102" s="175" t="s">
        <v>737</v>
      </c>
      <c r="B102" s="168"/>
      <c r="C102" s="168"/>
      <c r="D102" s="168"/>
      <c r="E102" s="168"/>
      <c r="I102" s="48"/>
      <c r="J102" s="48" t="str">
        <f>+IF(J13="Y","N",IF(Control!D28=1,"Y","N"))</f>
        <v>N</v>
      </c>
      <c r="K102" s="1" t="s">
        <v>738</v>
      </c>
    </row>
    <row r="103" spans="1:13">
      <c r="A103" s="175" t="s">
        <v>739</v>
      </c>
      <c r="B103" s="168"/>
      <c r="C103" s="168"/>
      <c r="D103" s="168"/>
      <c r="E103" s="168"/>
      <c r="I103" s="48"/>
      <c r="J103" s="48" t="str">
        <f>+IF(J13="Y","N",IF(Control!D28=1,"N","Y"))</f>
        <v>N</v>
      </c>
      <c r="K103" s="1" t="s">
        <v>740</v>
      </c>
    </row>
    <row r="104" spans="1:13">
      <c r="A104" s="165"/>
      <c r="B104" s="168"/>
      <c r="C104" s="168"/>
      <c r="D104" s="168"/>
      <c r="E104" s="168"/>
      <c r="J104" s="48" t="str">
        <f>+J76</f>
        <v>N</v>
      </c>
      <c r="K104" s="48" t="s">
        <v>734</v>
      </c>
    </row>
    <row r="105" spans="1:13" ht="16.5" customHeight="1">
      <c r="A105" s="263" t="str">
        <f>+CONCATENATE(A262,A263,A264,A265,A266,A267,A268)</f>
        <v>In our opinion, the financial statements of the Company for the period ended 31 December, 2016 are prepared, in all material respects, in accordance with the SME-FRS. In addition, in our opinion the statement of financial position together with the notes thereon is properly drawn up so as to exhibit a true and correct view of the state of the Company’s affairs as at 31 December, 2016 according to the best of our information and explanations given to us, and as shown by the books of the Company.</v>
      </c>
      <c r="B105" s="263"/>
      <c r="C105" s="263"/>
      <c r="D105" s="263"/>
      <c r="E105" s="263"/>
      <c r="F105" s="263"/>
      <c r="G105" s="263"/>
      <c r="H105" s="263"/>
      <c r="I105" s="263"/>
      <c r="J105" s="358" t="str">
        <f>+IF(J13="Y","N",IF(AND(M82&lt;0,Control!D28=1),"Y","N"))</f>
        <v>N</v>
      </c>
      <c r="K105" s="51" t="s">
        <v>741</v>
      </c>
    </row>
    <row r="106" spans="1:13" ht="16.5" customHeight="1">
      <c r="A106" s="263"/>
      <c r="B106" s="263"/>
      <c r="C106" s="263"/>
      <c r="D106" s="263"/>
      <c r="E106" s="263"/>
      <c r="F106" s="263"/>
      <c r="G106" s="263"/>
      <c r="H106" s="263"/>
      <c r="I106" s="263"/>
      <c r="J106" s="358" t="str">
        <f>+J105</f>
        <v>N</v>
      </c>
      <c r="K106" s="51" t="s">
        <v>741</v>
      </c>
    </row>
    <row r="107" spans="1:13" ht="16.5" customHeight="1">
      <c r="A107" s="263" t="str">
        <f>+CONCATENATE(A272,A273,A274,A275,A276)</f>
        <v>In our opinion, the financial statements of the Company for the period ended 31 December, 2016 are prepared, in all material respects, in accordance with the SME-FRS and have been properly prepared in compliance with the Hong Kong Companies Ordinance.</v>
      </c>
      <c r="B107" s="263"/>
      <c r="C107" s="263"/>
      <c r="D107" s="263"/>
      <c r="E107" s="263"/>
      <c r="F107" s="263"/>
      <c r="G107" s="263"/>
      <c r="H107" s="263"/>
      <c r="I107" s="263"/>
      <c r="J107" s="358" t="str">
        <f>+IF(J13="Y","N",IF(J108="Y","N",IF(J109="Y","N",IF(AND(M82&gt;=0,Control!D28=1),"Y","N"))))</f>
        <v>N</v>
      </c>
      <c r="K107" s="374" t="s">
        <v>742</v>
      </c>
    </row>
    <row r="108" spans="1:13" ht="16.5" customHeight="1">
      <c r="A108" s="263" t="str">
        <f>+CONCATENATE(A272,A273,A274,A275,A277)</f>
        <v>In our opinion, the financial statements of the Company for the period ended 31 December, 2016 are prepared, in all material respects, in accordance with the SME-FRS.</v>
      </c>
      <c r="B108" s="263"/>
      <c r="C108" s="263"/>
      <c r="D108" s="263"/>
      <c r="E108" s="263"/>
      <c r="F108" s="263"/>
      <c r="G108" s="263"/>
      <c r="H108" s="263"/>
      <c r="I108" s="263"/>
      <c r="J108" s="358" t="str">
        <f>+IF(J13="Y","N",IF(Control!D28=0,"N",IF(M108&gt;0,"N",IF(AND(Control!D13&gt;=18,Control!D14&gt;0),"Y","N"))))</f>
        <v>N</v>
      </c>
      <c r="K108" s="374" t="s">
        <v>1254</v>
      </c>
      <c r="L108" s="517">
        <v>41701</v>
      </c>
      <c r="M108" s="518">
        <f>+L108-Control!D11</f>
        <v>1</v>
      </c>
    </row>
    <row r="109" spans="1:13" ht="16.5" customHeight="1">
      <c r="A109" s="263" t="str">
        <f>+CONCATENATE(A272,A273,A274,A275,A277)</f>
        <v>In our opinion, the financial statements of the Company for the period ended 31 December, 2016 are prepared, in all material respects, in accordance with the SME-FRS.</v>
      </c>
      <c r="B109" s="263"/>
      <c r="C109" s="263"/>
      <c r="D109" s="263"/>
      <c r="E109" s="263"/>
      <c r="F109" s="263"/>
      <c r="G109" s="263"/>
      <c r="H109" s="263"/>
      <c r="I109" s="263"/>
      <c r="J109" s="358" t="str">
        <f>+IF(J13="Y","N",IF(Control!D30=1,"N",IF(AND(Control!G13&gt;=18,Control!G14&gt;0),"Y","N")))</f>
        <v>N</v>
      </c>
      <c r="K109" s="374" t="s">
        <v>1255</v>
      </c>
    </row>
    <row r="110" spans="1:13" ht="16.5" customHeight="1">
      <c r="A110" s="263"/>
      <c r="B110" s="263"/>
      <c r="C110" s="263"/>
      <c r="D110" s="263"/>
      <c r="E110" s="263"/>
      <c r="F110" s="263"/>
      <c r="G110" s="263"/>
      <c r="H110" s="263"/>
      <c r="I110" s="263"/>
      <c r="J110" s="358" t="str">
        <f>+IF(J13="Y","N",IF(AND(M82&gt;=0,Control!D28=1),"Y","N"))</f>
        <v>N</v>
      </c>
      <c r="K110" s="374" t="s">
        <v>742</v>
      </c>
    </row>
    <row r="111" spans="1:13">
      <c r="A111" s="175" t="s">
        <v>628</v>
      </c>
      <c r="B111" s="168"/>
      <c r="C111" s="168"/>
      <c r="D111" s="168"/>
      <c r="E111" s="170"/>
      <c r="I111" s="48"/>
      <c r="J111" s="358" t="str">
        <f>+IF(J13="Y","N",IF(J160="Y","N",IF(AND(M82&lt;0,Control!D28=1),"Y","N")))</f>
        <v>N</v>
      </c>
      <c r="K111" s="51" t="s">
        <v>741</v>
      </c>
    </row>
    <row r="112" spans="1:13">
      <c r="A112" s="445"/>
      <c r="B112" s="168"/>
      <c r="C112" s="168"/>
      <c r="D112" s="168"/>
      <c r="E112" s="170"/>
      <c r="J112" s="358" t="str">
        <f>+J111</f>
        <v>N</v>
      </c>
      <c r="K112" s="51" t="s">
        <v>741</v>
      </c>
    </row>
    <row r="113" spans="1:12" ht="17.25" customHeight="1">
      <c r="A113" s="445" t="s">
        <v>743</v>
      </c>
      <c r="B113" s="168"/>
      <c r="C113" s="168"/>
      <c r="D113" s="168"/>
      <c r="E113" s="170"/>
      <c r="J113" s="358" t="str">
        <f>+J111</f>
        <v>N</v>
      </c>
      <c r="K113" s="51" t="s">
        <v>741</v>
      </c>
    </row>
    <row r="114" spans="1:12" ht="17.25" customHeight="1">
      <c r="A114" s="445"/>
      <c r="B114" s="168"/>
      <c r="C114" s="168"/>
      <c r="D114" s="168"/>
      <c r="E114" s="170"/>
      <c r="J114" s="358" t="str">
        <f>+J111</f>
        <v>N</v>
      </c>
      <c r="K114" s="51" t="s">
        <v>741</v>
      </c>
    </row>
    <row r="115" spans="1:12" s="50" customFormat="1" ht="17.25" customHeight="1">
      <c r="A115" s="681"/>
      <c r="B115" s="666"/>
      <c r="C115" s="666"/>
      <c r="D115" s="666"/>
      <c r="E115" s="682"/>
      <c r="J115" s="50" t="s">
        <v>1714</v>
      </c>
      <c r="K115" s="51" t="s">
        <v>1719</v>
      </c>
    </row>
    <row r="116" spans="1:12" s="50" customFormat="1" ht="17.25" customHeight="1">
      <c r="A116" s="681" t="str">
        <f>+CONCATENATE(A283,A284,A285,A286,A287,A288,A289,A290,A291)</f>
        <v>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profit for the period and net assets at 31 December, 2016.</v>
      </c>
      <c r="B116" s="666"/>
      <c r="C116" s="666"/>
      <c r="D116" s="666"/>
      <c r="E116" s="682"/>
      <c r="J116" s="50" t="s">
        <v>1714</v>
      </c>
      <c r="K116" s="683" t="str">
        <f>IF(Control!D28=1,"N","Y")</f>
        <v>N</v>
      </c>
      <c r="L116" s="50" t="s">
        <v>744</v>
      </c>
    </row>
    <row r="117" spans="1:12" s="50" customFormat="1" ht="17.25" customHeight="1">
      <c r="A117" s="681"/>
      <c r="B117" s="666"/>
      <c r="C117" s="666"/>
      <c r="D117" s="666"/>
      <c r="E117" s="682"/>
      <c r="J117" s="50" t="s">
        <v>1714</v>
      </c>
      <c r="K117" s="683" t="str">
        <f>IF(Control!D28=1,"N","Y")</f>
        <v>N</v>
      </c>
      <c r="L117" s="50" t="s">
        <v>744</v>
      </c>
    </row>
    <row r="118" spans="1:12" s="50" customFormat="1" ht="17.25" customHeight="1">
      <c r="A118" s="666">
        <v>180</v>
      </c>
      <c r="B118" s="666">
        <v>180</v>
      </c>
      <c r="D118" s="666"/>
      <c r="E118" s="682"/>
      <c r="I118" s="50" t="str">
        <f>IF(Control!D28=0,"table start","")</f>
        <v/>
      </c>
      <c r="J118" s="50" t="s">
        <v>1714</v>
      </c>
      <c r="K118" s="683">
        <v>0</v>
      </c>
    </row>
    <row r="119" spans="1:12" s="50" customFormat="1" ht="17.25" customHeight="1">
      <c r="A119" s="684" t="s">
        <v>613</v>
      </c>
      <c r="B119" s="685" t="str">
        <f>+CONCATENATE(A293,A294,A295)</f>
        <v>Amount (US$)</v>
      </c>
      <c r="E119" s="682"/>
      <c r="J119" s="50" t="s">
        <v>1714</v>
      </c>
      <c r="K119" s="683" t="str">
        <f>IF(Control!D28=1,"N","Y")</f>
        <v>N</v>
      </c>
      <c r="L119" s="50" t="s">
        <v>744</v>
      </c>
    </row>
    <row r="120" spans="1:12" s="50" customFormat="1" ht="17.25" customHeight="1">
      <c r="A120" s="681" t="str">
        <f>+Section3!A12</f>
        <v>Turnover</v>
      </c>
      <c r="B120" s="686" t="str">
        <f>IF(Control!D30=0,A300,TEXT(A305,"###,###,###,###,###,###,###,###"))</f>
        <v>Nil (2016: 1,253,411)</v>
      </c>
      <c r="E120" s="682"/>
      <c r="J120" s="50" t="s">
        <v>1714</v>
      </c>
      <c r="K120" s="683" t="str">
        <f>IF(Control!D28=1,"N","Y")</f>
        <v>N</v>
      </c>
      <c r="L120" s="50" t="s">
        <v>744</v>
      </c>
    </row>
    <row r="121" spans="1:12" s="50" customFormat="1" ht="17.25" customHeight="1">
      <c r="A121" s="681" t="str">
        <f>+Section3!A13</f>
        <v>Cost of turnover</v>
      </c>
      <c r="B121" s="686" t="str">
        <f>IF(Control!D30=0,A308,TEXT(A313,"###,###,###,###,###,###,###,###"))</f>
        <v>Nil (2016: 1,223,222)</v>
      </c>
      <c r="E121" s="682"/>
      <c r="J121" s="50" t="s">
        <v>1714</v>
      </c>
      <c r="K121" s="683" t="str">
        <f>IF(Control!D28=1,"N",Section3!H13)</f>
        <v>N</v>
      </c>
      <c r="L121" s="50" t="s">
        <v>744</v>
      </c>
    </row>
    <row r="122" spans="1:12" s="50" customFormat="1" ht="17.25" customHeight="1">
      <c r="A122" s="681" t="str">
        <f>+Section3!A15</f>
        <v>Other income</v>
      </c>
      <c r="B122" s="686" t="str">
        <f>IF(Control!D30=0,A316,TEXT(A321,"###,###,###,###,###,###,###,###"))</f>
        <v>Nil (2016: 1)</v>
      </c>
      <c r="E122" s="682"/>
      <c r="J122" s="50" t="s">
        <v>1714</v>
      </c>
      <c r="K122" s="683" t="str">
        <f>IF(Control!D28=1,"N",Section3!H15)</f>
        <v>N</v>
      </c>
      <c r="L122" s="50" t="s">
        <v>744</v>
      </c>
    </row>
    <row r="123" spans="1:12" s="50" customFormat="1" ht="17.25" customHeight="1">
      <c r="A123" s="681" t="str">
        <f>+Section3!A16</f>
        <v>Administrative expenses</v>
      </c>
      <c r="B123" s="686" t="str">
        <f>IF(Control!D30=0,A324,TEXT(A329,"###,###,###,###,###,###,###,###"))</f>
        <v>Nil (2016: 19,908)</v>
      </c>
      <c r="J123" s="50" t="s">
        <v>1714</v>
      </c>
      <c r="K123" s="683" t="str">
        <f>IF(Control!D28=1,"N","Y")</f>
        <v>N</v>
      </c>
      <c r="L123" s="50" t="s">
        <v>744</v>
      </c>
    </row>
    <row r="124" spans="1:12" s="50" customFormat="1" ht="17.25" customHeight="1">
      <c r="A124" s="681" t="str">
        <f>+CONCATENATE(A297,A298)</f>
        <v>Taxation expenses</v>
      </c>
      <c r="B124" s="686" t="str">
        <f>IF(Control!D30=0,A332,TEXT(A337,"###,###,###,###,###,###,###,###"))</f>
        <v>Nil (2016: 433)</v>
      </c>
      <c r="E124" s="682"/>
      <c r="J124" s="50" t="s">
        <v>1714</v>
      </c>
      <c r="K124" s="683" t="str">
        <f>IF(Control!D28=1,"N","Y")</f>
        <v>N</v>
      </c>
      <c r="L124" s="50" t="s">
        <v>744</v>
      </c>
    </row>
    <row r="125" spans="1:12" s="50" customFormat="1" ht="17.25" customHeight="1">
      <c r="A125" s="681" t="str">
        <f>+Section4!A29</f>
        <v>Tax refundable</v>
      </c>
      <c r="B125" s="686" t="str">
        <f>IF(Control!D30=0,A484,TEXT(A489,"###,###,###,###,###,###,###,###"))</f>
        <v>Nil (2016: Nil)</v>
      </c>
      <c r="E125" s="682"/>
      <c r="J125" s="50" t="s">
        <v>1714</v>
      </c>
      <c r="K125" s="687" t="str">
        <f>IF(Control!D28=1,"N",Section4!G29)</f>
        <v>N</v>
      </c>
    </row>
    <row r="126" spans="1:12" s="50" customFormat="1" ht="17.25" customHeight="1">
      <c r="A126" s="681" t="str">
        <f>+Section4!A34</f>
        <v xml:space="preserve">  Tax payables</v>
      </c>
      <c r="B126" s="686" t="str">
        <f>IF(Control!D30=0,A396,TEXT(A401,"###,###,###,###,###,###,###,###"))</f>
        <v>Nil (2016: 433)</v>
      </c>
      <c r="E126" s="682"/>
      <c r="J126" s="50" t="s">
        <v>1714</v>
      </c>
      <c r="K126" s="687" t="str">
        <f>IF(Control!D28=1,"N",Section4!G34)</f>
        <v>N</v>
      </c>
      <c r="L126" s="50" t="s">
        <v>744</v>
      </c>
    </row>
    <row r="127" spans="1:12" s="50" customFormat="1" ht="17.25" customHeight="1">
      <c r="A127" s="681" t="str">
        <f>+Section4!A11</f>
        <v xml:space="preserve">  Property, plant and equipment</v>
      </c>
      <c r="B127" s="686" t="str">
        <f>IF(Control!D30=0,A340,TEXT(A345,"###,###,###,###,###,###,###,###"))</f>
        <v>Nil (2016: Nil)</v>
      </c>
      <c r="J127" s="50" t="s">
        <v>1714</v>
      </c>
      <c r="K127" s="683" t="str">
        <f>+IF(Control!D32=1,IF(Control!D28=0,"Y","N"),"N")</f>
        <v>N</v>
      </c>
      <c r="L127" s="50" t="s">
        <v>744</v>
      </c>
    </row>
    <row r="128" spans="1:12" s="50" customFormat="1" ht="17.25" customHeight="1">
      <c r="A128" s="681" t="str">
        <f>+Section4!A21</f>
        <v xml:space="preserve">  Inventories</v>
      </c>
      <c r="B128" s="686" t="str">
        <f>IF(Control!D30=0,A460,TEXT(A465,"###,###,###,###,###,###,###,###"))</f>
        <v>Nil (2016: 320,182)</v>
      </c>
      <c r="J128" s="50" t="s">
        <v>1714</v>
      </c>
      <c r="K128" s="687" t="str">
        <f>IF(Control!D28=1,"N",Section4!G21)</f>
        <v>N</v>
      </c>
    </row>
    <row r="129" spans="1:12" s="50" customFormat="1" ht="17.25" customHeight="1">
      <c r="A129" s="681" t="str">
        <f>+Section4!A22</f>
        <v xml:space="preserve">  Other receivables</v>
      </c>
      <c r="B129" s="686" t="str">
        <f>IF(Control!D30=0,A412,TEXT(A417,"###,###,###,###,###,###,###,###"))</f>
        <v>Nil (2016: Nil)</v>
      </c>
      <c r="J129" s="50" t="s">
        <v>1714</v>
      </c>
      <c r="K129" s="687" t="str">
        <f>IF(Control!D28=1,"N",Section4!G22)</f>
        <v>N</v>
      </c>
    </row>
    <row r="130" spans="1:12" s="50" customFormat="1" ht="17.25" customHeight="1">
      <c r="A130" s="681" t="str">
        <f>+Section4!A23</f>
        <v xml:space="preserve">  Deposit paid</v>
      </c>
      <c r="B130" s="686" t="str">
        <f>IF(Control!D30=0,A348,TEXT(A353,"###,###,###,###,###,###,###,###"))</f>
        <v>Nil (2016: Nil)</v>
      </c>
      <c r="E130" s="682"/>
      <c r="J130" s="50" t="s">
        <v>1714</v>
      </c>
      <c r="K130" s="687" t="str">
        <f>IF(Control!D28=1,"N",Section4!G23)</f>
        <v>N</v>
      </c>
      <c r="L130" s="50" t="s">
        <v>744</v>
      </c>
    </row>
    <row r="131" spans="1:12" s="50" customFormat="1" ht="17.25" customHeight="1">
      <c r="A131" s="681" t="str">
        <f>+Section4!A24</f>
        <v xml:space="preserve">  Deposits and prepayments</v>
      </c>
      <c r="B131" s="686" t="str">
        <f>IF(Control!D30=0,A468,TEXT(A473,"###,###,###,###,###,###,###,###"))</f>
        <v>Nil (2016: Nil)</v>
      </c>
      <c r="E131" s="682"/>
      <c r="J131" s="50" t="s">
        <v>1714</v>
      </c>
      <c r="K131" s="687" t="str">
        <f>+IF(Control!D28=1,"N",Section4!G24)</f>
        <v>N</v>
      </c>
    </row>
    <row r="132" spans="1:12" s="50" customFormat="1" ht="17.25" customHeight="1">
      <c r="A132" s="681" t="str">
        <f>+Section4!A25</f>
        <v xml:space="preserve"> Account receivables</v>
      </c>
      <c r="B132" s="686" t="str">
        <f>IF(Control!D30=0,A420,TEXT(A425,"###,###,###,###,###,###,###,###"))</f>
        <v>Nil (2016: Nil)</v>
      </c>
      <c r="E132" s="682"/>
      <c r="J132" s="50" t="s">
        <v>1714</v>
      </c>
      <c r="K132" s="687" t="str">
        <f>+IF(Control!D28=1,"N",Section4!G25)</f>
        <v>N</v>
      </c>
    </row>
    <row r="133" spans="1:12" s="50" customFormat="1" ht="17.25" customHeight="1">
      <c r="A133" s="681" t="str">
        <f>+Section4!A35</f>
        <v xml:space="preserve">  Account payables</v>
      </c>
      <c r="B133" s="686" t="str">
        <f>IF(Control!D30=0,A429,TEXT(A433,"###,###,###,###,###,###,###,###"))</f>
        <v>Nil</v>
      </c>
      <c r="E133" s="682"/>
      <c r="J133" s="50" t="s">
        <v>1714</v>
      </c>
      <c r="K133" s="687" t="str">
        <f>+IF(Control!D28=1,"N",Section4!G35)</f>
        <v>N</v>
      </c>
    </row>
    <row r="134" spans="1:12" s="50" customFormat="1" ht="17.25" customHeight="1">
      <c r="A134" s="681" t="str">
        <f>+Section4!A36</f>
        <v xml:space="preserve">  Other payables and accruals</v>
      </c>
      <c r="B134" s="686" t="str">
        <f>IF(Control!D30=0,A404,TEXT(A409,"###,###,###,###,###,###,###,###"))</f>
        <v>Nil (2016: Nil)</v>
      </c>
      <c r="E134" s="682"/>
      <c r="J134" s="50" t="s">
        <v>1714</v>
      </c>
      <c r="K134" s="687" t="str">
        <f>IF(Control!D28=1,"N",Section4!G36)</f>
        <v>N</v>
      </c>
    </row>
    <row r="135" spans="1:12" s="50" customFormat="1" ht="17.25" customHeight="1">
      <c r="A135" s="681" t="str">
        <f>+Section4!A37</f>
        <v xml:space="preserve">  Deposit received</v>
      </c>
      <c r="B135" s="686" t="str">
        <f>IF(Control!D30=0,A444,TEXT(A449,"###,###,###,###,###,###,###,###"))</f>
        <v>Nil (2016: Nil)</v>
      </c>
      <c r="E135" s="682"/>
      <c r="J135" s="50" t="s">
        <v>1714</v>
      </c>
      <c r="K135" s="687" t="str">
        <f>IF(Control!D28=1,"N",Section4!G37)</f>
        <v>N</v>
      </c>
    </row>
    <row r="136" spans="1:12" s="50" customFormat="1" ht="17.25" customHeight="1">
      <c r="A136" s="681" t="str">
        <f>+Section4!A38</f>
        <v xml:space="preserve">  Accrued expenses</v>
      </c>
      <c r="B136" s="686" t="str">
        <f>IF(Control!D30=0,A364,TEXT(A369,"###,###,###,###,###,###,###,###"))</f>
        <v>Nil (2016: 3,224)</v>
      </c>
      <c r="E136" s="682"/>
      <c r="J136" s="50" t="s">
        <v>1714</v>
      </c>
      <c r="K136" s="683" t="str">
        <f>IF(Control!D28=1,"N","Y")</f>
        <v>N</v>
      </c>
      <c r="L136" s="50" t="s">
        <v>744</v>
      </c>
    </row>
    <row r="137" spans="1:12" s="50" customFormat="1" ht="17.25" customHeight="1">
      <c r="A137" s="681" t="str">
        <f>+Section4!A40</f>
        <v xml:space="preserve">  Bank overdraft</v>
      </c>
      <c r="B137" s="686" t="str">
        <f>IF(Control!D30=0,A436,TEXT(A441,"###,###,###,###,###,###,###,###"))</f>
        <v>Nil (2016: Nil)</v>
      </c>
      <c r="E137" s="682"/>
      <c r="J137" s="50" t="s">
        <v>1714</v>
      </c>
      <c r="K137" s="687" t="str">
        <f>IF(Control!D28=1,"N",Section4!G40)</f>
        <v>N</v>
      </c>
    </row>
    <row r="138" spans="1:12" s="50" customFormat="1" ht="17.25" customHeight="1">
      <c r="A138" s="681" t="str">
        <f>+Section4!A28</f>
        <v>Amount due from a shareholder</v>
      </c>
      <c r="B138" s="686" t="str">
        <f>IF(Control!D30=0,A476,TEXT(A481,"###,###,###,###,###,###,###,###"))</f>
        <v>Nil (2016: Nil)</v>
      </c>
      <c r="E138" s="682"/>
      <c r="J138" s="50" t="s">
        <v>1714</v>
      </c>
      <c r="K138" s="687" t="str">
        <f>IF(Control!D28=1,"N",Section4!G28)</f>
        <v>N</v>
      </c>
    </row>
    <row r="139" spans="1:12" s="50" customFormat="1" ht="17.25" customHeight="1">
      <c r="A139" s="681" t="str">
        <f>+Section4!A42</f>
        <v>Amount due to shareholders</v>
      </c>
      <c r="B139" s="686" t="str">
        <f>IF(Control!D30=0,A452,TEXT(A457,"###,###,###,###,###,###,###,###"))</f>
        <v>Nil (2016: Nil)</v>
      </c>
      <c r="E139" s="682"/>
      <c r="J139" s="50" t="s">
        <v>1714</v>
      </c>
      <c r="K139" s="687" t="str">
        <f>IF(Control!D28=1,"N",Section4!G42)</f>
        <v>N</v>
      </c>
    </row>
    <row r="140" spans="1:12" s="50" customFormat="1" ht="17.25" customHeight="1">
      <c r="A140" s="681" t="str">
        <f>+Section4!I27</f>
        <v>Amount due from a director</v>
      </c>
      <c r="B140" s="686" t="str">
        <f>IF(Control!D30=0,A388,TEXT(A393,"###,###,###,###,###,###,###,###"))</f>
        <v>Nil (2016: Nil)</v>
      </c>
      <c r="E140" s="682"/>
      <c r="J140" s="50" t="s">
        <v>1714</v>
      </c>
      <c r="K140" s="683" t="str">
        <f>IF(Control!D28=1,"N",Section4!G27)</f>
        <v>N</v>
      </c>
    </row>
    <row r="141" spans="1:12" s="50" customFormat="1">
      <c r="A141" s="681" t="str">
        <f>+Section4!I32</f>
        <v>Amount due to a director</v>
      </c>
      <c r="B141" s="686" t="str">
        <f>IF(Control!D30=0,A372,TEXT(A377,"###,###,###,###,###,###,###,###"))</f>
        <v>316,165 (2016: 316,165)</v>
      </c>
      <c r="J141" s="50" t="s">
        <v>1714</v>
      </c>
      <c r="K141" s="683" t="str">
        <f>IF(Control!D28=1,"N",Section4!G44)</f>
        <v>N</v>
      </c>
      <c r="L141" s="50" t="s">
        <v>744</v>
      </c>
    </row>
    <row r="142" spans="1:12" s="50" customFormat="1">
      <c r="A142" s="681" t="str">
        <f>+Section4!A58</f>
        <v xml:space="preserve">  Issued capital</v>
      </c>
      <c r="B142" s="686" t="str">
        <f>IF(Control!D30=0,A380,TEXT(A385,"###,###,###,###,###,###,###,###"))</f>
        <v>Nil (2016: 1,291)</v>
      </c>
      <c r="E142" s="682"/>
      <c r="J142" s="50" t="s">
        <v>1714</v>
      </c>
      <c r="K142" s="683" t="str">
        <f>IF(Control!D28=1,"N","Y")</f>
        <v>N</v>
      </c>
      <c r="L142" s="50" t="s">
        <v>744</v>
      </c>
    </row>
    <row r="143" spans="1:12" s="50" customFormat="1">
      <c r="A143" s="681" t="str">
        <f>+Section4!A59</f>
        <v xml:space="preserve">  Other fund from a shareholder</v>
      </c>
      <c r="B143" s="686" t="str">
        <f>IF(Control!D30=0,A492,TEXT(A497,"###,###,###,###,###,###,###,###"))</f>
        <v>Nil (2016: Nil)</v>
      </c>
      <c r="E143" s="682"/>
      <c r="J143" s="50" t="s">
        <v>1714</v>
      </c>
      <c r="K143" s="687" t="str">
        <f>IF(Control!D28=1,"N",Section4!G59)</f>
        <v>N</v>
      </c>
    </row>
    <row r="144" spans="1:12" s="50" customFormat="1">
      <c r="B144" s="681"/>
      <c r="E144" s="682"/>
      <c r="I144" s="50" t="str">
        <f>IF(Control!D28=0,"table end","")</f>
        <v/>
      </c>
      <c r="J144" s="50" t="s">
        <v>1714</v>
      </c>
      <c r="K144" s="683" t="str">
        <f>IF(Control!D28=1,"N","Y")</f>
        <v>N</v>
      </c>
    </row>
    <row r="145" spans="1:12" s="50" customFormat="1">
      <c r="A145" s="681"/>
      <c r="B145" s="666"/>
      <c r="C145" s="666"/>
      <c r="D145" s="666"/>
      <c r="E145" s="682"/>
      <c r="J145" s="50" t="s">
        <v>1714</v>
      </c>
      <c r="K145" s="683" t="str">
        <f>IF(Control!D28=1,"N","Y")</f>
        <v>N</v>
      </c>
      <c r="L145" s="50" t="s">
        <v>744</v>
      </c>
    </row>
    <row r="146" spans="1:12" s="50" customFormat="1">
      <c r="A146" s="681" t="s">
        <v>745</v>
      </c>
      <c r="B146" s="666"/>
      <c r="C146" s="666"/>
      <c r="D146" s="666"/>
      <c r="E146" s="682"/>
      <c r="J146" s="50" t="s">
        <v>1714</v>
      </c>
      <c r="K146" s="683" t="str">
        <f>IF(Control!D28=1,"N","Y")</f>
        <v>N</v>
      </c>
      <c r="L146" s="50" t="s">
        <v>744</v>
      </c>
    </row>
    <row r="147" spans="1:12" s="50" customFormat="1">
      <c r="A147" s="681"/>
      <c r="B147" s="666"/>
      <c r="C147" s="666"/>
      <c r="D147" s="666"/>
      <c r="E147" s="682"/>
      <c r="J147" s="50" t="s">
        <v>1714</v>
      </c>
      <c r="K147" s="683" t="str">
        <f>IF(Control!D28=1,"N","Y")</f>
        <v>N</v>
      </c>
      <c r="L147" s="50" t="s">
        <v>744</v>
      </c>
    </row>
    <row r="148" spans="1:12" s="50" customFormat="1">
      <c r="A148" s="666">
        <v>180</v>
      </c>
      <c r="B148" s="666">
        <v>180</v>
      </c>
      <c r="D148" s="666"/>
      <c r="E148" s="682"/>
      <c r="I148" s="50" t="str">
        <f>IF(Control!D28=0,"table start","")</f>
        <v/>
      </c>
      <c r="J148" s="50" t="s">
        <v>1714</v>
      </c>
      <c r="K148" s="683">
        <v>0</v>
      </c>
    </row>
    <row r="149" spans="1:12" s="50" customFormat="1" ht="17.25" customHeight="1">
      <c r="A149" s="684" t="s">
        <v>613</v>
      </c>
      <c r="B149" s="685" t="str">
        <f>+CONCATENATE(A293,A294,A295)</f>
        <v>Amount (US$)</v>
      </c>
      <c r="D149" s="666"/>
      <c r="E149" s="682"/>
      <c r="J149" s="50" t="s">
        <v>1714</v>
      </c>
      <c r="K149" s="683" t="str">
        <f>IF(Control!D28=1,"N","Y")</f>
        <v>N</v>
      </c>
      <c r="L149" s="50" t="s">
        <v>744</v>
      </c>
    </row>
    <row r="150" spans="1:12" s="50" customFormat="1" ht="17.25" customHeight="1">
      <c r="A150" s="681" t="str">
        <f>+Section4!A30</f>
        <v>Bank balances and cash</v>
      </c>
      <c r="B150" s="686" t="str">
        <f>IF(Control!D30=0,A356,TEXT(A361,"###,###,###,###,###,###,###,###"))</f>
        <v>Nil (2016: 10,780)</v>
      </c>
      <c r="D150" s="666"/>
      <c r="E150" s="682"/>
      <c r="J150" s="50" t="s">
        <v>1714</v>
      </c>
      <c r="K150" s="683" t="str">
        <f>IF(Control!D28=1,"N","Y")</f>
        <v>N</v>
      </c>
      <c r="L150" s="50" t="s">
        <v>744</v>
      </c>
    </row>
    <row r="151" spans="1:12" s="50" customFormat="1" ht="17.25" customHeight="1">
      <c r="B151" s="681"/>
      <c r="D151" s="666"/>
      <c r="E151" s="682"/>
      <c r="I151" s="50" t="str">
        <f>IF(Control!D28=0,"table end","")</f>
        <v/>
      </c>
      <c r="J151" s="50" t="s">
        <v>1714</v>
      </c>
      <c r="K151" s="683"/>
    </row>
    <row r="152" spans="1:12" s="50" customFormat="1">
      <c r="A152" s="681"/>
      <c r="B152" s="666"/>
      <c r="C152" s="666"/>
      <c r="D152" s="666"/>
      <c r="E152" s="682"/>
      <c r="J152" s="50" t="s">
        <v>1714</v>
      </c>
      <c r="K152" s="683" t="str">
        <f>IF(Control!D28=1,"N","Y")</f>
        <v>N</v>
      </c>
      <c r="L152" s="50" t="s">
        <v>744</v>
      </c>
    </row>
    <row r="153" spans="1:12" s="50" customFormat="1">
      <c r="A153" s="688" t="s">
        <v>746</v>
      </c>
      <c r="B153" s="666"/>
      <c r="C153" s="666"/>
      <c r="D153" s="666"/>
      <c r="E153" s="682"/>
      <c r="J153" s="50" t="s">
        <v>1714</v>
      </c>
      <c r="K153" s="683" t="str">
        <f>IF(Control!D28=1,"N","Y")</f>
        <v>N</v>
      </c>
      <c r="L153" s="50" t="s">
        <v>744</v>
      </c>
    </row>
    <row r="154" spans="1:12" s="50" customFormat="1">
      <c r="A154" s="681"/>
      <c r="B154" s="666"/>
      <c r="C154" s="666"/>
      <c r="D154" s="666"/>
      <c r="E154" s="682"/>
      <c r="J154" s="50" t="s">
        <v>1714</v>
      </c>
      <c r="K154" s="683" t="str">
        <f>IF(Control!D28=1,"N","Y")</f>
        <v>N</v>
      </c>
      <c r="L154" s="50" t="s">
        <v>744</v>
      </c>
    </row>
    <row r="155" spans="1:12" s="50" customFormat="1">
      <c r="A155" s="681" t="s">
        <v>747</v>
      </c>
      <c r="B155" s="666"/>
      <c r="C155" s="666"/>
      <c r="D155" s="666"/>
      <c r="E155" s="682"/>
      <c r="J155" s="50" t="s">
        <v>1714</v>
      </c>
      <c r="K155" s="683" t="str">
        <f>IF(Control!D28=1,"N","Y")</f>
        <v>N</v>
      </c>
      <c r="L155" s="50" t="s">
        <v>744</v>
      </c>
    </row>
    <row r="156" spans="1:12" s="50" customFormat="1">
      <c r="A156" s="681"/>
      <c r="B156" s="666"/>
      <c r="C156" s="666"/>
      <c r="D156" s="666"/>
      <c r="E156" s="682"/>
      <c r="J156" s="50" t="s">
        <v>1714</v>
      </c>
      <c r="K156" s="683" t="str">
        <f>IF(Control!D28=1,"N","Y")</f>
        <v>N</v>
      </c>
      <c r="L156" s="50" t="s">
        <v>744</v>
      </c>
    </row>
    <row r="157" spans="1:12" s="50" customFormat="1">
      <c r="A157" s="688" t="str">
        <f>+CONCATENATE(M164,N164)</f>
        <v>Report on other matters under the Hong Kong Companies Ordinance, Cap. 32</v>
      </c>
      <c r="B157" s="666"/>
      <c r="C157" s="666"/>
      <c r="D157" s="666"/>
      <c r="E157" s="682"/>
      <c r="J157" s="50" t="s">
        <v>1714</v>
      </c>
      <c r="K157" s="683" t="str">
        <f>IF(Control!D28=1,"N",IF(J162="Y","N","Y"))</f>
        <v>N</v>
      </c>
      <c r="L157" s="50" t="s">
        <v>744</v>
      </c>
    </row>
    <row r="158" spans="1:12" s="50" customFormat="1">
      <c r="A158" s="681"/>
      <c r="B158" s="666"/>
      <c r="C158" s="666"/>
      <c r="D158" s="666"/>
      <c r="E158" s="682"/>
      <c r="J158" s="50" t="s">
        <v>1714</v>
      </c>
      <c r="K158" s="683" t="str">
        <f>IF(Control!D28=1,"N","Y")</f>
        <v>N</v>
      </c>
      <c r="L158" s="50" t="s">
        <v>744</v>
      </c>
    </row>
    <row r="159" spans="1:12" s="360" customFormat="1">
      <c r="A159" s="359"/>
      <c r="B159" s="303"/>
      <c r="C159" s="303"/>
      <c r="D159" s="303"/>
      <c r="E159" s="351"/>
      <c r="J159" s="361" t="str">
        <f>+J160</f>
        <v>Y</v>
      </c>
      <c r="K159" s="361"/>
    </row>
    <row r="160" spans="1:12" s="360" customFormat="1">
      <c r="A160" s="359" t="str">
        <f>+A157</f>
        <v>Report on other matters under the Hong Kong Companies Ordinance, Cap. 32</v>
      </c>
      <c r="B160" s="303"/>
      <c r="C160" s="303"/>
      <c r="D160" s="303"/>
      <c r="E160" s="351"/>
      <c r="J160" s="361" t="str">
        <f>IF(K157="Y","N",J164)</f>
        <v>Y</v>
      </c>
      <c r="K160" s="360" t="s">
        <v>1171</v>
      </c>
    </row>
    <row r="161" spans="1:18" s="360" customFormat="1">
      <c r="A161" s="359"/>
      <c r="B161" s="303"/>
      <c r="C161" s="303"/>
      <c r="D161" s="303"/>
      <c r="E161" s="351"/>
      <c r="J161" s="361" t="str">
        <f>+J160</f>
        <v>Y</v>
      </c>
    </row>
    <row r="162" spans="1:18" s="360" customFormat="1">
      <c r="A162" s="359" t="str">
        <f>+A157</f>
        <v>Report on other matters under the Hong Kong Companies Ordinance, Cap. 32</v>
      </c>
      <c r="B162" s="303"/>
      <c r="C162" s="303"/>
      <c r="D162" s="303"/>
      <c r="E162" s="351"/>
      <c r="J162" s="361" t="str">
        <f>+J166</f>
        <v>N</v>
      </c>
      <c r="K162" s="360" t="s">
        <v>1706</v>
      </c>
    </row>
    <row r="163" spans="1:18" s="360" customFormat="1">
      <c r="A163" s="359"/>
      <c r="B163" s="303"/>
      <c r="C163" s="303"/>
      <c r="D163" s="303"/>
      <c r="E163" s="351"/>
      <c r="J163" s="361" t="str">
        <f>+J162</f>
        <v>N</v>
      </c>
    </row>
    <row r="164" spans="1:18">
      <c r="A164" s="445" t="s">
        <v>1257</v>
      </c>
      <c r="B164" s="168"/>
      <c r="C164" s="168"/>
      <c r="D164" s="168"/>
      <c r="E164" s="170"/>
      <c r="J164" s="48" t="str">
        <f>+IF(AND(Control!D13&gt;=18,Control!D14&gt;=0,(Control!D13+Control!D14)&gt;=19),"Y","N")</f>
        <v>Y</v>
      </c>
      <c r="K164" s="1" t="s">
        <v>1710</v>
      </c>
      <c r="M164" s="130" t="s">
        <v>748</v>
      </c>
      <c r="N164" s="1" t="str">
        <f>+IF(M82&gt;0,"622","32")</f>
        <v>32</v>
      </c>
    </row>
    <row r="165" spans="1:18">
      <c r="A165" s="490"/>
      <c r="B165" s="168"/>
      <c r="C165" s="168"/>
      <c r="D165" s="168"/>
      <c r="E165" s="170"/>
      <c r="J165" s="48" t="str">
        <f>+J164</f>
        <v>Y</v>
      </c>
      <c r="K165" s="130"/>
    </row>
    <row r="166" spans="1:18">
      <c r="A166" s="490" t="s">
        <v>1258</v>
      </c>
      <c r="B166" s="168"/>
      <c r="C166" s="168"/>
      <c r="D166" s="168"/>
      <c r="E166" s="170"/>
      <c r="J166" s="48" t="str">
        <f>IF(Control!D30=1,"N",IF(AND(Control!G13&gt;=18,Control!G14&gt;=0,(Control!G13+Control!G14)&gt;=19),"Y","N"))</f>
        <v>N</v>
      </c>
      <c r="K166" s="1" t="s">
        <v>1256</v>
      </c>
    </row>
    <row r="167" spans="1:18">
      <c r="A167" s="445"/>
      <c r="B167" s="168"/>
      <c r="C167" s="168"/>
      <c r="D167" s="168"/>
      <c r="E167" s="170"/>
      <c r="J167" s="48" t="str">
        <f>+J166</f>
        <v>N</v>
      </c>
      <c r="K167" s="130"/>
    </row>
    <row r="168" spans="1:18" s="50" customFormat="1">
      <c r="A168" s="681" t="s">
        <v>749</v>
      </c>
      <c r="B168" s="666"/>
      <c r="C168" s="666"/>
      <c r="D168" s="666"/>
      <c r="E168" s="682"/>
      <c r="J168" s="50" t="s">
        <v>1714</v>
      </c>
      <c r="K168" s="683" t="str">
        <f>IF(Control!D28=1,"N","Y")</f>
        <v>N</v>
      </c>
      <c r="L168" s="50" t="s">
        <v>744</v>
      </c>
    </row>
    <row r="169" spans="1:18" s="50" customFormat="1">
      <c r="A169" s="681"/>
      <c r="B169" s="666"/>
      <c r="C169" s="666"/>
      <c r="D169" s="666"/>
      <c r="E169" s="682"/>
      <c r="J169" s="50" t="s">
        <v>1714</v>
      </c>
      <c r="K169" s="683" t="str">
        <f>IF(Control!D28=1,"N","Y")</f>
        <v>N</v>
      </c>
      <c r="L169" s="50" t="s">
        <v>744</v>
      </c>
    </row>
    <row r="170" spans="1:18" s="50" customFormat="1">
      <c r="A170" s="681" t="s">
        <v>750</v>
      </c>
      <c r="B170" s="666"/>
      <c r="C170" s="666"/>
      <c r="D170" s="666"/>
      <c r="E170" s="682"/>
      <c r="J170" s="50" t="s">
        <v>1714</v>
      </c>
      <c r="K170" s="683" t="str">
        <f>IF(Control!D28=1,"N","Y")</f>
        <v>N</v>
      </c>
      <c r="L170" s="50" t="s">
        <v>744</v>
      </c>
    </row>
    <row r="171" spans="1:18" s="50" customFormat="1">
      <c r="A171" s="681"/>
      <c r="B171" s="666"/>
      <c r="C171" s="666"/>
      <c r="D171" s="666"/>
      <c r="E171" s="682"/>
      <c r="J171" s="50" t="s">
        <v>1714</v>
      </c>
      <c r="K171" s="683" t="str">
        <f>IF(Control!D28=1,"N","Y")</f>
        <v>N</v>
      </c>
      <c r="L171" s="50" t="s">
        <v>744</v>
      </c>
    </row>
    <row r="172" spans="1:18" s="50" customFormat="1">
      <c r="A172" s="681" t="s">
        <v>751</v>
      </c>
      <c r="B172" s="666"/>
      <c r="C172" s="666"/>
      <c r="D172" s="666"/>
      <c r="E172" s="682"/>
      <c r="J172" s="50" t="s">
        <v>1714</v>
      </c>
      <c r="K172" s="683" t="str">
        <f>IF(Control!D28=1,"N","Y")</f>
        <v>N</v>
      </c>
      <c r="L172" s="50" t="s">
        <v>744</v>
      </c>
    </row>
    <row r="173" spans="1:18">
      <c r="A173" s="445"/>
      <c r="B173" s="168"/>
      <c r="C173" s="168"/>
      <c r="D173" s="168"/>
      <c r="E173" s="170"/>
      <c r="J173" s="48" t="s">
        <v>672</v>
      </c>
      <c r="K173" s="1" t="s">
        <v>752</v>
      </c>
    </row>
    <row r="174" spans="1:18">
      <c r="A174" s="164" t="s">
        <v>1560</v>
      </c>
      <c r="B174" s="168"/>
      <c r="C174" s="168"/>
      <c r="D174" s="168"/>
      <c r="E174" s="170"/>
      <c r="J174" s="48" t="str">
        <f>+IF(Control!D17=1,"Y","N")</f>
        <v>N</v>
      </c>
    </row>
    <row r="175" spans="1:18">
      <c r="A175" s="445"/>
      <c r="B175" s="168"/>
      <c r="C175" s="168"/>
      <c r="D175" s="168"/>
      <c r="E175" s="170"/>
      <c r="J175" s="48" t="str">
        <f>+J174</f>
        <v>N</v>
      </c>
      <c r="L175" s="586">
        <f>-Section4!C61</f>
        <v>-9849</v>
      </c>
      <c r="P175" s="586">
        <f>-Section4!E61</f>
        <v>-11140</v>
      </c>
    </row>
    <row r="176" spans="1:18">
      <c r="A176" s="445" t="str">
        <f>+CONCATENATE(K176,L176,M176,N176,O176,P176,Q176)</f>
        <v>In forming our opinion, we have considered the adequacy of the disclosures made in the financial statements concerning the basis of preparation of the financial statements. At the balance sheet date, the Company had net liabilities of HK$-9,849 (2016: HK$-11,140).</v>
      </c>
      <c r="B176" s="168"/>
      <c r="C176" s="168"/>
      <c r="D176" s="168"/>
      <c r="E176" s="170"/>
      <c r="J176" s="48" t="str">
        <f>+IF(J178="Y","N",(IF(Control!D30=1,"N",(IF(Control!D17=1,"Y","N")))))</f>
        <v>N</v>
      </c>
      <c r="K176" s="1" t="s">
        <v>1566</v>
      </c>
      <c r="L176" s="585" t="str">
        <f>TEXT(L175,"###,###,###,###,###,###,###,###")</f>
        <v>-9,849</v>
      </c>
      <c r="M176" s="1" t="s">
        <v>1564</v>
      </c>
      <c r="N176" s="1" t="str">
        <f>+RIGHT(Control!H13,4)</f>
        <v>2016</v>
      </c>
      <c r="O176" s="1" t="s">
        <v>1561</v>
      </c>
      <c r="P176" s="585" t="str">
        <f>TEXT(P175,"###,###,###,###,###,###,###,###")</f>
        <v>-11,140</v>
      </c>
      <c r="Q176" s="1" t="s">
        <v>1562</v>
      </c>
      <c r="R176" s="1" t="s">
        <v>1565</v>
      </c>
    </row>
    <row r="177" spans="1:16">
      <c r="A177" s="584" t="str">
        <f>+CONCATENATE(K176,P176,R176)</f>
        <v>In forming our opinion, we have considered the adequacy of the disclosures made in the financial statements concerning the basis of preparation of the financial statements. At the balance sheet date, the Company had net liabilities of HK$-11,140.</v>
      </c>
      <c r="B177" s="168"/>
      <c r="C177" s="168"/>
      <c r="D177" s="168"/>
      <c r="E177" s="170"/>
      <c r="J177" s="48" t="str">
        <f>+IF(J178="Y","N",(IF(Control!D30=0,"N",(IF(Control!D17=1,"Y","N")))))</f>
        <v>N</v>
      </c>
      <c r="L177" s="585"/>
      <c r="P177" s="585"/>
    </row>
    <row r="178" spans="1:16">
      <c r="A178" s="584" t="s">
        <v>1567</v>
      </c>
      <c r="B178" s="168"/>
      <c r="C178" s="168"/>
      <c r="D178" s="168"/>
      <c r="E178" s="170"/>
      <c r="J178" s="48" t="str">
        <f>+IF(AND(Section4!I56+Section4!K56=2,Control!D17=1),"Y","N")</f>
        <v>N</v>
      </c>
      <c r="L178" s="585"/>
      <c r="P178" s="585"/>
    </row>
    <row r="179" spans="1:16">
      <c r="A179" s="584"/>
      <c r="B179" s="168"/>
      <c r="C179" s="168"/>
      <c r="D179" s="168"/>
      <c r="E179" s="170"/>
      <c r="J179" s="48" t="str">
        <f>+J174</f>
        <v>N</v>
      </c>
      <c r="L179" s="585"/>
      <c r="P179" s="585"/>
    </row>
    <row r="180" spans="1:16">
      <c r="A180" s="584" t="str">
        <f>+CONCATENATE(K180)</f>
        <v>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v>
      </c>
      <c r="B180" s="168"/>
      <c r="C180" s="168"/>
      <c r="D180" s="168"/>
      <c r="E180" s="170"/>
      <c r="J180" s="48" t="str">
        <f>+J174</f>
        <v>N</v>
      </c>
      <c r="K180" s="1" t="s">
        <v>1563</v>
      </c>
      <c r="L180" s="585"/>
      <c r="P180" s="585"/>
    </row>
    <row r="181" spans="1:16">
      <c r="A181" s="584"/>
      <c r="B181" s="168"/>
      <c r="C181" s="168"/>
      <c r="D181" s="168"/>
      <c r="E181" s="170"/>
      <c r="J181" s="48" t="s">
        <v>3</v>
      </c>
      <c r="L181" s="585"/>
      <c r="P181" s="585"/>
    </row>
    <row r="182" spans="1:16" s="39" customFormat="1">
      <c r="A182" s="175" t="s">
        <v>610</v>
      </c>
      <c r="B182" s="462"/>
      <c r="C182" s="462"/>
      <c r="D182" s="462"/>
      <c r="E182" s="462"/>
      <c r="F182" s="462"/>
      <c r="G182" s="462"/>
      <c r="H182" s="462"/>
      <c r="I182" s="48"/>
      <c r="J182" s="48" t="str">
        <f>+IF(Control!D17=1,"N",(IF(L183=1,IF(L184=0,"Y","N"),IF(L185=0,"Y","N"))))</f>
        <v>N</v>
      </c>
      <c r="K182" s="1" t="s">
        <v>610</v>
      </c>
    </row>
    <row r="183" spans="1:16" s="39" customFormat="1">
      <c r="A183" s="462"/>
      <c r="B183" s="462"/>
      <c r="C183" s="462"/>
      <c r="D183" s="462"/>
      <c r="E183" s="462"/>
      <c r="F183" s="462"/>
      <c r="G183" s="462"/>
      <c r="H183" s="462"/>
      <c r="I183" s="462"/>
      <c r="J183" s="48" t="str">
        <f>+J182</f>
        <v>N</v>
      </c>
      <c r="K183" s="1" t="s">
        <v>610</v>
      </c>
      <c r="L183" s="39">
        <f>+Control!D30</f>
        <v>0</v>
      </c>
      <c r="M183" s="39" t="s">
        <v>1177</v>
      </c>
    </row>
    <row r="184" spans="1:16" s="39" customFormat="1" ht="13.5" customHeight="1">
      <c r="A184" s="263" t="str">
        <f>+CONCATENATE(A247,A248,TEXT(A249,"###,###,###,###,###,###,###,###"),A250,A251,A252,A253,TEXT(A254,"###,###,###,###,###,###,###,###"),A255,A256,A257,A258,A259)</f>
        <v>In forming our opinion, we have considered the adequacy of the disclosures made in the financial statements concerning the basis of preparation of the financial statements. At the balance sheet date, the Company had net liabilities of US$Nil (2016: US$Nil).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B184" s="176"/>
      <c r="C184" s="176"/>
      <c r="D184" s="176"/>
      <c r="E184" s="176"/>
      <c r="F184" s="176"/>
      <c r="G184" s="176"/>
      <c r="H184" s="176"/>
      <c r="I184" s="176"/>
      <c r="J184" s="48" t="str">
        <f>+J182</f>
        <v>N</v>
      </c>
      <c r="K184" s="1" t="s">
        <v>610</v>
      </c>
      <c r="L184" s="39">
        <f>IF(Section4!E61&gt;0,1,0)</f>
        <v>1</v>
      </c>
      <c r="M184" s="39" t="s">
        <v>1175</v>
      </c>
    </row>
    <row r="185" spans="1:16" s="39" customFormat="1">
      <c r="A185" s="176"/>
      <c r="B185" s="176"/>
      <c r="C185" s="176"/>
      <c r="D185" s="176"/>
      <c r="E185" s="176"/>
      <c r="F185" s="176"/>
      <c r="G185" s="176"/>
      <c r="H185" s="176"/>
      <c r="I185" s="176"/>
      <c r="J185" s="48" t="str">
        <f>+J182</f>
        <v>N</v>
      </c>
      <c r="K185" s="1" t="s">
        <v>610</v>
      </c>
      <c r="L185" s="39">
        <f>IF(AND(Section4!C61&gt;0,Section4!E61&gt;0)=TRUE,1,0)</f>
        <v>1</v>
      </c>
      <c r="M185" s="39" t="s">
        <v>1176</v>
      </c>
    </row>
    <row r="186" spans="1:16">
      <c r="A186" s="584"/>
      <c r="B186" s="168"/>
      <c r="C186" s="168"/>
      <c r="D186" s="168"/>
      <c r="E186" s="170"/>
      <c r="J186" s="48" t="s">
        <v>3</v>
      </c>
      <c r="L186" s="585"/>
      <c r="P186" s="585"/>
    </row>
    <row r="187" spans="1:16">
      <c r="A187" s="584"/>
      <c r="B187" s="168"/>
      <c r="C187" s="168"/>
      <c r="D187" s="168"/>
      <c r="E187" s="170"/>
      <c r="J187" s="48" t="s">
        <v>3</v>
      </c>
      <c r="L187" s="585"/>
      <c r="P187" s="585"/>
    </row>
    <row r="188" spans="1:16">
      <c r="A188" s="445"/>
      <c r="B188" s="168"/>
      <c r="C188" s="168"/>
      <c r="D188" s="168"/>
      <c r="E188" s="170"/>
      <c r="J188" s="48" t="s">
        <v>3</v>
      </c>
    </row>
    <row r="189" spans="1:16">
      <c r="A189" s="445"/>
      <c r="B189" s="168"/>
      <c r="C189" s="168"/>
      <c r="D189" s="168"/>
      <c r="E189" s="170"/>
      <c r="J189" s="48" t="s">
        <v>3</v>
      </c>
    </row>
    <row r="190" spans="1:16">
      <c r="A190" s="43" t="str">
        <f>+Control!D136</f>
        <v>Matthew S.H. Law</v>
      </c>
      <c r="B190" s="168"/>
      <c r="C190" s="168"/>
      <c r="D190" s="168"/>
      <c r="E190" s="170"/>
      <c r="J190" s="48" t="s">
        <v>672</v>
      </c>
      <c r="K190" s="1" t="s">
        <v>752</v>
      </c>
    </row>
    <row r="191" spans="1:16">
      <c r="A191" s="43" t="str">
        <f>+Control!D137</f>
        <v>Certified Public Accountant (Practising)</v>
      </c>
      <c r="B191" s="168"/>
      <c r="C191" s="168"/>
      <c r="D191" s="168"/>
      <c r="E191" s="170"/>
      <c r="J191" s="48" t="s">
        <v>672</v>
      </c>
      <c r="K191" s="1" t="s">
        <v>752</v>
      </c>
    </row>
    <row r="192" spans="1:16">
      <c r="A192" s="489" t="str">
        <f>+M192</f>
        <v>Law Shing Hei</v>
      </c>
      <c r="B192" s="508"/>
      <c r="C192" s="508"/>
      <c r="D192" s="508"/>
      <c r="E192" s="510"/>
      <c r="J192" s="48" t="str">
        <f>+IF(Control!K135+Control!N135=0,"Y","N")</f>
        <v>N</v>
      </c>
      <c r="K192" s="1" t="s">
        <v>752</v>
      </c>
      <c r="L192" s="1" t="s">
        <v>1238</v>
      </c>
      <c r="M192" s="1" t="str">
        <f>+Control!D139</f>
        <v>Law Shing Hei</v>
      </c>
    </row>
    <row r="193" spans="1:13">
      <c r="A193" s="489" t="str">
        <f>+CONCATENATE(L193,M193)</f>
        <v>Practising Certificate No.: P06530</v>
      </c>
      <c r="B193" s="508"/>
      <c r="C193" s="508"/>
      <c r="D193" s="508"/>
      <c r="E193" s="510"/>
      <c r="J193" s="48" t="s">
        <v>672</v>
      </c>
      <c r="K193" s="1" t="s">
        <v>752</v>
      </c>
      <c r="L193" s="1" t="s">
        <v>1239</v>
      </c>
      <c r="M193" s="1" t="str">
        <f>+Control!D140</f>
        <v>P06530</v>
      </c>
    </row>
    <row r="194" spans="1:13">
      <c r="A194" s="190" t="s">
        <v>638</v>
      </c>
      <c r="B194" s="168"/>
      <c r="C194" s="168"/>
      <c r="D194" s="168"/>
      <c r="E194" s="170"/>
      <c r="J194" s="48" t="s">
        <v>672</v>
      </c>
      <c r="K194" s="1" t="s">
        <v>752</v>
      </c>
    </row>
    <row r="195" spans="1:13">
      <c r="I195" s="1" t="s">
        <v>729</v>
      </c>
    </row>
    <row r="198" spans="1:13" s="50" customFormat="1">
      <c r="A198" s="173" t="s">
        <v>639</v>
      </c>
      <c r="L198" s="50" t="s">
        <v>640</v>
      </c>
    </row>
    <row r="199" spans="1:13" s="50" customFormat="1">
      <c r="A199" s="173" t="s">
        <v>641</v>
      </c>
    </row>
    <row r="200" spans="1:13" s="50" customFormat="1">
      <c r="A200" s="173" t="s">
        <v>642</v>
      </c>
    </row>
    <row r="201" spans="1:13" s="50" customFormat="1">
      <c r="A201" s="173" t="s">
        <v>643</v>
      </c>
    </row>
    <row r="202" spans="1:13">
      <c r="A202" s="161"/>
    </row>
    <row r="203" spans="1:13">
      <c r="A203" s="161"/>
    </row>
    <row r="204" spans="1:13" s="50" customFormat="1">
      <c r="A204" s="173" t="s">
        <v>644</v>
      </c>
    </row>
    <row r="205" spans="1:13" s="50" customFormat="1">
      <c r="A205" s="173" t="str">
        <f>+IF(Control!D95=1,"SOLE SHAREHOLDER","SHAREHOLDERS")</f>
        <v>SOLE SHAREHOLDER</v>
      </c>
    </row>
    <row r="206" spans="1:13" s="50" customFormat="1">
      <c r="A206" s="173" t="s">
        <v>645</v>
      </c>
    </row>
    <row r="207" spans="1:13">
      <c r="A207" s="161"/>
    </row>
    <row r="208" spans="1:13" s="50" customFormat="1">
      <c r="A208" s="173" t="str">
        <f>+IF(Control!D78=1,"Director's","Directors'")</f>
        <v>Director's</v>
      </c>
    </row>
    <row r="209" spans="1:1" s="50" customFormat="1">
      <c r="A209" s="173" t="s">
        <v>646</v>
      </c>
    </row>
    <row r="210" spans="1:1">
      <c r="A210" s="161"/>
    </row>
    <row r="211" spans="1:1" s="50" customFormat="1">
      <c r="A211" s="173" t="str">
        <f>+IF(Control!D78=1,"The director","The directors")</f>
        <v>The director</v>
      </c>
    </row>
    <row r="212" spans="1:1" s="50" customFormat="1">
      <c r="A212" s="173" t="str">
        <f>+IF(Control!D78=1," is"," are")</f>
        <v xml:space="preserve"> is</v>
      </c>
    </row>
    <row r="213" spans="1:1" s="50" customFormat="1">
      <c r="A213" s="173" t="s">
        <v>647</v>
      </c>
    </row>
    <row r="214" spans="1:1" s="50" customFormat="1">
      <c r="A214" s="173" t="str">
        <f>+IF(Control!D78=1,"director","directors")</f>
        <v>director</v>
      </c>
    </row>
    <row r="215" spans="1:1" s="50" customFormat="1">
      <c r="A215" s="173" t="str">
        <f>+IF(Control!D78=1," determines"," determine")</f>
        <v xml:space="preserve"> determines</v>
      </c>
    </row>
    <row r="216" spans="1:1" s="50" customFormat="1">
      <c r="A216" s="173" t="s">
        <v>648</v>
      </c>
    </row>
    <row r="217" spans="1:1">
      <c r="A217" s="161"/>
    </row>
    <row r="218" spans="1:1" s="50" customFormat="1">
      <c r="A218" s="173" t="s">
        <v>707</v>
      </c>
    </row>
    <row r="219" spans="1:1" s="50" customFormat="1">
      <c r="A219" s="173" t="str">
        <f>+IF(Control!D78=1,"director","directors")</f>
        <v>director</v>
      </c>
    </row>
    <row r="220" spans="1:1" s="50" customFormat="1">
      <c r="A220" s="173" t="s">
        <v>172</v>
      </c>
    </row>
    <row r="221" spans="1:1" s="50" customFormat="1">
      <c r="A221" s="173" t="str">
        <f>+IF(Control!D78=1,"is","are")</f>
        <v>is</v>
      </c>
    </row>
    <row r="222" spans="1:1" s="50" customFormat="1">
      <c r="A222" s="173" t="s">
        <v>753</v>
      </c>
    </row>
    <row r="223" spans="1:1">
      <c r="A223" s="161"/>
    </row>
    <row r="224" spans="1:1" s="50" customFormat="1">
      <c r="A224" s="173" t="s">
        <v>649</v>
      </c>
    </row>
    <row r="225" spans="1:1" s="50" customFormat="1">
      <c r="A225" s="173" t="str">
        <f>+Control!D3</f>
        <v>MIC INCORPORATION LIMITED </v>
      </c>
    </row>
    <row r="226" spans="1:1" s="50" customFormat="1">
      <c r="A226" s="173" t="s">
        <v>650</v>
      </c>
    </row>
    <row r="227" spans="1:1" s="50" customFormat="1">
      <c r="A227" s="173">
        <v>4</v>
      </c>
    </row>
    <row r="228" spans="1:1" s="50" customFormat="1">
      <c r="A228" s="173" t="s">
        <v>651</v>
      </c>
    </row>
    <row r="229" spans="1:1" s="50" customFormat="1">
      <c r="A229" s="173">
        <v>9</v>
      </c>
    </row>
    <row r="230" spans="1:1" s="50" customFormat="1">
      <c r="A230" s="173" t="s">
        <v>652</v>
      </c>
    </row>
    <row r="231" spans="1:1" s="50" customFormat="1">
      <c r="A231" s="173" t="s">
        <v>1476</v>
      </c>
    </row>
    <row r="232" spans="1:1" s="50" customFormat="1">
      <c r="A232" s="173" t="s">
        <v>654</v>
      </c>
    </row>
    <row r="233" spans="1:1" s="50" customFormat="1">
      <c r="A233" s="173" t="str">
        <f>+Control!D6</f>
        <v>31 December, 2016</v>
      </c>
    </row>
    <row r="234" spans="1:1" s="50" customFormat="1">
      <c r="A234" s="173" t="s">
        <v>655</v>
      </c>
    </row>
    <row r="235" spans="1:1" s="50" customFormat="1">
      <c r="A235" s="173" t="s">
        <v>656</v>
      </c>
    </row>
    <row r="236" spans="1:1" s="50" customFormat="1">
      <c r="A236" s="173" t="s">
        <v>657</v>
      </c>
    </row>
    <row r="237" spans="1:1" s="50" customFormat="1">
      <c r="A237" s="173" t="s">
        <v>658</v>
      </c>
    </row>
    <row r="238" spans="1:1" s="50" customFormat="1">
      <c r="A238" s="173" t="s">
        <v>659</v>
      </c>
    </row>
    <row r="239" spans="1:1" s="50" customFormat="1">
      <c r="A239" s="173" t="str">
        <f>+LOWER(Control!D9)</f>
        <v>period</v>
      </c>
    </row>
    <row r="240" spans="1:1" s="50" customFormat="1">
      <c r="A240" s="173" t="s">
        <v>660</v>
      </c>
    </row>
    <row r="241" spans="1:3" s="50" customFormat="1">
      <c r="A241" s="173" t="str">
        <f>+Control!D6</f>
        <v>31 December, 2016</v>
      </c>
    </row>
    <row r="242" spans="1:3" s="50" customFormat="1">
      <c r="A242" s="173" t="s">
        <v>661</v>
      </c>
    </row>
    <row r="243" spans="1:3">
      <c r="A243" s="161"/>
    </row>
    <row r="244" spans="1:3">
      <c r="A244" s="161"/>
    </row>
    <row r="245" spans="1:3">
      <c r="A245" s="161"/>
    </row>
    <row r="246" spans="1:3">
      <c r="A246" s="161"/>
    </row>
    <row r="247" spans="1:3" s="50" customFormat="1">
      <c r="A247" s="173" t="s">
        <v>662</v>
      </c>
    </row>
    <row r="248" spans="1:3" s="50" customFormat="1">
      <c r="A248" s="173" t="str">
        <f>+Control!D68</f>
        <v>US$</v>
      </c>
    </row>
    <row r="249" spans="1:3" s="50" customFormat="1">
      <c r="A249" s="306" t="str">
        <f>+Section6!Q26</f>
        <v>Nil</v>
      </c>
      <c r="B249" s="306"/>
      <c r="C249" s="306"/>
    </row>
    <row r="250" spans="1:3" s="50" customFormat="1">
      <c r="A250" s="173" t="str">
        <f>+IF(Control!D30=0," (","")</f>
        <v xml:space="preserve"> (</v>
      </c>
    </row>
    <row r="251" spans="1:3" s="50" customFormat="1">
      <c r="A251" s="306" t="str">
        <f>+Section6!S26</f>
        <v>2016</v>
      </c>
      <c r="B251" s="306"/>
      <c r="C251" s="306"/>
    </row>
    <row r="252" spans="1:3" s="50" customFormat="1">
      <c r="A252" s="173" t="str">
        <f>+IF(Control!D30=0,": ","")</f>
        <v xml:space="preserve">: </v>
      </c>
    </row>
    <row r="253" spans="1:3" s="50" customFormat="1">
      <c r="A253" s="173" t="str">
        <f>+IF(Control!D30=0,Control!D68,"")</f>
        <v>US$</v>
      </c>
    </row>
    <row r="254" spans="1:3" s="50" customFormat="1">
      <c r="A254" s="306" t="str">
        <f>+Section6!W26</f>
        <v>Nil</v>
      </c>
      <c r="B254" s="306"/>
      <c r="C254" s="306"/>
    </row>
    <row r="255" spans="1:3" s="50" customFormat="1">
      <c r="A255" s="173" t="str">
        <f>+IF(Control!D30=0,").  The ",". The ")</f>
        <v xml:space="preserve">).  The </v>
      </c>
    </row>
    <row r="256" spans="1:3" s="50" customFormat="1">
      <c r="A256" s="173" t="str">
        <f>+IF(Control!D95=1,"shareholder","shareholders")</f>
        <v>shareholder</v>
      </c>
    </row>
    <row r="257" spans="1:1" s="50" customFormat="1">
      <c r="A257" s="173" t="s">
        <v>267</v>
      </c>
    </row>
    <row r="258" spans="1:1" s="50" customFormat="1">
      <c r="A258" s="173" t="str">
        <f>+Control!D97</f>
        <v>his</v>
      </c>
    </row>
    <row r="259" spans="1:1" s="50" customFormat="1">
      <c r="A259" s="173" t="s">
        <v>666</v>
      </c>
    </row>
    <row r="260" spans="1:1">
      <c r="A260" s="161"/>
    </row>
    <row r="261" spans="1:1">
      <c r="A261" s="161"/>
    </row>
    <row r="262" spans="1:1" s="50" customFormat="1">
      <c r="A262" s="173" t="s">
        <v>754</v>
      </c>
    </row>
    <row r="263" spans="1:1" s="50" customFormat="1">
      <c r="A263" s="173" t="str">
        <f>+LOWER(Control!D9)</f>
        <v>period</v>
      </c>
    </row>
    <row r="264" spans="1:1" s="50" customFormat="1">
      <c r="A264" s="173" t="s">
        <v>660</v>
      </c>
    </row>
    <row r="265" spans="1:1" s="50" customFormat="1">
      <c r="A265" s="173" t="str">
        <f>+Control!D6</f>
        <v>31 December, 2016</v>
      </c>
    </row>
    <row r="266" spans="1:1" s="50" customFormat="1">
      <c r="A266" s="173" t="s">
        <v>1477</v>
      </c>
    </row>
    <row r="267" spans="1:1" s="50" customFormat="1">
      <c r="A267" s="173" t="str">
        <f>+Control!D6</f>
        <v>31 December, 2016</v>
      </c>
    </row>
    <row r="268" spans="1:1" s="50" customFormat="1">
      <c r="A268" s="173" t="s">
        <v>755</v>
      </c>
    </row>
    <row r="269" spans="1:1" s="50" customFormat="1">
      <c r="A269" s="173"/>
    </row>
    <row r="270" spans="1:1" s="50" customFormat="1">
      <c r="A270" s="173"/>
    </row>
    <row r="272" spans="1:1" s="50" customFormat="1">
      <c r="A272" s="50" t="s">
        <v>754</v>
      </c>
    </row>
    <row r="273" spans="1:1" s="50" customFormat="1">
      <c r="A273" s="50" t="str">
        <f>+LOWER(Control!D9)</f>
        <v>period</v>
      </c>
    </row>
    <row r="274" spans="1:1" s="50" customFormat="1">
      <c r="A274" s="50" t="s">
        <v>660</v>
      </c>
    </row>
    <row r="275" spans="1:1" s="50" customFormat="1">
      <c r="A275" s="50" t="str">
        <f>+Control!D6</f>
        <v>31 December, 2016</v>
      </c>
    </row>
    <row r="276" spans="1:1" s="50" customFormat="1">
      <c r="A276" s="50" t="s">
        <v>756</v>
      </c>
    </row>
    <row r="277" spans="1:1" s="50" customFormat="1">
      <c r="A277" s="50" t="s">
        <v>1253</v>
      </c>
    </row>
    <row r="279" spans="1:1" s="50" customFormat="1">
      <c r="A279" s="50" t="s">
        <v>757</v>
      </c>
    </row>
    <row r="280" spans="1:1" s="50" customFormat="1">
      <c r="A280" s="50" t="str">
        <f>+IF(Control!D78=1,"director","directors")</f>
        <v>director</v>
      </c>
    </row>
    <row r="281" spans="1:1" s="50" customFormat="1">
      <c r="A281" s="50" t="s">
        <v>758</v>
      </c>
    </row>
    <row r="283" spans="1:1" s="50" customFormat="1">
      <c r="A283" s="50" t="s">
        <v>667</v>
      </c>
    </row>
    <row r="284" spans="1:1" s="50" customFormat="1">
      <c r="A284" s="50" t="str">
        <f>+Section3!I36</f>
        <v>profit</v>
      </c>
    </row>
    <row r="285" spans="1:1" s="50" customFormat="1">
      <c r="A285" s="50" t="s">
        <v>659</v>
      </c>
    </row>
    <row r="286" spans="1:1" s="50" customFormat="1">
      <c r="A286" s="50" t="str">
        <f>+LOWER(Control!D9)</f>
        <v>period</v>
      </c>
    </row>
    <row r="287" spans="1:1" s="50" customFormat="1">
      <c r="A287" s="50" t="s">
        <v>668</v>
      </c>
    </row>
    <row r="288" spans="1:1" s="50" customFormat="1">
      <c r="A288" s="50" t="str">
        <f>+IF(Section4!C61&gt;=0,"assets","liabilities")</f>
        <v>assets</v>
      </c>
    </row>
    <row r="289" spans="1:1" s="50" customFormat="1">
      <c r="A289" s="50" t="s">
        <v>440</v>
      </c>
    </row>
    <row r="290" spans="1:1" s="50" customFormat="1">
      <c r="A290" s="50" t="str">
        <f>+Control!D6</f>
        <v>31 December, 2016</v>
      </c>
    </row>
    <row r="291" spans="1:1" s="50" customFormat="1">
      <c r="A291" s="50" t="s">
        <v>239</v>
      </c>
    </row>
    <row r="293" spans="1:1" s="50" customFormat="1">
      <c r="A293" s="50" t="s">
        <v>759</v>
      </c>
    </row>
    <row r="294" spans="1:1" s="50" customFormat="1">
      <c r="A294" s="50" t="str">
        <f>+Control!D68</f>
        <v>US$</v>
      </c>
    </row>
    <row r="295" spans="1:1" s="50" customFormat="1">
      <c r="A295" s="50" t="s">
        <v>5</v>
      </c>
    </row>
    <row r="297" spans="1:1" s="50" customFormat="1">
      <c r="A297" s="50" t="str">
        <f>+Section3!A21</f>
        <v>Taxation</v>
      </c>
    </row>
    <row r="298" spans="1:1" s="50" customFormat="1">
      <c r="A298" s="50" t="s">
        <v>760</v>
      </c>
    </row>
    <row r="300" spans="1:1">
      <c r="A300" s="1" t="str">
        <f>+CONCATENATE(TEXT(A301,"###,###,###,###,###,###,###,###"),A302,A303,A304,TEXT(A305,"###,###,###,###,###,###,###,###"),A306)</f>
        <v>Nil (2016: 1,253,411)</v>
      </c>
    </row>
    <row r="301" spans="1:1" s="50" customFormat="1">
      <c r="A301" s="50" t="str">
        <f>IF(Section3!C12&gt;0,Section3!C12,"Nil")</f>
        <v>Nil</v>
      </c>
    </row>
    <row r="302" spans="1:1" s="50" customFormat="1">
      <c r="A302" s="50" t="s">
        <v>663</v>
      </c>
    </row>
    <row r="303" spans="1:1" s="50" customFormat="1">
      <c r="A303" s="50" t="str">
        <f>+RIGHT(Control!H13,4)</f>
        <v>2016</v>
      </c>
    </row>
    <row r="304" spans="1:1" s="50" customFormat="1">
      <c r="A304" s="50" t="s">
        <v>664</v>
      </c>
    </row>
    <row r="305" spans="1:1" s="50" customFormat="1">
      <c r="A305" s="50">
        <f>IF(Section3!E12&gt;0,Section3!E12,"Nil")</f>
        <v>1253411</v>
      </c>
    </row>
    <row r="306" spans="1:1" s="50" customFormat="1">
      <c r="A306" s="50" t="s">
        <v>5</v>
      </c>
    </row>
    <row r="307" spans="1:1" s="130" customFormat="1"/>
    <row r="308" spans="1:1">
      <c r="A308" s="1" t="str">
        <f>+CONCATENATE(TEXT(A309,"###,###,###,###,###,###,###,###"),A310,A311,A312,TEXT(A313,"###,###,###,###,###,###,###,###"),A314)</f>
        <v>Nil (2016: 1,223,222)</v>
      </c>
    </row>
    <row r="309" spans="1:1" s="50" customFormat="1">
      <c r="A309" s="357" t="str">
        <f>IF(Section3!C13&lt;0,-Section3!C13,"Nil")</f>
        <v>Nil</v>
      </c>
    </row>
    <row r="310" spans="1:1" s="50" customFormat="1">
      <c r="A310" s="50" t="s">
        <v>663</v>
      </c>
    </row>
    <row r="311" spans="1:1" s="50" customFormat="1">
      <c r="A311" s="50" t="str">
        <f>+RIGHT(Control!H13,4)</f>
        <v>2016</v>
      </c>
    </row>
    <row r="312" spans="1:1" s="50" customFormat="1">
      <c r="A312" s="50" t="s">
        <v>664</v>
      </c>
    </row>
    <row r="313" spans="1:1" s="50" customFormat="1">
      <c r="A313" s="357">
        <f>IF(Section3!E13&lt;0,-Section3!E13,"Nil")</f>
        <v>1223222</v>
      </c>
    </row>
    <row r="314" spans="1:1" s="50" customFormat="1">
      <c r="A314" s="50" t="s">
        <v>5</v>
      </c>
    </row>
    <row r="316" spans="1:1">
      <c r="A316" s="1" t="str">
        <f>+CONCATENATE(TEXT(A317,"###,###,###,###,###,###,###,###"),A318,A319,A320,TEXT(A321,"###,###,###,###,###,###,###,###"),A322)</f>
        <v>Nil (2016: 1)</v>
      </c>
    </row>
    <row r="317" spans="1:1" s="50" customFormat="1">
      <c r="A317" s="357" t="str">
        <f>IF(Section3!C15&gt;0,Section3!C15,"Nil")</f>
        <v>Nil</v>
      </c>
    </row>
    <row r="318" spans="1:1" s="50" customFormat="1">
      <c r="A318" s="50" t="s">
        <v>663</v>
      </c>
    </row>
    <row r="319" spans="1:1" s="50" customFormat="1">
      <c r="A319" s="50" t="str">
        <f>+RIGHT(Control!H13,4)</f>
        <v>2016</v>
      </c>
    </row>
    <row r="320" spans="1:1" s="50" customFormat="1">
      <c r="A320" s="50" t="s">
        <v>664</v>
      </c>
    </row>
    <row r="321" spans="1:1" s="50" customFormat="1">
      <c r="A321" s="357">
        <f>IF(Section3!E15&gt;0,Section3!E15,"Nil")</f>
        <v>1</v>
      </c>
    </row>
    <row r="322" spans="1:1" s="50" customFormat="1">
      <c r="A322" s="50" t="s">
        <v>5</v>
      </c>
    </row>
    <row r="324" spans="1:1">
      <c r="A324" s="1" t="str">
        <f>+CONCATENATE(TEXT(A325,"###,###,###,###,###,###,###,###"),A326,A327,A328,TEXT(A329,"###,###,###,###,###,###,###,###"),A330)</f>
        <v>Nil (2016: 19,908)</v>
      </c>
    </row>
    <row r="325" spans="1:1" s="50" customFormat="1">
      <c r="A325" s="357" t="str">
        <f>IF(-Section3!C16&gt;0,-Section3!C16,"Nil")</f>
        <v>Nil</v>
      </c>
    </row>
    <row r="326" spans="1:1" s="50" customFormat="1">
      <c r="A326" s="50" t="s">
        <v>663</v>
      </c>
    </row>
    <row r="327" spans="1:1" s="50" customFormat="1">
      <c r="A327" s="50" t="str">
        <f>+RIGHT(Control!H13,4)</f>
        <v>2016</v>
      </c>
    </row>
    <row r="328" spans="1:1" s="50" customFormat="1">
      <c r="A328" s="50" t="s">
        <v>664</v>
      </c>
    </row>
    <row r="329" spans="1:1" s="50" customFormat="1">
      <c r="A329" s="357">
        <f>IF(-Section3!E16&gt;0,-Section3!E16,"Nil")</f>
        <v>19908</v>
      </c>
    </row>
    <row r="330" spans="1:1" s="50" customFormat="1">
      <c r="A330" s="50" t="s">
        <v>5</v>
      </c>
    </row>
    <row r="332" spans="1:1">
      <c r="A332" s="1" t="str">
        <f>+CONCATENATE(TEXT(A333,"###,###,###,###,###,###,###,###"),A334,A335,A336,TEXT(A337,"###,###,###,###,###,###,###,###"),A338)</f>
        <v>Nil (2016: 433)</v>
      </c>
    </row>
    <row r="333" spans="1:1" s="50" customFormat="1">
      <c r="A333" s="357" t="str">
        <f>IF(Section3!C21&lt;0,-Section3!C21,"Nil")</f>
        <v>Nil</v>
      </c>
    </row>
    <row r="334" spans="1:1" s="50" customFormat="1">
      <c r="A334" s="50" t="s">
        <v>663</v>
      </c>
    </row>
    <row r="335" spans="1:1" s="50" customFormat="1">
      <c r="A335" s="50" t="str">
        <f>+RIGHT(Control!H13,4)</f>
        <v>2016</v>
      </c>
    </row>
    <row r="336" spans="1:1" s="50" customFormat="1">
      <c r="A336" s="50" t="s">
        <v>664</v>
      </c>
    </row>
    <row r="337" spans="1:1" s="50" customFormat="1">
      <c r="A337" s="357">
        <f>IF(Section3!E21&lt;0,-Section3!E21,"Nil")</f>
        <v>433</v>
      </c>
    </row>
    <row r="338" spans="1:1" s="50" customFormat="1">
      <c r="A338" s="50" t="s">
        <v>5</v>
      </c>
    </row>
    <row r="340" spans="1:1">
      <c r="A340" s="1" t="str">
        <f>+CONCATENATE(TEXT(A341,"###,###,###,###,###,###,###,###"),A342,A343,A344,TEXT(A345,"###,###,###,###,###,###,###,###"),A346)</f>
        <v>Nil (2016: Nil)</v>
      </c>
    </row>
    <row r="341" spans="1:1" s="50" customFormat="1">
      <c r="A341" s="357" t="str">
        <f>IF(Section4!C11&gt;0,Section4!C11,"Nil")</f>
        <v>Nil</v>
      </c>
    </row>
    <row r="342" spans="1:1" s="50" customFormat="1">
      <c r="A342" s="50" t="s">
        <v>663</v>
      </c>
    </row>
    <row r="343" spans="1:1" s="50" customFormat="1">
      <c r="A343" s="50" t="str">
        <f>+RIGHT(Control!H13,4)</f>
        <v>2016</v>
      </c>
    </row>
    <row r="344" spans="1:1" s="50" customFormat="1">
      <c r="A344" s="50" t="s">
        <v>664</v>
      </c>
    </row>
    <row r="345" spans="1:1" s="50" customFormat="1">
      <c r="A345" s="357" t="str">
        <f>IF(Section4!E11&gt;0,Section4!E11,"Nil")</f>
        <v>Nil</v>
      </c>
    </row>
    <row r="346" spans="1:1" s="50" customFormat="1">
      <c r="A346" s="50" t="s">
        <v>5</v>
      </c>
    </row>
    <row r="348" spans="1:1">
      <c r="A348" s="1" t="str">
        <f>+CONCATENATE(TEXT(A349,"###,###,###,###,###,###,###,###"),A350,A351,A352,TEXT(A353,"###,###,###,###,###,###,###,###"),A354)</f>
        <v>Nil (2016: Nil)</v>
      </c>
    </row>
    <row r="349" spans="1:1" s="50" customFormat="1">
      <c r="A349" s="357" t="str">
        <f>IF(Section4!C23&gt;0,Section4!C23,"Nil")</f>
        <v>Nil</v>
      </c>
    </row>
    <row r="350" spans="1:1" s="50" customFormat="1">
      <c r="A350" s="50" t="s">
        <v>663</v>
      </c>
    </row>
    <row r="351" spans="1:1" s="50" customFormat="1">
      <c r="A351" s="50" t="str">
        <f>+RIGHT(Control!H13,4)</f>
        <v>2016</v>
      </c>
    </row>
    <row r="352" spans="1:1" s="50" customFormat="1">
      <c r="A352" s="50" t="s">
        <v>664</v>
      </c>
    </row>
    <row r="353" spans="1:1" s="50" customFormat="1">
      <c r="A353" s="357" t="str">
        <f>IF(Section4!E23&gt;0,Section4!E23,"Nil")</f>
        <v>Nil</v>
      </c>
    </row>
    <row r="354" spans="1:1" s="50" customFormat="1">
      <c r="A354" s="50" t="s">
        <v>5</v>
      </c>
    </row>
    <row r="356" spans="1:1">
      <c r="A356" s="1" t="str">
        <f>+CONCATENATE(TEXT(A357,"###,###,###,###,###,###,###,###"),A358,A359,A360,TEXT(A361,"###,###,###,###,###,###,###,###"),A362)</f>
        <v>Nil (2016: 10,780)</v>
      </c>
    </row>
    <row r="357" spans="1:1" s="50" customFormat="1">
      <c r="A357" s="357" t="str">
        <f>IF(Section4!C30&gt;0,Section4!C30,"Nil")</f>
        <v>Nil</v>
      </c>
    </row>
    <row r="358" spans="1:1" s="50" customFormat="1">
      <c r="A358" s="50" t="s">
        <v>663</v>
      </c>
    </row>
    <row r="359" spans="1:1" s="50" customFormat="1">
      <c r="A359" s="50" t="str">
        <f>+RIGHT(Control!H13,4)</f>
        <v>2016</v>
      </c>
    </row>
    <row r="360" spans="1:1" s="50" customFormat="1">
      <c r="A360" s="50" t="s">
        <v>664</v>
      </c>
    </row>
    <row r="361" spans="1:1" s="50" customFormat="1">
      <c r="A361" s="357">
        <f>IF(Section4!E30&gt;0,Section4!E30,"Nil")</f>
        <v>10780</v>
      </c>
    </row>
    <row r="362" spans="1:1" s="50" customFormat="1">
      <c r="A362" s="50" t="s">
        <v>5</v>
      </c>
    </row>
    <row r="364" spans="1:1">
      <c r="A364" s="1" t="str">
        <f>+CONCATENATE(TEXT(A365,"###,###,###,###,###,###,###,###"),A366,A367,A368,TEXT(A369,"###,###,###,###,###,###,###,###"),A370)</f>
        <v>Nil (2016: 3,224)</v>
      </c>
    </row>
    <row r="365" spans="1:1" s="50" customFormat="1">
      <c r="A365" s="357" t="str">
        <f>IF(Section4!C38&gt;0,Section4!C38,"Nil")</f>
        <v>Nil</v>
      </c>
    </row>
    <row r="366" spans="1:1" s="50" customFormat="1">
      <c r="A366" s="50" t="s">
        <v>663</v>
      </c>
    </row>
    <row r="367" spans="1:1" s="50" customFormat="1">
      <c r="A367" s="50" t="str">
        <f>+RIGHT(Control!H13,4)</f>
        <v>2016</v>
      </c>
    </row>
    <row r="368" spans="1:1" s="50" customFormat="1">
      <c r="A368" s="50" t="s">
        <v>664</v>
      </c>
    </row>
    <row r="369" spans="1:1" s="50" customFormat="1">
      <c r="A369" s="357">
        <f>IF(Section4!E38&gt;0,Section4!E38,"Nil")</f>
        <v>3224</v>
      </c>
    </row>
    <row r="370" spans="1:1" s="50" customFormat="1">
      <c r="A370" s="50" t="s">
        <v>5</v>
      </c>
    </row>
    <row r="372" spans="1:1">
      <c r="A372" s="1" t="str">
        <f>+CONCATENATE(TEXT(A373,"###,###,###,###,###,###,###,###"),A374,A375,A376,TEXT(A377,"###,###,###,###,###,###,###,###"),A378)</f>
        <v>316,165 (2016: 316,165)</v>
      </c>
    </row>
    <row r="373" spans="1:1" s="50" customFormat="1">
      <c r="A373" s="357">
        <f>IF(Section4!C44&gt;0,Section4!C44,"Nil")</f>
        <v>316165</v>
      </c>
    </row>
    <row r="374" spans="1:1" s="50" customFormat="1">
      <c r="A374" s="50" t="s">
        <v>663</v>
      </c>
    </row>
    <row r="375" spans="1:1" s="50" customFormat="1">
      <c r="A375" s="50" t="str">
        <f>+RIGHT(Control!H13,4)</f>
        <v>2016</v>
      </c>
    </row>
    <row r="376" spans="1:1" s="50" customFormat="1">
      <c r="A376" s="50" t="s">
        <v>664</v>
      </c>
    </row>
    <row r="377" spans="1:1" s="50" customFormat="1">
      <c r="A377" s="357">
        <f>IF(Section4!E44&gt;0,Section4!E44,"Nil")</f>
        <v>316165</v>
      </c>
    </row>
    <row r="378" spans="1:1" s="50" customFormat="1">
      <c r="A378" s="50" t="s">
        <v>5</v>
      </c>
    </row>
    <row r="380" spans="1:1">
      <c r="A380" s="1" t="str">
        <f>+CONCATENATE(TEXT(A381,"###,###,###,###,###,###,###,###"),A382,A383,A384,TEXT(A385,"###,###,###,###,###,###,###,###"),A386)</f>
        <v>Nil (2016: 1,291)</v>
      </c>
    </row>
    <row r="381" spans="1:1" s="50" customFormat="1">
      <c r="A381" s="357" t="str">
        <f>IF(Section4!C58&gt;0,Section4!C58,"Nil")</f>
        <v>Nil</v>
      </c>
    </row>
    <row r="382" spans="1:1" s="50" customFormat="1">
      <c r="A382" s="50" t="s">
        <v>663</v>
      </c>
    </row>
    <row r="383" spans="1:1" s="50" customFormat="1">
      <c r="A383" s="50" t="str">
        <f>+RIGHT(Control!H13,4)</f>
        <v>2016</v>
      </c>
    </row>
    <row r="384" spans="1:1" s="50" customFormat="1">
      <c r="A384" s="50" t="s">
        <v>664</v>
      </c>
    </row>
    <row r="385" spans="1:1" s="50" customFormat="1">
      <c r="A385" s="357">
        <f>IF(Section4!E58&gt;0,Section4!E58,"Nil")</f>
        <v>1291</v>
      </c>
    </row>
    <row r="386" spans="1:1" s="50" customFormat="1">
      <c r="A386" s="50" t="s">
        <v>5</v>
      </c>
    </row>
    <row r="388" spans="1:1">
      <c r="A388" s="1" t="str">
        <f>+CONCATENATE(TEXT(A389,"###,###,###,###,###,###,###,###"),A390,A391,A392,TEXT(A393,"###,###,###,###,###,###,###,###"),A394)</f>
        <v>Nil (2016: Nil)</v>
      </c>
    </row>
    <row r="389" spans="1:1" s="50" customFormat="1">
      <c r="A389" s="357" t="str">
        <f>IF(Section4!C27&gt;0,Section4!C27,"Nil")</f>
        <v>Nil</v>
      </c>
    </row>
    <row r="390" spans="1:1" s="50" customFormat="1">
      <c r="A390" s="50" t="s">
        <v>663</v>
      </c>
    </row>
    <row r="391" spans="1:1" s="50" customFormat="1">
      <c r="A391" s="50" t="str">
        <f>+RIGHT(Control!H13,4)</f>
        <v>2016</v>
      </c>
    </row>
    <row r="392" spans="1:1" s="50" customFormat="1">
      <c r="A392" s="50" t="s">
        <v>664</v>
      </c>
    </row>
    <row r="393" spans="1:1" s="50" customFormat="1">
      <c r="A393" s="357" t="str">
        <f>IF(Section4!E27&gt;0,Section4!E27,"Nil")</f>
        <v>Nil</v>
      </c>
    </row>
    <row r="394" spans="1:1" s="50" customFormat="1">
      <c r="A394" s="50" t="s">
        <v>5</v>
      </c>
    </row>
    <row r="396" spans="1:1">
      <c r="A396" s="1" t="str">
        <f>+CONCATENATE(TEXT(A397,"###,###,###,###,###,###,###,###"),A398,A399,A400,TEXT(A401,"###,###,###,###,###,###,###,###"),A402)</f>
        <v>Nil (2016: 433)</v>
      </c>
    </row>
    <row r="397" spans="1:1">
      <c r="A397" s="357" t="str">
        <f>IF(Section4!C34&gt;0,Section4!C34,"Nil")</f>
        <v>Nil</v>
      </c>
    </row>
    <row r="398" spans="1:1">
      <c r="A398" s="50" t="s">
        <v>663</v>
      </c>
    </row>
    <row r="399" spans="1:1">
      <c r="A399" s="50" t="str">
        <f>+RIGHT(Control!H13,4)</f>
        <v>2016</v>
      </c>
    </row>
    <row r="400" spans="1:1">
      <c r="A400" s="50" t="s">
        <v>664</v>
      </c>
    </row>
    <row r="401" spans="1:1">
      <c r="A401" s="357">
        <f>IF(Section4!E34&gt;0,Section4!E34,"Nil")</f>
        <v>433</v>
      </c>
    </row>
    <row r="402" spans="1:1">
      <c r="A402" s="50" t="s">
        <v>5</v>
      </c>
    </row>
    <row r="404" spans="1:1">
      <c r="A404" s="1" t="str">
        <f>+CONCATENATE(TEXT(A405,"###,###,###,###,###,###,###,###"),A406,A407,A408,TEXT(A409,"###,###,###,###,###,###,###,###"),A410)</f>
        <v>Nil (2016: Nil)</v>
      </c>
    </row>
    <row r="405" spans="1:1">
      <c r="A405" s="357" t="str">
        <f>IF(Section4!C36&gt;0,Section4!C36,"Nil")</f>
        <v>Nil</v>
      </c>
    </row>
    <row r="406" spans="1:1">
      <c r="A406" s="50" t="s">
        <v>663</v>
      </c>
    </row>
    <row r="407" spans="1:1">
      <c r="A407" s="50" t="str">
        <f>+RIGHT(Control!H13,4)</f>
        <v>2016</v>
      </c>
    </row>
    <row r="408" spans="1:1">
      <c r="A408" s="50" t="s">
        <v>664</v>
      </c>
    </row>
    <row r="409" spans="1:1">
      <c r="A409" s="357" t="str">
        <f>IF(Section4!E36&gt;0,Section4!E36,"Nil")</f>
        <v>Nil</v>
      </c>
    </row>
    <row r="410" spans="1:1">
      <c r="A410" s="50" t="s">
        <v>5</v>
      </c>
    </row>
    <row r="412" spans="1:1">
      <c r="A412" s="1" t="str">
        <f>+CONCATENATE(TEXT(A413,"###,###,###,###,###,###,###,###"),A414,A415,A416,TEXT(A417,"###,###,###,###,###,###,###,###"),A418)</f>
        <v>Nil (2016: Nil)</v>
      </c>
    </row>
    <row r="413" spans="1:1">
      <c r="A413" s="357" t="str">
        <f>IF(Section4!C22&gt;0,Section4!C22,"Nil")</f>
        <v>Nil</v>
      </c>
    </row>
    <row r="414" spans="1:1">
      <c r="A414" s="50" t="s">
        <v>663</v>
      </c>
    </row>
    <row r="415" spans="1:1">
      <c r="A415" s="50" t="str">
        <f>+RIGHT(Control!H13,4)</f>
        <v>2016</v>
      </c>
    </row>
    <row r="416" spans="1:1">
      <c r="A416" s="50" t="s">
        <v>664</v>
      </c>
    </row>
    <row r="417" spans="1:1">
      <c r="A417" s="357" t="str">
        <f>IF(Section4!E22&gt;0,Section4!E22,"Nil")</f>
        <v>Nil</v>
      </c>
    </row>
    <row r="418" spans="1:1">
      <c r="A418" s="50" t="s">
        <v>5</v>
      </c>
    </row>
    <row r="420" spans="1:1">
      <c r="A420" s="1" t="str">
        <f>+CONCATENATE(TEXT(A421,"###,###,###,###,###,###,###,###"),A422,A423,A424,TEXT(A425,"###,###,###,###,###,###,###,###"),A426)</f>
        <v>Nil (2016: Nil)</v>
      </c>
    </row>
    <row r="421" spans="1:1">
      <c r="A421" s="357" t="str">
        <f>IF(Section4!C25&gt;0,Section4!C25,"Nil")</f>
        <v>Nil</v>
      </c>
    </row>
    <row r="422" spans="1:1">
      <c r="A422" s="50" t="s">
        <v>663</v>
      </c>
    </row>
    <row r="423" spans="1:1">
      <c r="A423" s="50" t="str">
        <f>+RIGHT(Control!H13,4)</f>
        <v>2016</v>
      </c>
    </row>
    <row r="424" spans="1:1">
      <c r="A424" s="50" t="s">
        <v>664</v>
      </c>
    </row>
    <row r="425" spans="1:1">
      <c r="A425" s="357" t="str">
        <f>IF(Section4!E25&gt;0,Section4!E25,"Nil")</f>
        <v>Nil</v>
      </c>
    </row>
    <row r="426" spans="1:1">
      <c r="A426" s="50" t="s">
        <v>5</v>
      </c>
    </row>
    <row r="428" spans="1:1">
      <c r="A428" s="1" t="str">
        <f>+CONCATENATE(TEXT(A429,"###,###,###,###,###,###,###,###"),A430,A431,A432,TEXT(A433,"###,###,###,###,###,###,###,###"),A434)</f>
        <v>Nil (2016: Nil)</v>
      </c>
    </row>
    <row r="429" spans="1:1">
      <c r="A429" s="357" t="str">
        <f>IF(Section4!C35&gt;0,Section4!C35,"Nil")</f>
        <v>Nil</v>
      </c>
    </row>
    <row r="430" spans="1:1">
      <c r="A430" s="50" t="s">
        <v>663</v>
      </c>
    </row>
    <row r="431" spans="1:1">
      <c r="A431" s="50" t="str">
        <f>+RIGHT(Control!H13,4)</f>
        <v>2016</v>
      </c>
    </row>
    <row r="432" spans="1:1">
      <c r="A432" s="50" t="s">
        <v>664</v>
      </c>
    </row>
    <row r="433" spans="1:1">
      <c r="A433" s="357" t="str">
        <f>IF(Section4!E35&gt;0,Section4!E35,"Nil")</f>
        <v>Nil</v>
      </c>
    </row>
    <row r="434" spans="1:1">
      <c r="A434" s="50" t="s">
        <v>5</v>
      </c>
    </row>
    <row r="436" spans="1:1">
      <c r="A436" s="1" t="str">
        <f>+CONCATENATE(TEXT(A437,"###,###,###,###,###,###,###,###"),A438,A439,A440,TEXT(A441,"###,###,###,###,###,###,###,###"),A442)</f>
        <v>Nil (2016: Nil)</v>
      </c>
    </row>
    <row r="437" spans="1:1">
      <c r="A437" s="357" t="str">
        <f>IF(Section4!C40&gt;0,Section4!C40,"Nil")</f>
        <v>Nil</v>
      </c>
    </row>
    <row r="438" spans="1:1">
      <c r="A438" s="50" t="s">
        <v>663</v>
      </c>
    </row>
    <row r="439" spans="1:1">
      <c r="A439" s="50" t="str">
        <f>+RIGHT(Control!H13,4)</f>
        <v>2016</v>
      </c>
    </row>
    <row r="440" spans="1:1">
      <c r="A440" s="50" t="s">
        <v>664</v>
      </c>
    </row>
    <row r="441" spans="1:1">
      <c r="A441" s="357" t="str">
        <f>IF(Section4!E40&gt;0,Section4!E40,"Nil")</f>
        <v>Nil</v>
      </c>
    </row>
    <row r="442" spans="1:1">
      <c r="A442" s="50" t="s">
        <v>5</v>
      </c>
    </row>
    <row r="444" spans="1:1">
      <c r="A444" s="1" t="str">
        <f>+CONCATENATE(TEXT(A445,"###,###,###,###,###,###,###,###"),A446,A447,A448,TEXT(A449,"###,###,###,###,###,###,###,###"),A450)</f>
        <v>Nil (2016: Nil)</v>
      </c>
    </row>
    <row r="445" spans="1:1">
      <c r="A445" s="357" t="str">
        <f>IF(Section4!C37&gt;0,Section4!C37,"Nil")</f>
        <v>Nil</v>
      </c>
    </row>
    <row r="446" spans="1:1">
      <c r="A446" s="50" t="s">
        <v>663</v>
      </c>
    </row>
    <row r="447" spans="1:1">
      <c r="A447" s="50" t="str">
        <f>+RIGHT(Control!H13,4)</f>
        <v>2016</v>
      </c>
    </row>
    <row r="448" spans="1:1">
      <c r="A448" s="50" t="s">
        <v>664</v>
      </c>
    </row>
    <row r="449" spans="1:1">
      <c r="A449" s="357" t="str">
        <f>IF(Section4!E37&gt;0,Section4!E37,"Nil")</f>
        <v>Nil</v>
      </c>
    </row>
    <row r="450" spans="1:1">
      <c r="A450" s="50" t="s">
        <v>5</v>
      </c>
    </row>
    <row r="452" spans="1:1">
      <c r="A452" s="1" t="str">
        <f>+CONCATENATE(TEXT(A453,"###,###,###,###,###,###,###,###"),A454,A455,A456,TEXT(A457,"###,###,###,###,###,###,###,###"),A458)</f>
        <v>Nil (2016: Nil)</v>
      </c>
    </row>
    <row r="453" spans="1:1">
      <c r="A453" s="357" t="str">
        <f>IF(Section4!C42&gt;0,Section4!C42,"Nil")</f>
        <v>Nil</v>
      </c>
    </row>
    <row r="454" spans="1:1">
      <c r="A454" s="50" t="s">
        <v>663</v>
      </c>
    </row>
    <row r="455" spans="1:1">
      <c r="A455" s="50" t="str">
        <f>+RIGHT(Control!H13,4)</f>
        <v>2016</v>
      </c>
    </row>
    <row r="456" spans="1:1">
      <c r="A456" s="50" t="s">
        <v>664</v>
      </c>
    </row>
    <row r="457" spans="1:1">
      <c r="A457" s="357" t="str">
        <f>IF(Section4!E42&gt;0,Section4!E42,"Nil")</f>
        <v>Nil</v>
      </c>
    </row>
    <row r="458" spans="1:1">
      <c r="A458" s="50" t="s">
        <v>5</v>
      </c>
    </row>
    <row r="460" spans="1:1">
      <c r="A460" s="1" t="str">
        <f>+CONCATENATE(TEXT(A461,"###,###,###,###,###,###,###,###"),A462,A463,A464,TEXT(A465,"###,###,###,###,###,###,###,###"),A466)</f>
        <v>Nil (2016: 320,182)</v>
      </c>
    </row>
    <row r="461" spans="1:1">
      <c r="A461" s="357" t="str">
        <f>IF(Section4!C21&gt;0,Section4!C21,"Nil")</f>
        <v>Nil</v>
      </c>
    </row>
    <row r="462" spans="1:1">
      <c r="A462" s="50" t="s">
        <v>663</v>
      </c>
    </row>
    <row r="463" spans="1:1">
      <c r="A463" s="50" t="str">
        <f>+RIGHT(Control!H13,4)</f>
        <v>2016</v>
      </c>
    </row>
    <row r="464" spans="1:1">
      <c r="A464" s="50" t="s">
        <v>664</v>
      </c>
    </row>
    <row r="465" spans="1:1">
      <c r="A465" s="357">
        <f>IF(Section4!E21&gt;0,Section4!E21,"Nil")</f>
        <v>320182</v>
      </c>
    </row>
    <row r="466" spans="1:1">
      <c r="A466" s="50" t="s">
        <v>5</v>
      </c>
    </row>
    <row r="468" spans="1:1">
      <c r="A468" s="1" t="str">
        <f>+CONCATENATE(TEXT(A469,"###,###,###,###,###,###,###,###"),A470,A471,A472,TEXT(A473,"###,###,###,###,###,###,###,###"),A474)</f>
        <v>Nil (2016: Nil)</v>
      </c>
    </row>
    <row r="469" spans="1:1">
      <c r="A469" s="357" t="str">
        <f>IF(Section4!C24&gt;0,Section4!C24,"Nil")</f>
        <v>Nil</v>
      </c>
    </row>
    <row r="470" spans="1:1">
      <c r="A470" s="50" t="s">
        <v>663</v>
      </c>
    </row>
    <row r="471" spans="1:1">
      <c r="A471" s="50" t="str">
        <f>+RIGHT(Control!H13,4)</f>
        <v>2016</v>
      </c>
    </row>
    <row r="472" spans="1:1">
      <c r="A472" s="50" t="s">
        <v>664</v>
      </c>
    </row>
    <row r="473" spans="1:1">
      <c r="A473" s="357" t="str">
        <f>IF(Section4!E24&gt;0,Section4!E24,"Nil")</f>
        <v>Nil</v>
      </c>
    </row>
    <row r="474" spans="1:1">
      <c r="A474" s="50" t="s">
        <v>5</v>
      </c>
    </row>
    <row r="476" spans="1:1">
      <c r="A476" s="1" t="str">
        <f>+CONCATENATE(TEXT(A477,"###,###,###,###,###,###,###,###"),A478,A479,A480,TEXT(A481,"###,###,###,###,###,###,###,###"),A482)</f>
        <v>Nil (2016: Nil)</v>
      </c>
    </row>
    <row r="477" spans="1:1">
      <c r="A477" s="357" t="str">
        <f>IF(Section4!C28&gt;0,Section4!C28,"Nil")</f>
        <v>Nil</v>
      </c>
    </row>
    <row r="478" spans="1:1">
      <c r="A478" s="50" t="s">
        <v>663</v>
      </c>
    </row>
    <row r="479" spans="1:1">
      <c r="A479" s="50" t="str">
        <f>+RIGHT(Control!H13,4)</f>
        <v>2016</v>
      </c>
    </row>
    <row r="480" spans="1:1">
      <c r="A480" s="50" t="s">
        <v>664</v>
      </c>
    </row>
    <row r="481" spans="1:1">
      <c r="A481" s="357" t="str">
        <f>IF(Section4!E28&gt;0,Section4!E28,"Nil")</f>
        <v>Nil</v>
      </c>
    </row>
    <row r="482" spans="1:1">
      <c r="A482" s="50" t="s">
        <v>5</v>
      </c>
    </row>
    <row r="484" spans="1:1">
      <c r="A484" s="1" t="str">
        <f>+CONCATENATE(TEXT(A485,"###,###,###,###,###,###,###,###"),A486,A487,A488,TEXT(A489,"###,###,###,###,###,###,###,###"),A490)</f>
        <v>Nil (2016: Nil)</v>
      </c>
    </row>
    <row r="485" spans="1:1">
      <c r="A485" s="357" t="str">
        <f>IF(Section4!C29&gt;0,Section4!C29,"Nil")</f>
        <v>Nil</v>
      </c>
    </row>
    <row r="486" spans="1:1">
      <c r="A486" s="50" t="s">
        <v>663</v>
      </c>
    </row>
    <row r="487" spans="1:1">
      <c r="A487" s="50" t="str">
        <f>+RIGHT(Control!H13,4)</f>
        <v>2016</v>
      </c>
    </row>
    <row r="488" spans="1:1">
      <c r="A488" s="50" t="s">
        <v>664</v>
      </c>
    </row>
    <row r="489" spans="1:1">
      <c r="A489" s="357" t="str">
        <f>IF(Section4!E29&gt;0,Section4!E29,"Nil")</f>
        <v>Nil</v>
      </c>
    </row>
    <row r="490" spans="1:1">
      <c r="A490" s="50" t="s">
        <v>5</v>
      </c>
    </row>
    <row r="492" spans="1:1">
      <c r="A492" s="1" t="str">
        <f>+CONCATENATE(TEXT(A493,"###,###,###,###,###,###,###,###"),A494,A495,A496,TEXT(A497,"###,###,###,###,###,###,###,###"),A498)</f>
        <v>Nil (2016: Nil)</v>
      </c>
    </row>
    <row r="493" spans="1:1">
      <c r="A493" s="357" t="str">
        <f>IF(Section4!C59&gt;0,Section4!C59,"Nil")</f>
        <v>Nil</v>
      </c>
    </row>
    <row r="494" spans="1:1">
      <c r="A494" s="50" t="s">
        <v>663</v>
      </c>
    </row>
    <row r="495" spans="1:1">
      <c r="A495" s="50" t="str">
        <f>+RIGHT(Control!H13,4)</f>
        <v>2016</v>
      </c>
    </row>
    <row r="496" spans="1:1">
      <c r="A496" s="50" t="s">
        <v>664</v>
      </c>
    </row>
    <row r="497" spans="1:1">
      <c r="A497" s="357" t="str">
        <f>IF(Section4!E59&gt;0,Section4!E59,"Nil")</f>
        <v>Nil</v>
      </c>
    </row>
    <row r="498" spans="1:1">
      <c r="A498" s="50" t="s">
        <v>5</v>
      </c>
    </row>
    <row r="501" spans="1:1" s="587" customFormat="1">
      <c r="A501" s="587" t="s">
        <v>1831</v>
      </c>
    </row>
    <row r="502" spans="1:1" s="572" customFormat="1"/>
    <row r="503" spans="1:1" s="572" customFormat="1">
      <c r="A503" s="572" t="s">
        <v>1832</v>
      </c>
    </row>
    <row r="505" spans="1:1" s="572" customFormat="1">
      <c r="A505" s="587" t="s">
        <v>1662</v>
      </c>
    </row>
    <row r="506" spans="1:1" s="572" customFormat="1">
      <c r="A506" s="571" t="s">
        <v>1487</v>
      </c>
    </row>
    <row r="507" spans="1:1" s="572" customFormat="1"/>
    <row r="508" spans="1:1" s="572" customFormat="1">
      <c r="A508" s="572" t="s">
        <v>1488</v>
      </c>
    </row>
    <row r="509" spans="1:1" s="572" customFormat="1"/>
    <row r="510" spans="1:1" s="572" customFormat="1">
      <c r="A510" s="571" t="s">
        <v>1489</v>
      </c>
    </row>
    <row r="511" spans="1:1" s="572" customFormat="1"/>
    <row r="512" spans="1:1" s="572" customFormat="1">
      <c r="A512" s="572" t="s">
        <v>1490</v>
      </c>
    </row>
    <row r="513" spans="1:1" s="572" customFormat="1"/>
    <row r="514" spans="1:1" s="572" customFormat="1">
      <c r="A514" s="572" t="s">
        <v>1491</v>
      </c>
    </row>
    <row r="515" spans="1:1" s="572" customFormat="1"/>
    <row r="516" spans="1:1" s="572" customFormat="1">
      <c r="A516" s="573" t="s">
        <v>1492</v>
      </c>
    </row>
    <row r="517" spans="1:1" s="572" customFormat="1">
      <c r="A517" s="573" t="s">
        <v>1493</v>
      </c>
    </row>
    <row r="518" spans="1:1" s="572" customFormat="1"/>
    <row r="519" spans="1:1" s="572" customFormat="1">
      <c r="A519" s="571" t="s">
        <v>1494</v>
      </c>
    </row>
    <row r="520" spans="1:1" s="572" customFormat="1"/>
    <row r="521" spans="1:1" s="572" customFormat="1">
      <c r="A521" s="572" t="s">
        <v>1495</v>
      </c>
    </row>
    <row r="523" spans="1:1" s="572" customFormat="1">
      <c r="A523" s="587" t="s">
        <v>1663</v>
      </c>
    </row>
    <row r="524" spans="1:1" s="572" customFormat="1">
      <c r="A524" s="571" t="s">
        <v>1521</v>
      </c>
    </row>
    <row r="525" spans="1:1" s="572" customFormat="1"/>
    <row r="526" spans="1:1" s="572" customFormat="1">
      <c r="A526" s="572" t="s">
        <v>1497</v>
      </c>
    </row>
    <row r="527" spans="1:1" s="572" customFormat="1"/>
    <row r="528" spans="1:1" s="572" customFormat="1">
      <c r="A528" s="571" t="s">
        <v>1496</v>
      </c>
    </row>
    <row r="529" spans="1:1" s="572" customFormat="1"/>
    <row r="530" spans="1:1" s="572" customFormat="1">
      <c r="A530" s="572" t="s">
        <v>1523</v>
      </c>
    </row>
    <row r="531" spans="1:1" s="572" customFormat="1"/>
    <row r="532" spans="1:1" s="572" customFormat="1">
      <c r="A532" s="571" t="s">
        <v>1524</v>
      </c>
    </row>
    <row r="533" spans="1:1" s="572" customFormat="1"/>
    <row r="534" spans="1:1" s="572" customFormat="1">
      <c r="A534" s="572" t="s">
        <v>1525</v>
      </c>
    </row>
    <row r="535" spans="1:1" s="572" customFormat="1"/>
    <row r="536" spans="1:1" s="572" customFormat="1">
      <c r="A536" s="573" t="s">
        <v>1498</v>
      </c>
    </row>
    <row r="538" spans="1:1" s="587" customFormat="1">
      <c r="A538" s="587" t="s">
        <v>1664</v>
      </c>
    </row>
    <row r="539" spans="1:1" s="572" customFormat="1">
      <c r="A539" s="571" t="s">
        <v>1521</v>
      </c>
    </row>
    <row r="540" spans="1:1" s="572" customFormat="1"/>
    <row r="541" spans="1:1" s="572" customFormat="1">
      <c r="A541" s="572" t="s">
        <v>1522</v>
      </c>
    </row>
    <row r="543" spans="1:1" s="572" customFormat="1">
      <c r="A543" s="571" t="s">
        <v>1533</v>
      </c>
    </row>
    <row r="544" spans="1:1" s="572" customFormat="1"/>
    <row r="545" spans="1:1" s="572" customFormat="1">
      <c r="A545" s="572" t="s">
        <v>1534</v>
      </c>
    </row>
    <row r="547" spans="1:1" s="587" customFormat="1">
      <c r="A547" s="587" t="s">
        <v>1665</v>
      </c>
    </row>
    <row r="548" spans="1:1" s="572" customFormat="1">
      <c r="A548" s="571" t="s">
        <v>1535</v>
      </c>
    </row>
    <row r="549" spans="1:1" s="572" customFormat="1"/>
    <row r="550" spans="1:1" s="572" customFormat="1">
      <c r="A550" s="572" t="s">
        <v>1540</v>
      </c>
    </row>
    <row r="551" spans="1:1" s="572" customFormat="1"/>
    <row r="552" spans="1:1" s="572" customFormat="1">
      <c r="A552" s="571" t="s">
        <v>1496</v>
      </c>
    </row>
    <row r="553" spans="1:1" s="572" customFormat="1"/>
    <row r="554" spans="1:1" s="572" customFormat="1">
      <c r="A554" s="572" t="s">
        <v>1667</v>
      </c>
    </row>
    <row r="555" spans="1:1" s="572" customFormat="1"/>
    <row r="556" spans="1:1" s="572" customFormat="1">
      <c r="A556" s="571" t="s">
        <v>1536</v>
      </c>
    </row>
    <row r="557" spans="1:1" s="572" customFormat="1"/>
    <row r="558" spans="1:1" s="572" customFormat="1">
      <c r="A558" s="572" t="s">
        <v>1537</v>
      </c>
    </row>
    <row r="559" spans="1:1" s="572" customFormat="1"/>
    <row r="560" spans="1:1" s="572" customFormat="1">
      <c r="A560" s="572" t="s">
        <v>1538</v>
      </c>
    </row>
    <row r="561" spans="1:1" s="572" customFormat="1"/>
    <row r="562" spans="1:1" s="572" customFormat="1">
      <c r="A562" s="572" t="s">
        <v>1539</v>
      </c>
    </row>
    <row r="564" spans="1:1">
      <c r="A564" s="571" t="s">
        <v>1533</v>
      </c>
    </row>
    <row r="566" spans="1:1">
      <c r="A566" s="1" t="s">
        <v>1541</v>
      </c>
    </row>
    <row r="568" spans="1:1" s="572" customFormat="1">
      <c r="A568" s="571" t="s">
        <v>1535</v>
      </c>
    </row>
    <row r="569" spans="1:1" s="572" customFormat="1"/>
    <row r="570" spans="1:1" s="572" customFormat="1">
      <c r="A570" s="572" t="s">
        <v>1544</v>
      </c>
    </row>
    <row r="571" spans="1:1" s="572" customFormat="1"/>
    <row r="572" spans="1:1" s="572" customFormat="1">
      <c r="A572" s="572" t="s">
        <v>1545</v>
      </c>
    </row>
    <row r="573" spans="1:1" s="572" customFormat="1"/>
    <row r="574" spans="1:1" s="572" customFormat="1">
      <c r="A574" s="572" t="s">
        <v>1546</v>
      </c>
    </row>
    <row r="575" spans="1:1" s="572" customFormat="1"/>
    <row r="576" spans="1:1" s="572" customFormat="1">
      <c r="A576" s="572" t="s">
        <v>1547</v>
      </c>
    </row>
    <row r="577" spans="1:1" s="572" customFormat="1"/>
    <row r="578" spans="1:1" s="572" customFormat="1">
      <c r="A578" s="572" t="s">
        <v>1548</v>
      </c>
    </row>
    <row r="579" spans="1:1" s="572" customFormat="1"/>
    <row r="580" spans="1:1" s="572" customFormat="1">
      <c r="A580" s="572" t="s">
        <v>1549</v>
      </c>
    </row>
    <row r="581" spans="1:1" s="572" customFormat="1"/>
    <row r="582" spans="1:1" s="572" customFormat="1">
      <c r="A582" s="572" t="s">
        <v>1550</v>
      </c>
    </row>
    <row r="583" spans="1:1" s="572" customFormat="1"/>
    <row r="584" spans="1:1" s="572" customFormat="1">
      <c r="A584" s="572" t="s">
        <v>1551</v>
      </c>
    </row>
    <row r="585" spans="1:1" s="572" customFormat="1"/>
    <row r="586" spans="1:1" s="572" customFormat="1">
      <c r="A586" s="572" t="s">
        <v>1552</v>
      </c>
    </row>
    <row r="588" spans="1:1" s="572" customFormat="1">
      <c r="A588" s="587" t="s">
        <v>1591</v>
      </c>
    </row>
    <row r="589" spans="1:1" s="572" customFormat="1">
      <c r="A589" s="571" t="s">
        <v>1581</v>
      </c>
    </row>
    <row r="590" spans="1:1" s="572" customFormat="1">
      <c r="A590" s="572" t="s">
        <v>1582</v>
      </c>
    </row>
    <row r="591" spans="1:1" s="572" customFormat="1"/>
    <row r="592" spans="1:1" s="572" customFormat="1">
      <c r="A592" s="572" t="s">
        <v>1634</v>
      </c>
    </row>
    <row r="593" spans="1:1" s="572" customFormat="1">
      <c r="A593" s="572" t="s">
        <v>1635</v>
      </c>
    </row>
    <row r="595" spans="1:1" s="572" customFormat="1">
      <c r="A595" s="587" t="s">
        <v>1801</v>
      </c>
    </row>
    <row r="596" spans="1:1" s="572" customFormat="1">
      <c r="A596" s="572" t="s">
        <v>1802</v>
      </c>
    </row>
    <row r="598" spans="1:1" s="589" customFormat="1">
      <c r="A598" s="588" t="s">
        <v>1589</v>
      </c>
    </row>
    <row r="599" spans="1:1" s="589" customFormat="1" ht="28.5">
      <c r="A599" s="590" t="s">
        <v>1583</v>
      </c>
    </row>
    <row r="600" spans="1:1" s="589" customFormat="1"/>
    <row r="601" spans="1:1" s="589" customFormat="1">
      <c r="A601" s="589" t="s">
        <v>1584</v>
      </c>
    </row>
    <row r="602" spans="1:1" s="589" customFormat="1"/>
    <row r="603" spans="1:1" s="589" customFormat="1">
      <c r="A603" s="590" t="s">
        <v>1585</v>
      </c>
    </row>
    <row r="604" spans="1:1" s="589" customFormat="1"/>
    <row r="605" spans="1:1" s="589" customFormat="1">
      <c r="A605" s="589" t="s">
        <v>1666</v>
      </c>
    </row>
    <row r="606" spans="1:1" s="589" customFormat="1"/>
    <row r="607" spans="1:1" s="589" customFormat="1">
      <c r="A607" s="571" t="s">
        <v>1590</v>
      </c>
    </row>
    <row r="608" spans="1:1" s="589" customFormat="1"/>
    <row r="609" spans="1:1" s="589" customFormat="1">
      <c r="A609" s="589" t="s">
        <v>1586</v>
      </c>
    </row>
    <row r="610" spans="1:1" s="589" customFormat="1"/>
    <row r="611" spans="1:1" s="589" customFormat="1">
      <c r="A611" s="589" t="s">
        <v>1587</v>
      </c>
    </row>
    <row r="612" spans="1:1" s="589" customFormat="1">
      <c r="A612" s="589" t="s">
        <v>1588</v>
      </c>
    </row>
    <row r="614" spans="1:1" s="589" customFormat="1">
      <c r="A614" s="588" t="s">
        <v>1669</v>
      </c>
    </row>
    <row r="615" spans="1:1" s="589" customFormat="1">
      <c r="A615" s="589" t="s">
        <v>1668</v>
      </c>
    </row>
    <row r="616" spans="1:1" s="589" customFormat="1"/>
    <row r="617" spans="1:1" s="589" customFormat="1">
      <c r="A617" s="589" t="s">
        <v>1670</v>
      </c>
    </row>
    <row r="618" spans="1:1" s="589" customFormat="1"/>
    <row r="619" spans="1:1" s="589" customFormat="1">
      <c r="A619" s="589" t="s">
        <v>1671</v>
      </c>
    </row>
    <row r="620" spans="1:1" s="589" customFormat="1"/>
    <row r="621" spans="1:1" s="589" customFormat="1">
      <c r="A621" s="589" t="s">
        <v>1672</v>
      </c>
    </row>
    <row r="622" spans="1:1" s="589" customFormat="1"/>
    <row r="623" spans="1:1" s="589" customFormat="1">
      <c r="A623" s="665" t="s">
        <v>1590</v>
      </c>
    </row>
    <row r="624" spans="1:1" s="589" customFormat="1"/>
    <row r="625" spans="1:1" s="589" customFormat="1">
      <c r="A625" s="589" t="s">
        <v>1586</v>
      </c>
    </row>
    <row r="626" spans="1:1" s="589" customFormat="1"/>
    <row r="627" spans="1:1" s="589" customFormat="1">
      <c r="A627" s="664" t="s">
        <v>1587</v>
      </c>
    </row>
    <row r="628" spans="1:1" s="589" customFormat="1">
      <c r="A628" s="664" t="s">
        <v>1588</v>
      </c>
    </row>
    <row r="630" spans="1:1" s="589" customFormat="1">
      <c r="A630" s="588" t="s">
        <v>1657</v>
      </c>
    </row>
    <row r="631" spans="1:1" s="589" customFormat="1" ht="28.5">
      <c r="A631" s="590" t="s">
        <v>1651</v>
      </c>
    </row>
    <row r="632" spans="1:1" s="589" customFormat="1"/>
    <row r="633" spans="1:1" s="589" customFormat="1">
      <c r="A633" s="589" t="s">
        <v>1652</v>
      </c>
    </row>
    <row r="634" spans="1:1" s="589" customFormat="1"/>
    <row r="635" spans="1:1" s="589" customFormat="1">
      <c r="A635" s="589" t="s">
        <v>1653</v>
      </c>
    </row>
    <row r="636" spans="1:1" s="589" customFormat="1"/>
    <row r="637" spans="1:1" s="589" customFormat="1">
      <c r="A637" s="589" t="s">
        <v>1654</v>
      </c>
    </row>
    <row r="638" spans="1:1" s="589" customFormat="1"/>
    <row r="639" spans="1:1" s="589" customFormat="1">
      <c r="A639" s="589" t="s">
        <v>1655</v>
      </c>
    </row>
    <row r="640" spans="1:1" s="589" customFormat="1"/>
    <row r="641" spans="1:1" s="589" customFormat="1">
      <c r="A641" s="589" t="s">
        <v>1656</v>
      </c>
    </row>
    <row r="642" spans="1:1" s="589" customFormat="1"/>
    <row r="643" spans="1:1" s="589" customFormat="1">
      <c r="A643" s="589" t="s">
        <v>1658</v>
      </c>
    </row>
    <row r="644" spans="1:1" s="589" customFormat="1"/>
    <row r="645" spans="1:1" s="589" customFormat="1">
      <c r="A645" s="589" t="s">
        <v>1659</v>
      </c>
    </row>
    <row r="646" spans="1:1" s="589" customFormat="1">
      <c r="A646" s="664" t="s">
        <v>1660</v>
      </c>
    </row>
    <row r="647" spans="1:1" s="589" customFormat="1">
      <c r="A647" s="664" t="s">
        <v>1661</v>
      </c>
    </row>
    <row r="649" spans="1:1" s="589" customFormat="1">
      <c r="A649" s="588" t="s">
        <v>1676</v>
      </c>
    </row>
    <row r="650" spans="1:1" s="589" customFormat="1"/>
    <row r="651" spans="1:1" s="589" customFormat="1">
      <c r="A651" s="589" t="s">
        <v>1673</v>
      </c>
    </row>
    <row r="653" spans="1:1" s="589" customFormat="1">
      <c r="A653" s="588" t="s">
        <v>1677</v>
      </c>
    </row>
    <row r="654" spans="1:1" s="589" customFormat="1"/>
    <row r="655" spans="1:1" s="589" customFormat="1">
      <c r="A655" s="589" t="s">
        <v>1674</v>
      </c>
    </row>
    <row r="657" spans="1:1" s="589" customFormat="1">
      <c r="A657" s="588" t="s">
        <v>1678</v>
      </c>
    </row>
    <row r="658" spans="1:1" s="589" customFormat="1"/>
    <row r="659" spans="1:1" s="589" customFormat="1">
      <c r="A659" s="589" t="s">
        <v>1675</v>
      </c>
    </row>
    <row r="661" spans="1:1" s="589" customFormat="1">
      <c r="A661" s="588" t="s">
        <v>1731</v>
      </c>
    </row>
    <row r="662" spans="1:1" s="589" customFormat="1"/>
    <row r="663" spans="1:1" s="589" customFormat="1">
      <c r="A663" s="589" t="s">
        <v>1726</v>
      </c>
    </row>
    <row r="664" spans="1:1" s="589" customFormat="1"/>
    <row r="665" spans="1:1" s="589" customFormat="1">
      <c r="A665" s="589" t="s">
        <v>1727</v>
      </c>
    </row>
    <row r="666" spans="1:1" s="589" customFormat="1"/>
    <row r="667" spans="1:1" s="589" customFormat="1">
      <c r="A667" s="589" t="s">
        <v>1728</v>
      </c>
    </row>
    <row r="668" spans="1:1" s="589" customFormat="1"/>
    <row r="669" spans="1:1" s="589" customFormat="1">
      <c r="A669" s="589" t="s">
        <v>1729</v>
      </c>
    </row>
    <row r="670" spans="1:1" s="589" customFormat="1"/>
    <row r="671" spans="1:1" s="589" customFormat="1">
      <c r="A671" s="589" t="s">
        <v>1730</v>
      </c>
    </row>
    <row r="673" spans="1:1" s="589" customFormat="1">
      <c r="A673" s="665" t="s">
        <v>1735</v>
      </c>
    </row>
    <row r="674" spans="1:1" s="589" customFormat="1"/>
    <row r="675" spans="1:1" s="589" customFormat="1">
      <c r="A675" s="589" t="s">
        <v>1732</v>
      </c>
    </row>
    <row r="676" spans="1:1" s="589" customFormat="1"/>
    <row r="677" spans="1:1" s="589" customFormat="1">
      <c r="A677" s="589" t="s">
        <v>1727</v>
      </c>
    </row>
    <row r="678" spans="1:1" s="589" customFormat="1"/>
    <row r="679" spans="1:1" s="589" customFormat="1">
      <c r="A679" s="589" t="s">
        <v>1728</v>
      </c>
    </row>
    <row r="680" spans="1:1" s="589" customFormat="1"/>
    <row r="681" spans="1:1" s="589" customFormat="1">
      <c r="A681" s="589" t="s">
        <v>1733</v>
      </c>
    </row>
    <row r="682" spans="1:1" s="589" customFormat="1"/>
    <row r="683" spans="1:1" s="589" customFormat="1">
      <c r="A683" s="589" t="s">
        <v>1734</v>
      </c>
    </row>
    <row r="685" spans="1:1" s="589" customFormat="1">
      <c r="A685" s="744" t="s">
        <v>1798</v>
      </c>
    </row>
    <row r="686" spans="1:1" s="589" customFormat="1">
      <c r="A686" s="665" t="s">
        <v>1790</v>
      </c>
    </row>
    <row r="687" spans="1:1" s="589" customFormat="1"/>
    <row r="688" spans="1:1" s="589" customFormat="1">
      <c r="A688" s="589" t="s">
        <v>1791</v>
      </c>
    </row>
    <row r="689" spans="1:1" s="589" customFormat="1"/>
    <row r="690" spans="1:1" s="589" customFormat="1">
      <c r="A690" s="665" t="s">
        <v>1792</v>
      </c>
    </row>
    <row r="691" spans="1:1" s="589" customFormat="1"/>
    <row r="692" spans="1:1" s="589" customFormat="1">
      <c r="A692" s="589" t="s">
        <v>1793</v>
      </c>
    </row>
    <row r="693" spans="1:1" s="589" customFormat="1"/>
    <row r="694" spans="1:1" s="589" customFormat="1">
      <c r="A694" s="665" t="s">
        <v>1794</v>
      </c>
    </row>
    <row r="695" spans="1:1" s="589" customFormat="1"/>
    <row r="696" spans="1:1" s="589" customFormat="1">
      <c r="A696" s="589" t="s">
        <v>1795</v>
      </c>
    </row>
    <row r="697" spans="1:1" s="589" customFormat="1"/>
    <row r="698" spans="1:1" s="589" customFormat="1">
      <c r="A698" s="664" t="s">
        <v>1796</v>
      </c>
    </row>
    <row r="699" spans="1:1" s="589" customFormat="1"/>
    <row r="700" spans="1:1" s="589" customFormat="1">
      <c r="A700" s="664" t="s">
        <v>1797</v>
      </c>
    </row>
    <row r="702" spans="1:1">
      <c r="A702" s="744" t="s">
        <v>1799</v>
      </c>
    </row>
    <row r="703" spans="1:1">
      <c r="A703" s="665" t="s">
        <v>1521</v>
      </c>
    </row>
    <row r="704" spans="1:1">
      <c r="A704" s="589"/>
    </row>
    <row r="705" spans="1:1">
      <c r="A705" s="589" t="s">
        <v>1800</v>
      </c>
    </row>
    <row r="706" spans="1:1">
      <c r="A706" s="589"/>
    </row>
    <row r="707" spans="1:1">
      <c r="A707" s="665" t="s">
        <v>1792</v>
      </c>
    </row>
    <row r="708" spans="1:1">
      <c r="A708" s="589"/>
    </row>
    <row r="709" spans="1:1">
      <c r="A709" s="589" t="s">
        <v>1793</v>
      </c>
    </row>
    <row r="710" spans="1:1">
      <c r="A710" s="589"/>
    </row>
    <row r="711" spans="1:1">
      <c r="A711" s="665" t="s">
        <v>1733</v>
      </c>
    </row>
    <row r="712" spans="1:1">
      <c r="A712" s="589"/>
    </row>
    <row r="713" spans="1:1">
      <c r="A713" s="589" t="s">
        <v>1537</v>
      </c>
    </row>
    <row r="714" spans="1:1">
      <c r="A714" s="589"/>
    </row>
    <row r="715" spans="1:1">
      <c r="A715" s="664" t="s">
        <v>1796</v>
      </c>
    </row>
    <row r="716" spans="1:1">
      <c r="A716" s="589"/>
    </row>
    <row r="717" spans="1:1">
      <c r="A717" s="664" t="s">
        <v>1797</v>
      </c>
    </row>
    <row r="719" spans="1:1" s="589" customFormat="1">
      <c r="A719" s="588" t="s">
        <v>1803</v>
      </c>
    </row>
    <row r="720" spans="1:1" s="589" customFormat="1">
      <c r="A720" s="589" t="s">
        <v>1521</v>
      </c>
    </row>
    <row r="721" spans="1:1" s="589" customFormat="1"/>
    <row r="722" spans="1:1" s="589" customFormat="1">
      <c r="A722" s="589" t="s">
        <v>1804</v>
      </c>
    </row>
    <row r="723" spans="1:1" s="589" customFormat="1"/>
    <row r="724" spans="1:1" s="589" customFormat="1">
      <c r="A724" s="589" t="s">
        <v>1806</v>
      </c>
    </row>
    <row r="725" spans="1:1" s="589" customFormat="1"/>
    <row r="726" spans="1:1" s="589" customFormat="1">
      <c r="A726" s="589" t="s">
        <v>1805</v>
      </c>
    </row>
    <row r="727" spans="1:1" s="589" customFormat="1"/>
    <row r="728" spans="1:1" s="589" customFormat="1">
      <c r="A728" s="589" t="s">
        <v>1807</v>
      </c>
    </row>
    <row r="729" spans="1:1" s="589" customFormat="1"/>
    <row r="730" spans="1:1" s="589" customFormat="1">
      <c r="A730" s="589" t="s">
        <v>1808</v>
      </c>
    </row>
    <row r="732" spans="1:1" s="589" customFormat="1">
      <c r="A732" s="588" t="s">
        <v>2002</v>
      </c>
    </row>
    <row r="733" spans="1:1" s="589" customFormat="1"/>
    <row r="734" spans="1:1" s="589" customFormat="1">
      <c r="A734" s="589" t="s">
        <v>1996</v>
      </c>
    </row>
    <row r="735" spans="1:1" s="589" customFormat="1"/>
    <row r="736" spans="1:1" s="589" customFormat="1">
      <c r="A736" s="589" t="s">
        <v>1997</v>
      </c>
    </row>
    <row r="737" spans="1:1" s="589" customFormat="1"/>
    <row r="738" spans="1:1" s="589" customFormat="1">
      <c r="A738" s="589" t="s">
        <v>1998</v>
      </c>
    </row>
    <row r="739" spans="1:1" s="589" customFormat="1"/>
    <row r="740" spans="1:1" s="589" customFormat="1">
      <c r="A740" s="589" t="s">
        <v>1999</v>
      </c>
    </row>
    <row r="741" spans="1:1" s="589" customFormat="1">
      <c r="A741" s="664" t="s">
        <v>2000</v>
      </c>
    </row>
    <row r="742" spans="1:1" s="589" customFormat="1">
      <c r="A742" s="664" t="s">
        <v>2001</v>
      </c>
    </row>
  </sheetData>
  <phoneticPr fontId="13" type="noConversion"/>
  <pageMargins left="0.51181102362204722" right="0.31496062992125984" top="0.55118110236220474" bottom="3.937007874015748E-2" header="0.31496062992125984" footer="0.31496062992125984"/>
  <pageSetup paperSize="9" scale="97" fitToHeight="0"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7"/>
  <dimension ref="A1:IR39"/>
  <sheetViews>
    <sheetView zoomScale="85" zoomScaleNormal="85" workbookViewId="0">
      <selection activeCell="C21" sqref="C21:E21"/>
    </sheetView>
  </sheetViews>
  <sheetFormatPr defaultRowHeight="15.75"/>
  <cols>
    <col min="1" max="1" width="53.125" customWidth="1" collapsed="1"/>
    <col min="2" max="2" width="8.125" customWidth="1" collapsed="1"/>
    <col min="3" max="3" width="18.125" customWidth="1" collapsed="1"/>
    <col min="4" max="4" width="4.125" customWidth="1" collapsed="1"/>
    <col min="5" max="5" width="20.125" customWidth="1" collapsed="1"/>
    <col min="6" max="6" width="13.5" customWidth="1" collapsed="1"/>
    <col min="8" max="8" width="9" style="168" collapsed="1"/>
    <col min="11" max="11" width="9.375" bestFit="1" customWidth="1" collapsed="1"/>
    <col min="12" max="12" width="9.125" bestFit="1" customWidth="1" collapsed="1"/>
    <col min="17" max="17" width="9" style="168" collapsed="1"/>
  </cols>
  <sheetData>
    <row r="1" spans="1:252">
      <c r="A1" s="175" t="str">
        <f>+Control!D3</f>
        <v>MIC INCORPORATION LIMITED </v>
      </c>
      <c r="I1" s="352" t="s">
        <v>761</v>
      </c>
    </row>
    <row r="2" spans="1:252">
      <c r="A2" s="175"/>
      <c r="G2" t="s">
        <v>12</v>
      </c>
      <c r="I2" s="220"/>
    </row>
    <row r="3" spans="1:252">
      <c r="A3" s="175" t="s">
        <v>20</v>
      </c>
      <c r="G3" t="s">
        <v>12</v>
      </c>
      <c r="H3" s="168" t="s">
        <v>762</v>
      </c>
      <c r="I3" s="53" t="s">
        <v>7</v>
      </c>
      <c r="J3" s="53" t="str">
        <f>+UPPER(Control!D9)</f>
        <v>PERIOD</v>
      </c>
      <c r="K3" s="53" t="s">
        <v>8</v>
      </c>
      <c r="L3" s="53" t="str">
        <f>+UPPER(Control!D6)</f>
        <v>31 DECEMBER, 2016</v>
      </c>
    </row>
    <row r="4" spans="1:252">
      <c r="A4" s="193" t="str">
        <f>+Contents!A3</f>
        <v>FOR THE PERIOD ENDED 31 DECEMBER, 2016</v>
      </c>
      <c r="B4" s="25"/>
      <c r="C4" s="25">
        <v>0</v>
      </c>
      <c r="D4" s="25"/>
      <c r="E4" s="25">
        <v>1941632</v>
      </c>
      <c r="F4" s="110"/>
      <c r="G4" t="s">
        <v>669</v>
      </c>
      <c r="H4" s="168" t="s">
        <v>763</v>
      </c>
      <c r="I4" s="53" t="s">
        <v>7</v>
      </c>
      <c r="J4" s="53" t="str">
        <f>+UPPER(Control!D9)</f>
        <v>PERIOD</v>
      </c>
      <c r="K4" s="53" t="s">
        <v>9</v>
      </c>
      <c r="L4" s="53" t="str">
        <f>UPPER(TEXT(Control!D11, "d mmmm, yyyy"))</f>
        <v>2 MARCH, 2014</v>
      </c>
      <c r="M4" s="53" t="s">
        <v>10</v>
      </c>
      <c r="N4" s="53" t="str">
        <f>UPPER(Control!D6)</f>
        <v>31 DECEMBER, 2016</v>
      </c>
    </row>
    <row r="5" spans="1:252" s="295" customFormat="1">
      <c r="A5" s="1048" t="str">
        <f>+CONCATENATE(I5,I7,I8)</f>
        <v>(Expressed in United States Dollars)</v>
      </c>
      <c r="B5" s="1048"/>
      <c r="C5" s="1048">
        <v>0</v>
      </c>
      <c r="D5" s="1048"/>
      <c r="E5" s="1048">
        <v>-962981</v>
      </c>
      <c r="F5" s="305"/>
      <c r="G5" s="295" t="s">
        <v>12</v>
      </c>
      <c r="H5" s="303"/>
      <c r="I5" s="295" t="s">
        <v>764</v>
      </c>
      <c r="Q5" s="303"/>
    </row>
    <row r="6" spans="1:252" s="57" customFormat="1">
      <c r="A6" s="428"/>
      <c r="B6" s="428"/>
      <c r="C6" s="428"/>
      <c r="D6" s="428"/>
      <c r="E6" s="428"/>
      <c r="F6" s="428"/>
      <c r="G6" s="57" t="s">
        <v>733</v>
      </c>
      <c r="H6" s="442"/>
      <c r="Q6" s="442"/>
    </row>
    <row r="7" spans="1:252">
      <c r="A7" s="320">
        <v>210</v>
      </c>
      <c r="B7" s="320">
        <v>40</v>
      </c>
      <c r="C7" s="320">
        <v>0</v>
      </c>
      <c r="D7" s="320">
        <v>20</v>
      </c>
      <c r="E7" s="320">
        <f>9+4596</f>
        <v>4605</v>
      </c>
      <c r="F7" s="320"/>
      <c r="G7" s="321" t="s">
        <v>13</v>
      </c>
      <c r="H7" s="321">
        <v>22</v>
      </c>
      <c r="I7" s="53" t="str">
        <f>+Control!D67</f>
        <v>United States Dollars</v>
      </c>
    </row>
    <row r="8" spans="1:252">
      <c r="A8" s="42"/>
      <c r="I8" s="53" t="s">
        <v>5</v>
      </c>
    </row>
    <row r="9" spans="1:252">
      <c r="A9" s="42"/>
      <c r="C9" s="355">
        <f>IF(Control!D30=0,TEXT(Control!D11,"dd.mm.yyyy")&amp;"-","")</f>
        <v>0</v>
      </c>
      <c r="E9" s="355">
        <f>IF(Control!D30=1,TEXT(Control!D11,"dd.mm.yyyy")&amp;"-",TEXT(Control!G11,"dd.mm.yyyy")&amp;"-")</f>
        <v>0</v>
      </c>
      <c r="H9" s="244" t="s">
        <v>3</v>
      </c>
      <c r="K9" s="158">
        <v>41730</v>
      </c>
      <c r="L9" t="str">
        <f>TEXT(K9,"dd.mm.yyyy")</f>
        <v>01.04.2014</v>
      </c>
    </row>
    <row r="10" spans="1:252" s="199" customFormat="1" ht="15">
      <c r="B10" s="471" t="s">
        <v>765</v>
      </c>
      <c r="C10" s="463">
        <f>IF(Control!D30=0,TEXT(Control!D12,"dd.mm.yyyy"),"")</f>
        <v>0</v>
      </c>
      <c r="E10" s="463">
        <f>IF(Control!D30=1,TEXT(Control!D12,"dd.mm.yyyy"),TEXT(Control!G12,"dd.mm.yyyy"))</f>
        <v>0</v>
      </c>
      <c r="F10" s="463"/>
      <c r="H10" s="244" t="s">
        <v>3</v>
      </c>
      <c r="K10" s="353">
        <v>42094</v>
      </c>
      <c r="Q10" s="244"/>
    </row>
    <row r="11" spans="1:252" s="199" customFormat="1" ht="15">
      <c r="B11" s="200"/>
      <c r="C11" s="387"/>
      <c r="D11" s="388"/>
      <c r="E11" s="387"/>
      <c r="F11" s="201"/>
      <c r="H11" s="244" t="s">
        <v>3</v>
      </c>
      <c r="I11" s="199" t="str">
        <f>+IF(C14&gt;=0,"1","2")</f>
        <v>1</v>
      </c>
      <c r="K11" s="199" t="str">
        <f>+IF(E14&gt;0,"1","2")</f>
        <v>1</v>
      </c>
      <c r="Q11" s="244"/>
    </row>
    <row r="12" spans="1:252" s="199" customFormat="1" ht="24.95" customHeight="1">
      <c r="A12" s="199" t="s">
        <v>766</v>
      </c>
      <c r="B12" s="200">
        <v>4</v>
      </c>
      <c r="C12" s="812">
        <v>0</v>
      </c>
      <c r="D12" s="388"/>
      <c r="E12" s="812">
        <v>1253411</v>
      </c>
      <c r="F12" s="201"/>
      <c r="H12" s="244" t="s">
        <v>3</v>
      </c>
      <c r="I12" s="199" t="str">
        <f>+IF(C14&lt;0,IF(I11=K11,"loss","(loss)"),"profit")</f>
        <v>profit</v>
      </c>
      <c r="J12" s="199" t="s">
        <v>1470</v>
      </c>
      <c r="K12" s="199" t="str">
        <f>+IF(E14&lt;0,IF(Control!D30=1,"loss","(loss)"),"profit")</f>
        <v>profit</v>
      </c>
      <c r="L12" s="354" t="s">
        <v>767</v>
      </c>
      <c r="Q12" s="244"/>
    </row>
    <row r="13" spans="1:252" s="199" customFormat="1" ht="24.95" customHeight="1">
      <c r="A13" s="199" t="s">
        <v>768</v>
      </c>
      <c r="B13" s="202"/>
      <c r="C13" s="813">
        <v>0</v>
      </c>
      <c r="D13" s="202"/>
      <c r="E13" s="813">
        <v>0</v>
      </c>
      <c r="F13" s="214"/>
      <c r="G13" s="202"/>
      <c r="H13" s="244" t="str">
        <f>IF(AND(C13=0,E13=0),"N","Y")</f>
        <v>Y</v>
      </c>
      <c r="I13" s="202" t="s">
        <v>1112</v>
      </c>
      <c r="J13" s="202"/>
      <c r="K13" s="202" t="s">
        <v>1113</v>
      </c>
      <c r="L13" s="304" t="s">
        <v>1990</v>
      </c>
      <c r="M13" s="202"/>
      <c r="N13" s="202" t="str">
        <f>+CONCATENATE(O13,P13)</f>
        <v>Gross profit</v>
      </c>
      <c r="O13" s="202" t="s">
        <v>1991</v>
      </c>
      <c r="P13" s="202" t="str">
        <f>+K12</f>
        <v>profit</v>
      </c>
      <c r="Q13" s="304"/>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2"/>
      <c r="CU13" s="202"/>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2"/>
      <c r="DV13" s="202"/>
      <c r="DW13" s="202"/>
      <c r="DX13" s="202"/>
      <c r="DY13" s="202"/>
      <c r="DZ13" s="202"/>
      <c r="EA13" s="202"/>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c r="FN13" s="202"/>
      <c r="FO13" s="202"/>
      <c r="FP13" s="202"/>
      <c r="FQ13" s="202"/>
      <c r="FR13" s="202"/>
      <c r="FS13" s="202"/>
      <c r="FT13" s="202"/>
      <c r="FU13" s="202"/>
      <c r="FV13" s="202"/>
      <c r="FW13" s="202"/>
      <c r="FX13" s="202"/>
      <c r="FY13" s="202"/>
      <c r="FZ13" s="202"/>
      <c r="GA13" s="202"/>
      <c r="GB13" s="202"/>
      <c r="GC13" s="202"/>
      <c r="GD13" s="202"/>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W13" s="202"/>
      <c r="HX13" s="202"/>
      <c r="HY13" s="202"/>
      <c r="HZ13" s="202"/>
      <c r="IA13" s="202"/>
      <c r="IB13" s="202"/>
      <c r="IC13" s="202"/>
      <c r="ID13" s="202"/>
      <c r="IE13" s="202"/>
      <c r="IF13" s="202"/>
      <c r="IG13" s="202"/>
      <c r="IH13" s="202"/>
      <c r="II13" s="202"/>
      <c r="IJ13" s="202"/>
      <c r="IK13" s="202"/>
      <c r="IL13" s="202"/>
      <c r="IM13" s="202"/>
      <c r="IN13" s="202"/>
      <c r="IO13" s="202"/>
      <c r="IP13" s="202"/>
      <c r="IQ13" s="202"/>
      <c r="IR13" s="202"/>
    </row>
    <row r="14" spans="1:252" s="199" customFormat="1" ht="24.95" customHeight="1">
      <c r="A14" s="199" t="str">
        <f>+IF(Control!D30=1,Section3!N13,Section3!N14)</f>
        <v>Gross profit</v>
      </c>
      <c r="B14" s="202"/>
      <c r="C14" s="387">
        <f>+C12+C13</f>
        <v>0</v>
      </c>
      <c r="D14" s="202"/>
      <c r="E14" s="387">
        <f>+E12+E13</f>
        <v>30189</v>
      </c>
      <c r="F14" s="201"/>
      <c r="G14" s="202"/>
      <c r="H14" s="244" t="str">
        <f>IF(AND(C13=0,E13=0),"N","Y")</f>
        <v>Y</v>
      </c>
      <c r="I14" s="567" t="e">
        <f>+C14/C12</f>
        <v>#DIV/0!</v>
      </c>
      <c r="J14" s="485"/>
      <c r="K14" s="484">
        <f>+E14/E12</f>
        <v>2.4085475554307408E-2</v>
      </c>
      <c r="L14" s="304" t="s">
        <v>1992</v>
      </c>
      <c r="M14" s="202"/>
      <c r="N14" s="202" t="str">
        <f>+IF(I11=K11,S17,S16)</f>
        <v>Gross profit</v>
      </c>
      <c r="P14" s="199" t="s">
        <v>1991</v>
      </c>
      <c r="Q14" s="199" t="str">
        <f>+I12</f>
        <v>profit</v>
      </c>
      <c r="S14" s="202"/>
      <c r="T14" s="202"/>
      <c r="U14" s="202"/>
      <c r="V14" s="202"/>
      <c r="W14" s="202"/>
      <c r="X14" s="202"/>
      <c r="Y14" s="202"/>
      <c r="Z14" s="202"/>
      <c r="AA14" s="202"/>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2"/>
      <c r="CP14" s="202"/>
      <c r="CQ14" s="202"/>
      <c r="CR14" s="202"/>
      <c r="CS14" s="202"/>
      <c r="CT14" s="202"/>
      <c r="CU14" s="202"/>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c r="DZ14" s="202"/>
      <c r="EA14" s="202"/>
      <c r="EB14" s="202"/>
      <c r="EC14" s="202"/>
      <c r="ED14" s="202"/>
      <c r="EE14" s="202"/>
      <c r="EF14" s="202"/>
      <c r="EG14" s="202"/>
      <c r="EH14" s="202"/>
      <c r="EI14" s="202"/>
      <c r="EJ14" s="202"/>
      <c r="EK14" s="202"/>
      <c r="EL14" s="202"/>
      <c r="EM14" s="202"/>
      <c r="EN14" s="202"/>
      <c r="EO14" s="202"/>
      <c r="EP14" s="202"/>
      <c r="EQ14" s="202"/>
      <c r="ER14" s="202"/>
      <c r="ES14" s="202"/>
      <c r="ET14" s="202"/>
      <c r="EU14" s="202"/>
      <c r="EV14" s="202"/>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W14" s="202"/>
      <c r="HX14" s="202"/>
      <c r="HY14" s="202"/>
      <c r="HZ14" s="202"/>
      <c r="IA14" s="202"/>
      <c r="IB14" s="202"/>
      <c r="IC14" s="202"/>
      <c r="ID14" s="202"/>
      <c r="IE14" s="202"/>
      <c r="IF14" s="202"/>
      <c r="IG14" s="202"/>
      <c r="IH14" s="202"/>
      <c r="II14" s="202"/>
      <c r="IJ14" s="202"/>
      <c r="IK14" s="202"/>
      <c r="IL14" s="202"/>
      <c r="IM14" s="202"/>
      <c r="IN14" s="202"/>
      <c r="IO14" s="202"/>
      <c r="IP14" s="202"/>
      <c r="IQ14" s="202"/>
      <c r="IR14" s="202"/>
    </row>
    <row r="15" spans="1:252" s="199" customFormat="1" ht="24.95" customHeight="1">
      <c r="A15" s="199" t="s">
        <v>1942</v>
      </c>
      <c r="B15" s="200"/>
      <c r="C15" s="812">
        <v>0</v>
      </c>
      <c r="D15" s="388"/>
      <c r="E15" s="812">
        <v>1</v>
      </c>
      <c r="F15" s="201"/>
      <c r="H15" s="244" t="str">
        <f>IF(AND(C15=0,E15=0),"N","Y")</f>
        <v>Y</v>
      </c>
      <c r="I15" s="252" t="str">
        <f>+IF(C20&lt;0,"Loss","Profit")</f>
        <v>Profit</v>
      </c>
      <c r="J15" s="252"/>
      <c r="K15" s="253"/>
      <c r="L15" s="253"/>
      <c r="M15" s="253"/>
      <c r="N15" s="253"/>
      <c r="O15" s="253"/>
    </row>
    <row r="16" spans="1:252" s="199" customFormat="1" ht="24.95" customHeight="1">
      <c r="A16" s="199" t="s">
        <v>770</v>
      </c>
      <c r="B16" s="200"/>
      <c r="C16" s="814">
        <v>0</v>
      </c>
      <c r="D16" s="390"/>
      <c r="E16" s="814">
        <v>-19908</v>
      </c>
      <c r="F16" s="213"/>
      <c r="H16" s="244" t="s">
        <v>1279</v>
      </c>
      <c r="I16" s="253" t="str">
        <f>+IF(C20&gt;=0,"1","2")</f>
        <v>1</v>
      </c>
      <c r="J16" s="253"/>
      <c r="K16" s="253" t="str">
        <f>+IF(E20&gt;0,"1","2")</f>
        <v>1</v>
      </c>
      <c r="L16" s="253"/>
      <c r="M16" s="253"/>
      <c r="N16" s="253"/>
      <c r="O16" s="253"/>
      <c r="P16" s="199" t="s">
        <v>1993</v>
      </c>
      <c r="S16" s="199" t="str">
        <f>+CONCATENATE(R18,S18,J12,T18)</f>
        <v>Gross profit/profit</v>
      </c>
    </row>
    <row r="17" spans="1:20" s="199" customFormat="1" ht="24.95" customHeight="1">
      <c r="A17" s="199" t="s">
        <v>1517</v>
      </c>
      <c r="B17" s="200"/>
      <c r="C17" s="814">
        <v>0</v>
      </c>
      <c r="D17" s="390"/>
      <c r="E17" s="814">
        <v>0</v>
      </c>
      <c r="F17" s="213"/>
      <c r="H17" s="244" t="str">
        <f>IF(AND(C17=0,E17=0),"N","Y")</f>
        <v>N</v>
      </c>
      <c r="I17" s="253"/>
      <c r="J17" s="253"/>
      <c r="K17" s="253"/>
      <c r="L17" s="253"/>
      <c r="M17" s="253"/>
      <c r="N17" s="253"/>
      <c r="O17" s="253"/>
      <c r="P17" s="199" t="s">
        <v>1994</v>
      </c>
      <c r="S17" s="199" t="str">
        <f>+CONCATENATE(R18,S18)</f>
        <v>Gross profit</v>
      </c>
    </row>
    <row r="18" spans="1:20" s="199" customFormat="1" ht="24.95" customHeight="1">
      <c r="A18" s="199" t="s">
        <v>1280</v>
      </c>
      <c r="B18" s="200"/>
      <c r="C18" s="814">
        <v>0</v>
      </c>
      <c r="D18" s="390"/>
      <c r="E18" s="814">
        <v>0</v>
      </c>
      <c r="F18" s="213"/>
      <c r="H18" s="244" t="str">
        <f>IF(AND(C18=0,E18=0),"N","Y")</f>
        <v>N</v>
      </c>
      <c r="I18" s="253"/>
      <c r="J18" s="253"/>
      <c r="K18" s="253"/>
      <c r="L18" s="253"/>
      <c r="M18" s="253"/>
      <c r="N18" s="253"/>
      <c r="O18" s="253"/>
      <c r="P18" s="199" t="str">
        <f>+CONCATENATE(R18,S18,J12,T18)</f>
        <v>Gross profit/profit</v>
      </c>
      <c r="R18" s="202" t="s">
        <v>1991</v>
      </c>
      <c r="S18" s="202" t="str">
        <f>+I12</f>
        <v>profit</v>
      </c>
      <c r="T18" s="202" t="str">
        <f>+K12</f>
        <v>profit</v>
      </c>
    </row>
    <row r="19" spans="1:20" s="199" customFormat="1" ht="24.95" customHeight="1">
      <c r="B19" s="200"/>
      <c r="C19" s="389"/>
      <c r="D19" s="390"/>
      <c r="E19" s="389"/>
      <c r="F19" s="213"/>
      <c r="H19" s="244" t="s">
        <v>3</v>
      </c>
      <c r="I19" s="253"/>
      <c r="J19" s="253"/>
      <c r="K19" s="253"/>
      <c r="L19" s="253"/>
      <c r="M19" s="253"/>
      <c r="N19" s="253"/>
      <c r="O19" s="253"/>
      <c r="Q19" s="244"/>
    </row>
    <row r="20" spans="1:20" s="199" customFormat="1" ht="24.95" customHeight="1">
      <c r="A20" s="199" t="str">
        <f>IF(Control!D30=1,CONCATENATE(I25,J25),IF(I16=K16,+CONCATENATE(I15,L20),+CONCATENATE(I20,J20,K20,L20)))</f>
        <v>Profit from operations and before taxation</v>
      </c>
      <c r="B20" s="200">
        <v>5</v>
      </c>
      <c r="C20" s="387">
        <f>SUM(C14:C19)</f>
        <v>0</v>
      </c>
      <c r="D20" s="388"/>
      <c r="E20" s="387">
        <f>SUM(E14:E19)</f>
        <v>10282</v>
      </c>
      <c r="F20" s="201"/>
      <c r="H20" s="244" t="s">
        <v>3</v>
      </c>
      <c r="I20" s="253" t="str">
        <f>+IF(C20&lt;0,"(Loss)","Profit")</f>
        <v>Profit</v>
      </c>
      <c r="J20" s="253" t="s">
        <v>487</v>
      </c>
      <c r="K20" s="253" t="str">
        <f>+IF(E20&lt;0,"(loss)","profit")</f>
        <v>profit</v>
      </c>
      <c r="L20" s="253" t="s">
        <v>771</v>
      </c>
      <c r="M20" s="253"/>
      <c r="N20" s="253"/>
      <c r="O20" s="253"/>
      <c r="Q20" s="244"/>
    </row>
    <row r="21" spans="1:20" s="199" customFormat="1" ht="23.25" customHeight="1">
      <c r="A21" s="199" t="s">
        <v>772</v>
      </c>
      <c r="B21" s="200">
        <v>6</v>
      </c>
      <c r="C21" s="813">
        <v>0</v>
      </c>
      <c r="D21" s="388"/>
      <c r="E21" s="814">
        <v>-433</v>
      </c>
      <c r="F21" s="214"/>
      <c r="H21" s="244" t="s">
        <v>3</v>
      </c>
      <c r="I21" s="254" t="str">
        <f>+IF(C22&lt;0,"Loss","Profit")</f>
        <v>Profit</v>
      </c>
      <c r="J21" s="254"/>
      <c r="K21" s="254"/>
      <c r="L21" s="254"/>
      <c r="M21" s="254"/>
      <c r="N21" s="254"/>
      <c r="O21" s="254"/>
      <c r="Q21" s="244"/>
    </row>
    <row r="22" spans="1:20" s="199" customFormat="1" ht="24.95" customHeight="1" thickBot="1">
      <c r="A22" s="199" t="str">
        <f>IF(Control!D30=1,CONCATENATE(I26,J26),IF(I22=K22,+CONCATENATE(I21,L23),+CONCATENATE(I23,J23,K23,L23)))</f>
        <v>Profit after taxation</v>
      </c>
      <c r="B22" s="200"/>
      <c r="C22" s="391">
        <f>+C20+C21</f>
        <v>0</v>
      </c>
      <c r="D22" s="388"/>
      <c r="E22" s="391">
        <f>+E20+E21</f>
        <v>9849</v>
      </c>
      <c r="F22" s="214"/>
      <c r="H22" s="244" t="s">
        <v>3</v>
      </c>
      <c r="I22" s="254" t="str">
        <f>+IF(C22&gt;=0,"1","2")</f>
        <v>1</v>
      </c>
      <c r="J22" s="254"/>
      <c r="K22" s="254" t="str">
        <f>+IF(E22&gt;0,"1","2")</f>
        <v>1</v>
      </c>
      <c r="L22" s="254"/>
      <c r="M22" s="254"/>
      <c r="N22" s="254"/>
      <c r="O22" s="254"/>
      <c r="Q22" s="244"/>
    </row>
    <row r="23" spans="1:20" s="199" customFormat="1" ht="16.5" thickTop="1">
      <c r="B23" s="200"/>
      <c r="C23" s="201"/>
      <c r="E23" s="201"/>
      <c r="F23" s="201"/>
      <c r="G23" t="s">
        <v>773</v>
      </c>
      <c r="H23" s="244"/>
      <c r="I23" s="254" t="str">
        <f>+IF(C22&lt;0,"(Loss)","Profit")</f>
        <v>Profit</v>
      </c>
      <c r="J23" s="254" t="s">
        <v>487</v>
      </c>
      <c r="K23" s="254" t="str">
        <f>+IF(E22&lt;0,"(loss)","profit")</f>
        <v>profit</v>
      </c>
      <c r="L23" s="254" t="s">
        <v>774</v>
      </c>
      <c r="M23" s="254"/>
      <c r="N23" s="254"/>
      <c r="O23" s="254"/>
      <c r="P23"/>
      <c r="Q23" s="244"/>
    </row>
    <row r="24" spans="1:20">
      <c r="H24" s="244" t="s">
        <v>3</v>
      </c>
      <c r="I24" t="str">
        <f>+IF(C22&lt;0,"Loss","Profit")</f>
        <v>Profit</v>
      </c>
      <c r="Q24" s="244"/>
    </row>
    <row r="25" spans="1:20">
      <c r="H25" s="244" t="s">
        <v>3</v>
      </c>
      <c r="I25" t="str">
        <f>+IF(E20&lt;0,"Loss","Profit")</f>
        <v>Profit</v>
      </c>
      <c r="J25" t="s">
        <v>771</v>
      </c>
      <c r="Q25" s="244"/>
    </row>
    <row r="26" spans="1:20">
      <c r="H26" s="244" t="s">
        <v>3</v>
      </c>
      <c r="I26" t="str">
        <f>+IF(E22&lt;0,"Loss","Profit")</f>
        <v>Profit</v>
      </c>
      <c r="J26" t="s">
        <v>774</v>
      </c>
      <c r="Q26" s="244"/>
    </row>
    <row r="27" spans="1:20">
      <c r="H27" s="244" t="s">
        <v>3</v>
      </c>
      <c r="Q27" s="244"/>
    </row>
    <row r="28" spans="1:20">
      <c r="H28" s="244" t="s">
        <v>3</v>
      </c>
      <c r="Q28" s="244"/>
    </row>
    <row r="29" spans="1:20">
      <c r="H29" s="244" t="s">
        <v>3</v>
      </c>
      <c r="Q29" s="244"/>
    </row>
    <row r="30" spans="1:20">
      <c r="H30" s="244" t="s">
        <v>3</v>
      </c>
      <c r="Q30" s="244"/>
    </row>
    <row r="31" spans="1:20">
      <c r="H31" s="244" t="s">
        <v>3</v>
      </c>
      <c r="Q31" s="244"/>
    </row>
    <row r="32" spans="1:20">
      <c r="H32" s="244" t="s">
        <v>3</v>
      </c>
      <c r="Q32" s="244"/>
    </row>
    <row r="33" spans="1:17">
      <c r="A33" s="43" t="s">
        <v>775</v>
      </c>
      <c r="H33" s="244" t="s">
        <v>3</v>
      </c>
      <c r="Q33" s="244"/>
    </row>
    <row r="34" spans="1:17">
      <c r="H34" s="244" t="s">
        <v>3</v>
      </c>
      <c r="Q34" s="244"/>
    </row>
    <row r="35" spans="1:17">
      <c r="A35" s="43" t="str">
        <f>+CONCATENATE("  ",I35,I36,I37,I38,I39)</f>
        <v xml:space="preserve">  There were no recognised profits or losses other than the profit for the period.</v>
      </c>
      <c r="H35" s="244" t="s">
        <v>3</v>
      </c>
      <c r="I35" s="53" t="s">
        <v>776</v>
      </c>
      <c r="J35" s="53"/>
      <c r="K35" s="53"/>
      <c r="L35" s="53"/>
      <c r="M35" s="53"/>
      <c r="N35" s="53"/>
      <c r="O35" s="53"/>
      <c r="Q35" s="244"/>
    </row>
    <row r="36" spans="1:17">
      <c r="A36" s="43"/>
      <c r="G36" t="s">
        <v>11</v>
      </c>
      <c r="I36" s="53" t="str">
        <f>IF(Control!D30=0,LOWER(I24),LOWER(I26))</f>
        <v>profit</v>
      </c>
      <c r="J36" s="53"/>
      <c r="K36" s="53"/>
      <c r="L36" s="53"/>
      <c r="M36" s="53"/>
      <c r="N36" s="53"/>
      <c r="O36" s="53"/>
    </row>
    <row r="37" spans="1:17">
      <c r="A37" s="43"/>
      <c r="I37" s="53" t="s">
        <v>659</v>
      </c>
      <c r="J37" s="53"/>
      <c r="K37" s="53"/>
      <c r="L37" s="53"/>
      <c r="M37" s="53"/>
      <c r="N37" s="53"/>
      <c r="O37" s="53"/>
    </row>
    <row r="38" spans="1:17">
      <c r="A38" s="43"/>
      <c r="I38" s="53" t="str">
        <f>+LOWER(Control!D9)</f>
        <v>period</v>
      </c>
      <c r="J38" s="53"/>
      <c r="K38" s="53"/>
      <c r="L38" s="53"/>
      <c r="M38" s="53"/>
      <c r="N38" s="53"/>
      <c r="O38" s="53"/>
    </row>
    <row r="39" spans="1:17">
      <c r="I39" s="53" t="s">
        <v>239</v>
      </c>
      <c r="J39" s="53"/>
      <c r="K39" s="53"/>
      <c r="L39" s="53"/>
      <c r="M39" s="53"/>
      <c r="N39" s="53"/>
      <c r="O39" s="53"/>
    </row>
  </sheetData>
  <mergeCells count="1">
    <mergeCell ref="A5:E5"/>
  </mergeCells>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9"/>
  <dimension ref="A1:P84"/>
  <sheetViews>
    <sheetView topLeftCell="A31" zoomScale="85" zoomScaleNormal="85" workbookViewId="0">
      <selection activeCell="A60" sqref="A60:XFD60"/>
    </sheetView>
  </sheetViews>
  <sheetFormatPr defaultRowHeight="15.75"/>
  <cols>
    <col min="1" max="1" width="34.875" style="759" customWidth="1" collapsed="1"/>
    <col min="2" max="2" width="8.125" style="758" customWidth="1" collapsed="1"/>
    <col min="3" max="3" width="13" style="759" customWidth="1" collapsed="1"/>
    <col min="4" max="4" width="5.125" style="759" customWidth="1" collapsed="1"/>
    <col min="5" max="7" width="13.125" style="759" customWidth="1" collapsed="1"/>
    <col min="8" max="8" width="4.25" style="759" customWidth="1" collapsed="1"/>
    <col min="9" max="9" width="11.875" style="759" bestFit="1" customWidth="1" collapsed="1"/>
    <col min="10" max="12" width="9" style="759" collapsed="1"/>
    <col min="13" max="13" width="11" style="759" bestFit="1" customWidth="1" collapsed="1"/>
    <col min="14" max="16384" width="9" style="759" collapsed="1"/>
  </cols>
  <sheetData>
    <row r="1" spans="1:11">
      <c r="A1" s="757"/>
      <c r="F1" s="759" t="s">
        <v>12</v>
      </c>
    </row>
    <row r="2" spans="1:11">
      <c r="A2" s="757" t="s">
        <v>1292</v>
      </c>
      <c r="F2" s="759" t="s">
        <v>12</v>
      </c>
      <c r="I2" s="760"/>
    </row>
    <row r="3" spans="1:11">
      <c r="A3" s="761" t="str">
        <f>+CONCATENATE(I3,I4)</f>
        <v>AS AT 31 DECEMBER, 2016</v>
      </c>
      <c r="B3" s="762"/>
      <c r="C3" s="763"/>
      <c r="D3" s="763"/>
      <c r="E3" s="763"/>
      <c r="F3" s="764" t="s">
        <v>12</v>
      </c>
      <c r="G3" s="764"/>
      <c r="H3" s="764"/>
      <c r="I3" s="765" t="s">
        <v>777</v>
      </c>
      <c r="J3" s="766"/>
      <c r="K3" s="765" t="s">
        <v>764</v>
      </c>
    </row>
    <row r="4" spans="1:11">
      <c r="A4" s="767" t="str">
        <f>+CONCATENATE(K3,K4,K5)</f>
        <v>(Expressed in United States Dollars)</v>
      </c>
      <c r="B4" s="768"/>
      <c r="C4" s="767">
        <v>0</v>
      </c>
      <c r="D4" s="767"/>
      <c r="E4" s="767">
        <v>0</v>
      </c>
      <c r="F4" s="764" t="s">
        <v>12</v>
      </c>
      <c r="G4" s="769"/>
      <c r="H4" s="769"/>
      <c r="I4" s="765" t="str">
        <f>+Control!D7</f>
        <v>31 DECEMBER, 2016</v>
      </c>
      <c r="K4" s="765" t="str">
        <f>+Control!D67</f>
        <v>United States Dollars</v>
      </c>
    </row>
    <row r="5" spans="1:11">
      <c r="F5" s="759" t="s">
        <v>12</v>
      </c>
      <c r="K5" s="765" t="s">
        <v>5</v>
      </c>
    </row>
    <row r="6" spans="1:11">
      <c r="F6" s="759" t="s">
        <v>2</v>
      </c>
      <c r="K6" s="765"/>
    </row>
    <row r="7" spans="1:11" ht="15" customHeight="1">
      <c r="A7" s="770">
        <v>210</v>
      </c>
      <c r="B7" s="758">
        <v>40</v>
      </c>
      <c r="C7" s="770">
        <v>0</v>
      </c>
      <c r="D7" s="770">
        <v>20</v>
      </c>
      <c r="E7" s="770">
        <v>0</v>
      </c>
      <c r="F7" s="770" t="s">
        <v>13</v>
      </c>
      <c r="G7" s="770">
        <v>16</v>
      </c>
      <c r="H7" s="770"/>
    </row>
    <row r="8" spans="1:11" s="771" customFormat="1" ht="15" customHeight="1">
      <c r="B8" s="772" t="s">
        <v>765</v>
      </c>
      <c r="C8" s="773" t="str">
        <f>+Section3!C10</f>
        <v>31.12.2016</v>
      </c>
      <c r="E8" s="773" t="str">
        <f>+Section3!E10</f>
        <v>31.12.2016</v>
      </c>
      <c r="F8" s="774"/>
      <c r="G8" s="775" t="s">
        <v>3</v>
      </c>
      <c r="H8" s="775"/>
    </row>
    <row r="9" spans="1:11" s="771" customFormat="1" ht="15" customHeight="1">
      <c r="B9" s="776"/>
      <c r="C9" s="777"/>
      <c r="E9" s="778"/>
      <c r="F9" s="778"/>
      <c r="G9" s="779" t="s">
        <v>3</v>
      </c>
      <c r="H9" s="779"/>
    </row>
    <row r="10" spans="1:11" s="771" customFormat="1" ht="15" customHeight="1">
      <c r="A10" s="780" t="s">
        <v>1370</v>
      </c>
      <c r="B10" s="776"/>
      <c r="C10" s="781"/>
      <c r="D10" s="782"/>
      <c r="E10" s="783"/>
      <c r="F10" s="778"/>
      <c r="G10" s="779" t="str">
        <f>+IF(Control!D32=1,"Y",IF((C11+E11+C15+E15+C14+E14+C12+C13+E12+E13)=0,"N","Y"))</f>
        <v>Y</v>
      </c>
      <c r="H10" s="779"/>
    </row>
    <row r="11" spans="1:11" s="771" customFormat="1" ht="15" customHeight="1">
      <c r="A11" s="784" t="s">
        <v>779</v>
      </c>
      <c r="B11" s="776">
        <v>7</v>
      </c>
      <c r="C11" s="781">
        <v>0</v>
      </c>
      <c r="D11" s="782"/>
      <c r="E11" s="781">
        <v>0</v>
      </c>
      <c r="F11" s="778"/>
      <c r="G11" s="779" t="str">
        <f>+IF(Control!D32=1,"Y","N")</f>
        <v>Y</v>
      </c>
      <c r="H11" s="779">
        <f>+IF(G11="Y",1,0)</f>
        <v>1</v>
      </c>
    </row>
    <row r="12" spans="1:11" s="771" customFormat="1" ht="15" customHeight="1">
      <c r="A12" s="784" t="s">
        <v>1626</v>
      </c>
      <c r="B12" s="776"/>
      <c r="C12" s="781">
        <v>0</v>
      </c>
      <c r="D12" s="782"/>
      <c r="E12" s="781">
        <v>0</v>
      </c>
      <c r="F12" s="778"/>
      <c r="G12" s="779" t="str">
        <f>IF(AND(C12=0,E12=0),"N","Y")</f>
        <v>N</v>
      </c>
      <c r="H12" s="779"/>
    </row>
    <row r="13" spans="1:11" s="771" customFormat="1" ht="15" customHeight="1">
      <c r="A13" s="784" t="s">
        <v>1856</v>
      </c>
      <c r="B13" s="776"/>
      <c r="C13" s="781">
        <v>0</v>
      </c>
      <c r="D13" s="782"/>
      <c r="E13" s="781">
        <v>0</v>
      </c>
      <c r="F13" s="778"/>
      <c r="G13" s="779" t="str">
        <f>IF(AND(C13=0,E13=0),"N","Y")</f>
        <v>N</v>
      </c>
      <c r="H13" s="779"/>
    </row>
    <row r="14" spans="1:11" s="771" customFormat="1" ht="15" customHeight="1">
      <c r="A14" s="784" t="s">
        <v>1882</v>
      </c>
      <c r="B14" s="776">
        <f>6+H11+H14</f>
        <v>7</v>
      </c>
      <c r="C14" s="781">
        <v>0</v>
      </c>
      <c r="D14" s="782"/>
      <c r="E14" s="781">
        <v>0</v>
      </c>
      <c r="F14" s="778"/>
      <c r="G14" s="779" t="str">
        <f>IF(AND(C14=0,E14=0),"N","Y")</f>
        <v>N</v>
      </c>
      <c r="H14" s="779">
        <f>+IF(G14="Y",1,0)</f>
        <v>0</v>
      </c>
    </row>
    <row r="15" spans="1:11" s="771" customFormat="1" ht="15" customHeight="1">
      <c r="A15" s="784" t="s">
        <v>1741</v>
      </c>
      <c r="B15" s="776">
        <f>6+H11+H15+H14</f>
        <v>7</v>
      </c>
      <c r="C15" s="781">
        <v>0</v>
      </c>
      <c r="D15" s="782"/>
      <c r="E15" s="781">
        <v>10250</v>
      </c>
      <c r="F15" s="778"/>
      <c r="G15" s="779" t="str">
        <f>IF(AND(C15=0,E15=0),"N","Y")</f>
        <v>N</v>
      </c>
      <c r="H15" s="779">
        <f>+IF(G15="Y",1,0)</f>
        <v>0</v>
      </c>
    </row>
    <row r="16" spans="1:11" s="771" customFormat="1" ht="15" customHeight="1">
      <c r="A16" s="784"/>
      <c r="B16" s="776"/>
      <c r="C16" s="781">
        <v>0</v>
      </c>
      <c r="D16" s="782"/>
      <c r="E16" s="781">
        <v>423804</v>
      </c>
      <c r="F16" s="778"/>
      <c r="G16" s="779" t="str">
        <f>+G10</f>
        <v>Y</v>
      </c>
      <c r="H16" s="779"/>
    </row>
    <row r="17" spans="1:16" s="771" customFormat="1" ht="15" customHeight="1">
      <c r="A17" s="784"/>
      <c r="B17" s="776"/>
      <c r="C17" s="785">
        <f>SUM(C11:C15)</f>
        <v>0</v>
      </c>
      <c r="D17" s="782"/>
      <c r="E17" s="785">
        <f>SUM(E11:E15)</f>
        <v>0</v>
      </c>
      <c r="F17" s="778"/>
      <c r="G17" s="779" t="str">
        <f>IF(AND(C17=0,E17=0),"N","Y")</f>
        <v>N</v>
      </c>
      <c r="H17" s="786"/>
    </row>
    <row r="18" spans="1:16" s="771" customFormat="1" ht="15" customHeight="1">
      <c r="A18" s="787"/>
      <c r="B18" s="776"/>
      <c r="C18" s="788" t="e">
        <f>+'Dir info'!#REF!</f>
        <v>#REF!</v>
      </c>
      <c r="D18" s="789"/>
      <c r="E18" s="788">
        <v>0</v>
      </c>
      <c r="F18" s="778"/>
      <c r="G18" s="779" t="str">
        <f>+IF(Control!D32=1,"Y","N")</f>
        <v>Y</v>
      </c>
      <c r="H18" s="779"/>
    </row>
    <row r="19" spans="1:16" s="771" customFormat="1" ht="15" customHeight="1">
      <c r="A19" s="790" t="s">
        <v>780</v>
      </c>
      <c r="B19" s="776"/>
      <c r="C19" s="781">
        <v>0</v>
      </c>
      <c r="D19" s="782"/>
      <c r="E19" s="781">
        <v>0</v>
      </c>
      <c r="F19" s="778"/>
      <c r="G19" s="779" t="s">
        <v>3</v>
      </c>
      <c r="H19" s="779"/>
      <c r="J19" s="771" t="s">
        <v>781</v>
      </c>
    </row>
    <row r="20" spans="1:16" s="771" customFormat="1" ht="15" customHeight="1">
      <c r="A20" s="784" t="str">
        <f>+CONCATENATE("  ",J20)</f>
        <v xml:space="preserve">  Investment on trusts</v>
      </c>
      <c r="B20" s="776">
        <f>6+H11+H15+H20+H14</f>
        <v>7</v>
      </c>
      <c r="C20" s="781">
        <v>0</v>
      </c>
      <c r="D20" s="782"/>
      <c r="E20" s="781">
        <v>0</v>
      </c>
      <c r="F20" s="778"/>
      <c r="G20" s="779" t="str">
        <f>IF(AND(C20=0,E20=0),"N","Y")</f>
        <v>N</v>
      </c>
      <c r="H20" s="779">
        <f>+IF(G20="Y",1,0)</f>
        <v>0</v>
      </c>
      <c r="I20" s="771" t="s">
        <v>1172</v>
      </c>
      <c r="J20" s="771" t="s">
        <v>1174</v>
      </c>
    </row>
    <row r="21" spans="1:16" s="771" customFormat="1" ht="15" customHeight="1">
      <c r="A21" s="784" t="s">
        <v>782</v>
      </c>
      <c r="B21" s="208" t="s">
        <v>2012</v>
      </c>
      <c r="C21" s="781">
        <v>0</v>
      </c>
      <c r="D21" s="782"/>
      <c r="E21" s="812">
        <v>147259</v>
      </c>
      <c r="F21" s="778"/>
      <c r="G21" s="779" t="str">
        <f>IF(AND(C21=0,E21=0),"N","Y")</f>
        <v>Y</v>
      </c>
      <c r="H21" s="779"/>
    </row>
    <row r="22" spans="1:16" s="771" customFormat="1" ht="15" customHeight="1">
      <c r="A22" s="784" t="s">
        <v>783</v>
      </c>
      <c r="B22" s="776"/>
      <c r="C22" s="783">
        <v>0</v>
      </c>
      <c r="D22" s="782"/>
      <c r="E22" s="783">
        <v>0</v>
      </c>
      <c r="F22" s="778"/>
      <c r="G22" s="779" t="str">
        <f>IF(AND(C22=0,E22=0),"N","Y")</f>
        <v>N</v>
      </c>
      <c r="H22" s="779"/>
    </row>
    <row r="23" spans="1:16" s="771" customFormat="1" ht="15" customHeight="1">
      <c r="A23" s="784" t="s">
        <v>1299</v>
      </c>
      <c r="B23" s="776"/>
      <c r="C23" s="781">
        <v>0</v>
      </c>
      <c r="D23" s="782"/>
      <c r="E23" s="781">
        <v>0</v>
      </c>
      <c r="F23" s="778"/>
      <c r="G23" s="779" t="str">
        <f t="shared" ref="G23:G30" si="0">IF(AND(C23=0,E23=0),"N","Y")</f>
        <v>N</v>
      </c>
      <c r="H23" s="779"/>
      <c r="I23" s="791">
        <f>+C27+E27+C44+E44</f>
        <v>632330</v>
      </c>
      <c r="J23" s="771" t="s">
        <v>784</v>
      </c>
    </row>
    <row r="24" spans="1:16" s="771" customFormat="1" ht="15" customHeight="1">
      <c r="A24" s="784" t="s">
        <v>1295</v>
      </c>
      <c r="B24" s="776"/>
      <c r="C24" s="781">
        <v>0</v>
      </c>
      <c r="D24" s="782"/>
      <c r="E24" s="781">
        <v>0</v>
      </c>
      <c r="F24" s="778"/>
      <c r="G24" s="779" t="str">
        <f>IF(AND(C24=0,E24=0),"N","Y")</f>
        <v>N</v>
      </c>
      <c r="H24" s="779"/>
      <c r="I24" s="791"/>
    </row>
    <row r="25" spans="1:16" s="771" customFormat="1" ht="15" customHeight="1">
      <c r="A25" s="784" t="s">
        <v>1759</v>
      </c>
      <c r="B25" s="776"/>
      <c r="C25" s="781">
        <v>0</v>
      </c>
      <c r="D25" s="782"/>
      <c r="E25" s="781">
        <v>288153</v>
      </c>
      <c r="F25" s="778"/>
      <c r="G25" s="779" t="str">
        <f>IF(AND(C25=0,E25=0),"N","Y")</f>
        <v>N</v>
      </c>
      <c r="H25" s="779"/>
      <c r="I25" s="791">
        <f>+C28+E28+C42+E42</f>
        <v>0</v>
      </c>
      <c r="J25" s="771" t="s">
        <v>785</v>
      </c>
    </row>
    <row r="26" spans="1:16" s="771" customFormat="1" ht="15" customHeight="1">
      <c r="A26" s="784" t="s">
        <v>1883</v>
      </c>
      <c r="B26" s="779">
        <f>6+H11+H15+H20+H26+H14</f>
        <v>7</v>
      </c>
      <c r="C26" s="781">
        <v>0</v>
      </c>
      <c r="D26" s="782"/>
      <c r="E26" s="781">
        <f>30306+3000</f>
        <v>33306</v>
      </c>
      <c r="F26" s="778"/>
      <c r="G26" s="779" t="str">
        <f>IF(AND(C26=0,E26=0),"N","Y")</f>
        <v>N</v>
      </c>
      <c r="H26" s="779">
        <f>+IF(G26="Y",1,0)</f>
        <v>0</v>
      </c>
      <c r="I26" s="791"/>
    </row>
    <row r="27" spans="1:16" s="771" customFormat="1" ht="15" customHeight="1">
      <c r="A27" s="787" t="str">
        <f>+IF('Dir info'!K20&gt;1,Section4!J27,Section4!I27)</f>
        <v>Amount due from a director</v>
      </c>
      <c r="B27" s="779">
        <f>6+H11+H15+H20+H27+H14+H26</f>
        <v>7</v>
      </c>
      <c r="C27" s="781">
        <f>+'Dir info'!K18</f>
        <v>0</v>
      </c>
      <c r="D27" s="782"/>
      <c r="E27" s="781">
        <v>0</v>
      </c>
      <c r="F27" s="778"/>
      <c r="G27" s="779" t="str">
        <f>IF(AND(C27=0,E27=0),"N","Y")</f>
        <v>N</v>
      </c>
      <c r="H27" s="779">
        <f>+IF(G27="Y",1,0)</f>
        <v>0</v>
      </c>
      <c r="I27" s="792" t="s">
        <v>1887</v>
      </c>
      <c r="J27" s="771" t="s">
        <v>1888</v>
      </c>
      <c r="L27" s="771">
        <f>+IF(C27&gt;0,1,0)</f>
        <v>0</v>
      </c>
      <c r="M27" s="771" t="s">
        <v>1118</v>
      </c>
      <c r="N27" s="771">
        <f>+IF(E27&gt;0,1,0)</f>
        <v>0</v>
      </c>
      <c r="O27" s="771" t="s">
        <v>1119</v>
      </c>
    </row>
    <row r="28" spans="1:16" s="771" customFormat="1" ht="15" customHeight="1">
      <c r="A28" s="787" t="str">
        <f>+CONCATENATE(I28)</f>
        <v>Amount due from a shareholder</v>
      </c>
      <c r="B28" s="779">
        <f>6+H11+H15+H20+H27+H28+H14+H26</f>
        <v>7</v>
      </c>
      <c r="C28" s="781">
        <v>0</v>
      </c>
      <c r="D28" s="782"/>
      <c r="E28" s="781">
        <v>0</v>
      </c>
      <c r="F28" s="778"/>
      <c r="G28" s="779" t="str">
        <f t="shared" si="0"/>
        <v>N</v>
      </c>
      <c r="H28" s="779">
        <f>+IF(G28="Y",1,0)</f>
        <v>0</v>
      </c>
      <c r="I28" s="792" t="s">
        <v>1192</v>
      </c>
      <c r="L28" s="771">
        <f>+IF(C44&gt;0,1,0)</f>
        <v>1</v>
      </c>
      <c r="M28" s="771" t="s">
        <v>1118</v>
      </c>
      <c r="N28" s="771">
        <f>+IF(E44&gt;0,1,0)</f>
        <v>1</v>
      </c>
      <c r="O28" s="771" t="s">
        <v>1120</v>
      </c>
    </row>
    <row r="29" spans="1:16" s="771" customFormat="1" ht="15" customHeight="1">
      <c r="A29" s="784" t="s">
        <v>1884</v>
      </c>
      <c r="B29" s="776"/>
      <c r="C29" s="781">
        <v>0</v>
      </c>
      <c r="D29" s="782"/>
      <c r="E29" s="781">
        <v>0</v>
      </c>
      <c r="F29" s="778"/>
      <c r="G29" s="779" t="str">
        <f>IF(AND(C29=0,E29=0),"N","Y")</f>
        <v>N</v>
      </c>
      <c r="H29" s="779"/>
      <c r="I29" s="792"/>
    </row>
    <row r="30" spans="1:16" s="771" customFormat="1" ht="15" customHeight="1">
      <c r="A30" s="784" t="s">
        <v>1885</v>
      </c>
      <c r="B30" s="776"/>
      <c r="C30" s="781">
        <v>0</v>
      </c>
      <c r="D30" s="782"/>
      <c r="E30" s="781">
        <v>0</v>
      </c>
      <c r="F30" s="778"/>
      <c r="G30" s="779" t="str">
        <f t="shared" si="0"/>
        <v>Y</v>
      </c>
      <c r="H30" s="779"/>
      <c r="I30" s="792" t="s">
        <v>786</v>
      </c>
      <c r="L30" s="771" t="s">
        <v>1121</v>
      </c>
      <c r="M30" s="771" t="str">
        <f>+IF(L28+N28=0,"FROM","TO")</f>
        <v>TO</v>
      </c>
      <c r="N30" s="771" t="str">
        <f>+IF('Dir info'!K20+'Dir info'!N20=1," A DIRECTOR"," DIRECTORS")</f>
        <v xml:space="preserve"> A DIRECTOR</v>
      </c>
      <c r="P30" s="771" t="str">
        <f>+CONCATENATE(L30,P33,N30)</f>
        <v>AMOUNT DUE TO A DIRECTOR</v>
      </c>
    </row>
    <row r="31" spans="1:16" s="771" customFormat="1" ht="15" customHeight="1">
      <c r="A31" s="784"/>
      <c r="B31" s="776"/>
      <c r="C31" s="781">
        <v>0</v>
      </c>
      <c r="D31" s="782"/>
      <c r="E31" s="781">
        <v>0</v>
      </c>
      <c r="F31" s="778"/>
      <c r="G31" s="779" t="str">
        <f>+G19</f>
        <v>Y</v>
      </c>
      <c r="H31" s="779"/>
      <c r="I31" s="792"/>
    </row>
    <row r="32" spans="1:16" s="771" customFormat="1" ht="15" customHeight="1">
      <c r="A32" s="787"/>
      <c r="B32" s="776"/>
      <c r="C32" s="793">
        <f>SUM(C20:C30)</f>
        <v>0</v>
      </c>
      <c r="D32" s="782"/>
      <c r="E32" s="793">
        <f>SUM(E20:E30)</f>
        <v>0</v>
      </c>
      <c r="F32" s="794"/>
      <c r="G32" s="786" t="s">
        <v>3</v>
      </c>
      <c r="H32" s="786"/>
      <c r="I32" s="792" t="s">
        <v>787</v>
      </c>
      <c r="J32" s="771" t="s">
        <v>1889</v>
      </c>
      <c r="L32" s="771" t="str">
        <f>+IF(L28=0,"FROM","(TO)")</f>
        <v>(TO)</v>
      </c>
      <c r="M32" s="771" t="s">
        <v>1122</v>
      </c>
      <c r="N32" s="771" t="str">
        <f>+IF(N28=1,"(TO)","FROM")</f>
        <v>(TO)</v>
      </c>
    </row>
    <row r="33" spans="1:16" s="771" customFormat="1" ht="15" customHeight="1">
      <c r="A33" s="790" t="s">
        <v>788</v>
      </c>
      <c r="B33" s="776"/>
      <c r="C33" s="781">
        <v>0</v>
      </c>
      <c r="D33" s="782"/>
      <c r="E33" s="783">
        <v>0</v>
      </c>
      <c r="F33" s="778"/>
      <c r="G33" s="779" t="s">
        <v>3</v>
      </c>
      <c r="H33" s="779"/>
      <c r="I33" s="771" t="s">
        <v>789</v>
      </c>
      <c r="J33" s="771" t="str">
        <f>+IF(E48&gt;0,"ASSETS","LIABILITIES")</f>
        <v>ASSETS</v>
      </c>
      <c r="P33" s="771" t="str">
        <f>+IF(L27+N27=L28+N28,CONCATENATE(L32,M32,N32),M30)</f>
        <v>TO</v>
      </c>
    </row>
    <row r="34" spans="1:16" s="771" customFormat="1" ht="15" customHeight="1">
      <c r="A34" s="489" t="s">
        <v>790</v>
      </c>
      <c r="B34" s="208"/>
      <c r="C34" s="812" t="e">
        <f>-'Dir info'!#REF!</f>
        <v>#REF!</v>
      </c>
      <c r="D34" s="815"/>
      <c r="E34" s="812">
        <v>1787545</v>
      </c>
      <c r="F34" s="778"/>
      <c r="G34" s="779" t="str">
        <f t="shared" ref="G34:G44" si="1">IF(AND(C34=0,E34=0),"N","Y")</f>
        <v>Y</v>
      </c>
      <c r="H34" s="779"/>
      <c r="I34" s="771" t="s">
        <v>791</v>
      </c>
      <c r="J34" s="771" t="str">
        <f>+IF(E55&gt;0,"ASSETS","LIABILITIES")</f>
        <v>ASSETS</v>
      </c>
    </row>
    <row r="35" spans="1:16" s="771" customFormat="1" ht="15" customHeight="1">
      <c r="A35" s="489" t="s">
        <v>1760</v>
      </c>
      <c r="B35" s="208"/>
      <c r="C35" s="812">
        <v>0</v>
      </c>
      <c r="D35" s="815"/>
      <c r="E35" s="812">
        <v>0</v>
      </c>
      <c r="F35" s="778"/>
      <c r="G35" s="779" t="str">
        <f t="shared" si="1"/>
        <v>N</v>
      </c>
      <c r="H35" s="779"/>
    </row>
    <row r="36" spans="1:16" s="771" customFormat="1" ht="15" customHeight="1">
      <c r="A36" s="489" t="s">
        <v>1377</v>
      </c>
      <c r="B36" s="208"/>
      <c r="C36" s="812">
        <v>0</v>
      </c>
      <c r="D36" s="815"/>
      <c r="E36" s="812">
        <v>0</v>
      </c>
      <c r="F36" s="778"/>
      <c r="G36" s="779" t="str">
        <f t="shared" si="1"/>
        <v>N</v>
      </c>
      <c r="H36" s="779"/>
    </row>
    <row r="37" spans="1:16" s="771" customFormat="1" ht="15" customHeight="1">
      <c r="A37" s="489" t="s">
        <v>1282</v>
      </c>
      <c r="B37" s="208"/>
      <c r="C37" s="812">
        <v>0</v>
      </c>
      <c r="D37" s="815"/>
      <c r="E37" s="812">
        <v>0</v>
      </c>
      <c r="F37" s="778"/>
      <c r="G37" s="779" t="str">
        <f t="shared" si="1"/>
        <v>N</v>
      </c>
      <c r="H37" s="779"/>
    </row>
    <row r="38" spans="1:16" s="771" customFormat="1" ht="15" customHeight="1">
      <c r="A38" s="489" t="s">
        <v>1307</v>
      </c>
      <c r="B38" s="208"/>
      <c r="C38" s="812">
        <v>0</v>
      </c>
      <c r="D38" s="815"/>
      <c r="E38" s="812">
        <v>3224</v>
      </c>
      <c r="F38" s="778"/>
      <c r="G38" s="779" t="str">
        <f t="shared" si="1"/>
        <v>Y</v>
      </c>
      <c r="H38" s="779"/>
      <c r="I38" s="771" t="s">
        <v>37</v>
      </c>
      <c r="M38" s="771" t="str">
        <f>+IF(C48&gt;0,"ASSETS","(LIABILITIES)")</f>
        <v>(LIABILITIES)</v>
      </c>
      <c r="O38" s="771" t="s">
        <v>487</v>
      </c>
    </row>
    <row r="39" spans="1:16" s="795" customFormat="1" ht="15" customHeight="1">
      <c r="A39" s="795" t="s">
        <v>1317</v>
      </c>
      <c r="B39" s="779">
        <f>6+H11+H15+H20+H27+H28+H40+H39+H14+H26</f>
        <v>7</v>
      </c>
      <c r="C39" s="796">
        <v>0</v>
      </c>
      <c r="D39" s="797"/>
      <c r="E39" s="796">
        <v>0</v>
      </c>
      <c r="F39" s="798"/>
      <c r="G39" s="799" t="str">
        <f t="shared" si="1"/>
        <v>N</v>
      </c>
      <c r="H39" s="779">
        <f>+IF(G39="Y",1,0)</f>
        <v>0</v>
      </c>
      <c r="I39" s="795" t="s">
        <v>1271</v>
      </c>
    </row>
    <row r="40" spans="1:16" s="771" customFormat="1" ht="15" customHeight="1">
      <c r="A40" s="787" t="s">
        <v>1281</v>
      </c>
      <c r="B40" s="779"/>
      <c r="C40" s="781">
        <v>0</v>
      </c>
      <c r="D40" s="782"/>
      <c r="E40" s="781">
        <v>0</v>
      </c>
      <c r="F40" s="778"/>
      <c r="G40" s="779" t="str">
        <f t="shared" si="1"/>
        <v>N</v>
      </c>
      <c r="H40" s="779"/>
    </row>
    <row r="41" spans="1:16" s="795" customFormat="1" ht="15" customHeight="1">
      <c r="A41" s="795" t="s">
        <v>1886</v>
      </c>
      <c r="B41" s="779">
        <f>6+H11+H15+H20+H27+H28+H40+H41+H39+H14+H26</f>
        <v>7</v>
      </c>
      <c r="C41" s="796">
        <v>0</v>
      </c>
      <c r="D41" s="797"/>
      <c r="E41" s="796">
        <v>0</v>
      </c>
      <c r="F41" s="798"/>
      <c r="G41" s="799" t="str">
        <f t="shared" si="1"/>
        <v>N</v>
      </c>
      <c r="H41" s="799">
        <f>+IF(G41="Y",1,0)</f>
        <v>0</v>
      </c>
      <c r="I41" s="795" t="s">
        <v>1271</v>
      </c>
    </row>
    <row r="42" spans="1:16" s="771" customFormat="1" ht="15" customHeight="1">
      <c r="A42" s="787" t="str">
        <f>+CONCATENATE(I30)</f>
        <v>Amount due to shareholders</v>
      </c>
      <c r="B42" s="779">
        <f>6+H11+H15+H20+H27+H28+H40+H41+H42+H39+H14+H26</f>
        <v>7</v>
      </c>
      <c r="C42" s="781">
        <v>0</v>
      </c>
      <c r="D42" s="782"/>
      <c r="E42" s="781">
        <v>0</v>
      </c>
      <c r="F42" s="778"/>
      <c r="G42" s="779" t="str">
        <f>IF(AND(C42=0,E42=0),"N","Y")</f>
        <v>N</v>
      </c>
      <c r="H42" s="779">
        <f>+IF(G42="Y",1,0)</f>
        <v>0</v>
      </c>
      <c r="I42" s="791">
        <f>+C44+E44</f>
        <v>632330</v>
      </c>
    </row>
    <row r="43" spans="1:16" s="771" customFormat="1" ht="15" customHeight="1">
      <c r="A43" s="787" t="s">
        <v>1843</v>
      </c>
      <c r="B43" s="779">
        <f>6+H11+H15+H20+H27+H28+H40+H41+H42+H43+H39+H14+H26</f>
        <v>7</v>
      </c>
      <c r="C43" s="781">
        <v>0</v>
      </c>
      <c r="D43" s="782"/>
      <c r="E43" s="781">
        <v>0</v>
      </c>
      <c r="F43" s="778"/>
      <c r="G43" s="779" t="str">
        <f>IF(AND(C43=0,E43=0),"N","Y")</f>
        <v>N</v>
      </c>
      <c r="H43" s="779">
        <f>+IF(G43="Y",1,0)</f>
        <v>0</v>
      </c>
      <c r="I43" s="791"/>
    </row>
    <row r="44" spans="1:16" s="787" customFormat="1" ht="15" customHeight="1">
      <c r="A44" s="787" t="str">
        <f>+IF('Dir info'!N20&gt;1,J32,I32)</f>
        <v>Amount due to a director</v>
      </c>
      <c r="B44" s="779">
        <f>6+H11+H15+H20+H27+H28+H40+H41+H42+H43+H39+H14+H26+H44</f>
        <v>8</v>
      </c>
      <c r="C44" s="804">
        <f>-'Dir info'!N18</f>
        <v>316165</v>
      </c>
      <c r="D44" s="801"/>
      <c r="E44" s="804">
        <f>+C44</f>
        <v>316165</v>
      </c>
      <c r="F44" s="778"/>
      <c r="G44" s="779" t="str">
        <f t="shared" si="1"/>
        <v>Y</v>
      </c>
      <c r="H44" s="779">
        <f>+IF(G44="Y",1,0)</f>
        <v>1</v>
      </c>
      <c r="I44" s="787" t="s">
        <v>38</v>
      </c>
      <c r="M44" s="771" t="str">
        <f>+IF(E48&gt;0,"ASSETS","(LIABILITIES)")</f>
        <v>ASSETS</v>
      </c>
    </row>
    <row r="45" spans="1:16" s="787" customFormat="1" ht="15" customHeight="1">
      <c r="B45" s="779"/>
      <c r="C45" s="800"/>
      <c r="D45" s="801"/>
      <c r="E45" s="800"/>
      <c r="F45" s="778"/>
      <c r="G45" s="779" t="str">
        <f>+G33</f>
        <v>Y</v>
      </c>
      <c r="H45" s="779"/>
      <c r="M45" s="771"/>
    </row>
    <row r="46" spans="1:16" s="771" customFormat="1" ht="15" customHeight="1">
      <c r="A46" s="787"/>
      <c r="B46" s="776"/>
      <c r="C46" s="800">
        <f>SUM(C34:C44)</f>
        <v>316165</v>
      </c>
      <c r="D46" s="782"/>
      <c r="E46" s="800">
        <f>SUM(E34:E44)</f>
        <v>319822</v>
      </c>
      <c r="F46" s="802"/>
      <c r="G46" s="803" t="s">
        <v>3</v>
      </c>
      <c r="H46" s="803"/>
      <c r="I46" s="771" t="s">
        <v>792</v>
      </c>
      <c r="M46" s="771" t="str">
        <f>+CONCATENATE("NET CURRENT ",M38,O38,M44)</f>
        <v>NET CURRENT (LIABILITIES)/ASSETS</v>
      </c>
    </row>
    <row r="47" spans="1:16" s="771" customFormat="1" ht="15" customHeight="1">
      <c r="A47" s="787"/>
      <c r="B47" s="776"/>
      <c r="C47" s="804">
        <v>0</v>
      </c>
      <c r="D47" s="782"/>
      <c r="E47" s="804">
        <v>10000</v>
      </c>
      <c r="F47" s="802"/>
      <c r="G47" s="803" t="s">
        <v>3</v>
      </c>
      <c r="H47" s="803"/>
      <c r="I47" s="771" t="s">
        <v>793</v>
      </c>
      <c r="M47" s="771" t="str">
        <f>+IF(C48&gt;0,"NET CURRENT ASSETS","NET CURRENT LIABILITIES")</f>
        <v>NET CURRENT LIABILITIES</v>
      </c>
    </row>
    <row r="48" spans="1:16" s="771" customFormat="1" ht="15" customHeight="1">
      <c r="A48" s="790" t="str">
        <f>IF(Control!D30=1,CONCATENATE(I33,J33),IF(I48=K48,M47,M46))</f>
        <v>NET CURRENT (LIABILITIES)/ASSETS</v>
      </c>
      <c r="B48" s="776"/>
      <c r="C48" s="804">
        <f>+C32-C46</f>
        <v>0</v>
      </c>
      <c r="D48" s="782"/>
      <c r="E48" s="804">
        <f>+E32-E46</f>
        <v>0</v>
      </c>
      <c r="F48" s="802"/>
      <c r="G48" s="803" t="s">
        <v>3</v>
      </c>
      <c r="H48" s="803"/>
      <c r="I48" s="771" t="str">
        <f>+IF(C48&gt;0,"1","2")</f>
        <v>2</v>
      </c>
      <c r="J48" s="771" t="s">
        <v>487</v>
      </c>
      <c r="K48" s="771" t="str">
        <f>+IF(E48&gt;0,"1","2")</f>
        <v>1</v>
      </c>
    </row>
    <row r="49" spans="1:15" s="771" customFormat="1" ht="15">
      <c r="A49" s="787"/>
      <c r="B49" s="776"/>
      <c r="C49" s="781">
        <f>+E49+Section3!C14</f>
        <v>30189</v>
      </c>
      <c r="D49" s="782"/>
      <c r="E49" s="804">
        <f>Section3!E14</f>
        <v>30189</v>
      </c>
      <c r="F49" s="802"/>
      <c r="G49" s="803" t="str">
        <f>+G50</f>
        <v>N</v>
      </c>
      <c r="H49" s="803"/>
    </row>
    <row r="50" spans="1:15" s="771" customFormat="1" ht="15">
      <c r="A50" s="790" t="s">
        <v>1518</v>
      </c>
      <c r="B50" s="776"/>
      <c r="C50" s="781"/>
      <c r="D50" s="782"/>
      <c r="E50" s="804"/>
      <c r="F50" s="802"/>
      <c r="G50" s="803" t="str">
        <f>+G53</f>
        <v>N</v>
      </c>
      <c r="H50" s="803"/>
    </row>
    <row r="51" spans="1:15" s="771" customFormat="1" ht="15">
      <c r="A51" s="787" t="s">
        <v>1890</v>
      </c>
      <c r="B51" s="779">
        <f>+B43</f>
        <v>7</v>
      </c>
      <c r="C51" s="781">
        <v>0</v>
      </c>
      <c r="D51" s="782"/>
      <c r="E51" s="804">
        <v>0</v>
      </c>
      <c r="F51" s="802"/>
      <c r="G51" s="779" t="str">
        <f>IF(AND(C51=0,E51=0),"N","Y")</f>
        <v>N</v>
      </c>
      <c r="H51" s="803"/>
    </row>
    <row r="52" spans="1:15" s="771" customFormat="1" ht="15">
      <c r="A52" s="787" t="s">
        <v>1519</v>
      </c>
      <c r="B52" s="779">
        <f>+B39</f>
        <v>7</v>
      </c>
      <c r="C52" s="805">
        <v>0</v>
      </c>
      <c r="D52" s="782"/>
      <c r="E52" s="800">
        <v>0</v>
      </c>
      <c r="F52" s="802"/>
      <c r="G52" s="779" t="str">
        <f>IF(AND(C52=0,E52=0),"N","Y")</f>
        <v>N</v>
      </c>
      <c r="H52" s="803"/>
    </row>
    <row r="53" spans="1:15" s="771" customFormat="1" ht="15">
      <c r="A53" s="787"/>
      <c r="B53" s="776"/>
      <c r="C53" s="781">
        <f>+C51+C52</f>
        <v>0</v>
      </c>
      <c r="D53" s="782"/>
      <c r="E53" s="781">
        <f>+E51+E52</f>
        <v>0</v>
      </c>
      <c r="F53" s="802"/>
      <c r="G53" s="803" t="str">
        <f>+IF(I53+K53=0,"N","Y")</f>
        <v>N</v>
      </c>
      <c r="H53" s="803"/>
      <c r="I53" s="771">
        <f>+IF(C53=0,0,1)</f>
        <v>0</v>
      </c>
      <c r="K53" s="771">
        <f>+IF(E53=0,0,1)</f>
        <v>0</v>
      </c>
    </row>
    <row r="54" spans="1:15" s="771" customFormat="1" ht="15">
      <c r="A54" s="787"/>
      <c r="B54" s="776"/>
      <c r="C54" s="781"/>
      <c r="D54" s="782"/>
      <c r="E54" s="804"/>
      <c r="F54" s="802"/>
      <c r="G54" s="803" t="s">
        <v>1520</v>
      </c>
      <c r="H54" s="803"/>
    </row>
    <row r="55" spans="1:15" s="771" customFormat="1" ht="15" customHeight="1" thickBot="1">
      <c r="A55" s="790" t="str">
        <f>IF(Control!D30=1,CONCATENATE(I34,J34),IF(I56=K56,M61,M60))</f>
        <v>NET (LIABILITIES)/ASSETS</v>
      </c>
      <c r="B55" s="776"/>
      <c r="C55" s="806">
        <f>+C48+C17-C53</f>
        <v>-316165</v>
      </c>
      <c r="D55" s="782"/>
      <c r="E55" s="806">
        <f>+E48+E17-E53</f>
        <v>11140</v>
      </c>
      <c r="F55" s="802"/>
      <c r="G55" s="803" t="s">
        <v>3</v>
      </c>
      <c r="H55" s="803"/>
    </row>
    <row r="56" spans="1:15" s="771" customFormat="1" ht="15" customHeight="1" thickTop="1">
      <c r="A56" s="787"/>
      <c r="B56" s="776"/>
      <c r="C56" s="781"/>
      <c r="D56" s="782"/>
      <c r="E56" s="783"/>
      <c r="F56" s="778"/>
      <c r="G56" s="803" t="s">
        <v>3</v>
      </c>
      <c r="H56" s="803"/>
      <c r="I56" s="771" t="str">
        <f>+IF(Control!D30=1,1,IF(C55&gt;0,"1","2"))</f>
        <v>2</v>
      </c>
      <c r="J56" s="771" t="s">
        <v>487</v>
      </c>
      <c r="K56" s="771" t="str">
        <f>+IF(E55&gt;0,"1","2")</f>
        <v>1</v>
      </c>
    </row>
    <row r="57" spans="1:15" s="771" customFormat="1" ht="15" customHeight="1">
      <c r="A57" s="790" t="s">
        <v>794</v>
      </c>
      <c r="B57" s="776"/>
      <c r="C57" s="781"/>
      <c r="D57" s="782"/>
      <c r="E57" s="783"/>
      <c r="F57" s="778"/>
      <c r="G57" s="803" t="s">
        <v>3</v>
      </c>
      <c r="H57" s="803"/>
      <c r="I57" s="771" t="s">
        <v>37</v>
      </c>
      <c r="M57" s="771" t="str">
        <f>+IF(C55&gt;0,"ASSETS","(LIABILITIES)")</f>
        <v>(LIABILITIES)</v>
      </c>
      <c r="O57" s="771" t="s">
        <v>487</v>
      </c>
    </row>
    <row r="58" spans="1:15" s="771" customFormat="1" ht="15" customHeight="1">
      <c r="A58" s="784" t="s">
        <v>795</v>
      </c>
      <c r="B58" s="779">
        <f>6+H11+H15+H20+H27+H28+H40+H41+H42+H44+H58+H39+H14+H26+H43</f>
        <v>9</v>
      </c>
      <c r="C58" s="783">
        <v>0</v>
      </c>
      <c r="D58" s="782"/>
      <c r="E58" s="783">
        <v>1291</v>
      </c>
      <c r="F58" s="778"/>
      <c r="G58" s="803" t="s">
        <v>3</v>
      </c>
      <c r="H58" s="779">
        <f>+IF(G58="Y",1,0)</f>
        <v>1</v>
      </c>
      <c r="I58" s="787" t="s">
        <v>38</v>
      </c>
      <c r="M58" s="771" t="str">
        <f>+IF(E55&gt;0,"ASSETS","(LIABILITIES)")</f>
        <v>ASSETS</v>
      </c>
    </row>
    <row r="59" spans="1:15" s="771" customFormat="1" ht="15" customHeight="1">
      <c r="A59" s="784" t="s">
        <v>796</v>
      </c>
      <c r="B59" s="776"/>
      <c r="C59" s="781">
        <v>0</v>
      </c>
      <c r="D59" s="782"/>
      <c r="E59" s="783">
        <v>0</v>
      </c>
      <c r="F59" s="778"/>
      <c r="G59" s="803" t="str">
        <f>IF(AND(C59=0,E59=0),"N","Y")</f>
        <v>N</v>
      </c>
      <c r="H59" s="803"/>
      <c r="I59" s="787"/>
    </row>
    <row r="60" spans="1:15" s="771" customFormat="1" ht="15" customHeight="1">
      <c r="A60" s="784" t="str">
        <f>+CONCATENATE("  ",I65)</f>
        <v xml:space="preserve">  Retained profits</v>
      </c>
      <c r="B60" s="776"/>
      <c r="C60" s="805">
        <f>+E60+Section3!C22</f>
        <v>9849</v>
      </c>
      <c r="D60" s="782"/>
      <c r="E60" s="800">
        <f>Section3!E22</f>
        <v>9849</v>
      </c>
      <c r="F60" s="802"/>
      <c r="G60" s="803" t="s">
        <v>3</v>
      </c>
      <c r="H60" s="803"/>
      <c r="I60" s="771" t="s">
        <v>792</v>
      </c>
      <c r="M60" s="771" t="str">
        <f>+CONCATENATE("NET ",M57,O57,M58)</f>
        <v>NET (LIABILITIES)/ASSETS</v>
      </c>
    </row>
    <row r="61" spans="1:15" s="771" customFormat="1" ht="15" customHeight="1" thickBot="1">
      <c r="A61" s="780"/>
      <c r="B61" s="776"/>
      <c r="C61" s="807">
        <f>SUM(C58:C60)</f>
        <v>9849</v>
      </c>
      <c r="D61" s="782"/>
      <c r="E61" s="807">
        <f>SUM(E58:E60)</f>
        <v>11140</v>
      </c>
      <c r="F61" s="802"/>
      <c r="G61" s="803" t="s">
        <v>3</v>
      </c>
      <c r="H61" s="803"/>
      <c r="I61" s="771" t="s">
        <v>793</v>
      </c>
      <c r="M61" s="771" t="str">
        <f>+IF(C55&gt;0,"NET ASSETS","NET LIABILITIES")</f>
        <v>NET LIABILITIES</v>
      </c>
    </row>
    <row r="62" spans="1:15" s="771" customFormat="1" thickTop="1">
      <c r="B62" s="776"/>
      <c r="C62" s="781"/>
      <c r="D62" s="782"/>
      <c r="E62" s="783"/>
      <c r="F62" s="778" t="s">
        <v>773</v>
      </c>
      <c r="G62" s="778"/>
      <c r="H62" s="778"/>
      <c r="I62" s="771" t="str">
        <f>(IF(E60&gt;0,"Retained profits","Accumulated losses"))</f>
        <v>Retained profits</v>
      </c>
      <c r="K62" s="771" t="str">
        <f>+LOWER(IF(E60&gt;0,"Retained profits","(Accumulated losses)"))</f>
        <v>retained profits</v>
      </c>
    </row>
    <row r="63" spans="1:15">
      <c r="G63" s="803" t="s">
        <v>3</v>
      </c>
      <c r="H63" s="803"/>
      <c r="I63" s="759" t="str">
        <f>IF(Control!D30=0,IF(C60&lt;0,"Accumulated losses","Retained profits"),I62)</f>
        <v>Retained profits</v>
      </c>
      <c r="K63" s="759" t="str">
        <f>IF(Control!D30=0,IF(C60&lt;0,"(Accumulated losses)","Retained profits"),I62)</f>
        <v>Retained profits</v>
      </c>
    </row>
    <row r="64" spans="1:15">
      <c r="G64" s="803" t="s">
        <v>3</v>
      </c>
      <c r="H64" s="803"/>
      <c r="I64" s="759" t="str">
        <f>+IF(C60&gt;0,"1","2")</f>
        <v>1</v>
      </c>
      <c r="J64" s="771" t="s">
        <v>487</v>
      </c>
      <c r="K64" s="759" t="str">
        <f>+IF(E60&gt;0,"1","2")</f>
        <v>1</v>
      </c>
    </row>
    <row r="65" spans="1:16">
      <c r="A65" s="792" t="s">
        <v>775</v>
      </c>
      <c r="G65" s="803" t="s">
        <v>3</v>
      </c>
      <c r="H65" s="803"/>
      <c r="I65" s="759" t="str">
        <f>IF(Control!D30=0,IF(I64=K64,I63,CONCATENATE(K63,J64,K62)),Section4!I62)</f>
        <v>Retained profits</v>
      </c>
      <c r="P65" s="759">
        <f>-6563+1101.49</f>
        <v>-5461.51</v>
      </c>
    </row>
    <row r="66" spans="1:16">
      <c r="G66" s="803" t="s">
        <v>3</v>
      </c>
      <c r="H66" s="803"/>
      <c r="M66" s="759">
        <f>26594.84-586-98</f>
        <v>25910.84</v>
      </c>
    </row>
    <row r="67" spans="1:16">
      <c r="A67" s="808" t="str">
        <f>+CONCATENATE("  ",I67,I68,I69,I70,I71,I72,I73)</f>
        <v xml:space="preserve">  The financial statements on pages 4 to 9 have been approved by the Board of Director on </v>
      </c>
      <c r="G67" s="803" t="s">
        <v>3</v>
      </c>
      <c r="H67" s="803"/>
      <c r="I67" s="765" t="s">
        <v>797</v>
      </c>
    </row>
    <row r="68" spans="1:16" ht="15" customHeight="1">
      <c r="A68" s="792" t="s">
        <v>798</v>
      </c>
      <c r="G68" s="803" t="s">
        <v>3</v>
      </c>
      <c r="H68" s="803"/>
      <c r="I68" s="765">
        <v>4</v>
      </c>
    </row>
    <row r="69" spans="1:16" ht="15" customHeight="1">
      <c r="G69" s="803" t="s">
        <v>3</v>
      </c>
      <c r="H69" s="803"/>
      <c r="I69" s="765" t="s">
        <v>651</v>
      </c>
      <c r="M69" s="809"/>
    </row>
    <row r="70" spans="1:16" ht="15" customHeight="1">
      <c r="G70" s="803" t="s">
        <v>3</v>
      </c>
      <c r="H70" s="803"/>
      <c r="I70" s="765">
        <v>9</v>
      </c>
    </row>
    <row r="71" spans="1:16" ht="15" customHeight="1">
      <c r="G71" s="803" t="s">
        <v>3</v>
      </c>
      <c r="H71" s="803"/>
      <c r="I71" s="765" t="s">
        <v>799</v>
      </c>
    </row>
    <row r="72" spans="1:16" ht="15" customHeight="1">
      <c r="G72" s="803" t="s">
        <v>3</v>
      </c>
      <c r="H72" s="803"/>
      <c r="I72" s="765" t="str">
        <f>IF(Control!D78&gt;1,"Directors","Director")</f>
        <v>Director</v>
      </c>
    </row>
    <row r="73" spans="1:16" ht="15" customHeight="1">
      <c r="G73" s="803" t="s">
        <v>3</v>
      </c>
      <c r="H73" s="803"/>
      <c r="I73" s="765" t="s">
        <v>800</v>
      </c>
    </row>
    <row r="74" spans="1:16" ht="15" customHeight="1">
      <c r="G74" s="803" t="s">
        <v>3</v>
      </c>
      <c r="H74" s="803"/>
      <c r="I74" s="765"/>
    </row>
    <row r="75" spans="1:16" ht="15" customHeight="1">
      <c r="G75" s="803" t="s">
        <v>3</v>
      </c>
      <c r="H75" s="803"/>
      <c r="I75" s="765"/>
    </row>
    <row r="76" spans="1:16" ht="15" customHeight="1">
      <c r="G76" s="803" t="s">
        <v>3</v>
      </c>
      <c r="H76" s="803"/>
    </row>
    <row r="77" spans="1:16">
      <c r="A77" s="759">
        <v>210</v>
      </c>
      <c r="B77" s="758">
        <v>40</v>
      </c>
      <c r="C77" s="759">
        <v>210</v>
      </c>
      <c r="F77" s="759" t="s">
        <v>13</v>
      </c>
      <c r="G77" s="803">
        <v>14</v>
      </c>
      <c r="H77" s="803"/>
    </row>
    <row r="78" spans="1:16" ht="15" customHeight="1">
      <c r="A78" s="764" t="s">
        <v>801</v>
      </c>
      <c r="C78" s="810" t="str">
        <f>+IF(Control!D78&gt;1,"_________________________________"," ")</f>
        <v xml:space="preserve"> </v>
      </c>
      <c r="D78" s="810"/>
      <c r="E78" s="810"/>
      <c r="G78" s="803" t="s">
        <v>3</v>
      </c>
      <c r="H78" s="803"/>
    </row>
    <row r="79" spans="1:16" ht="15" customHeight="1">
      <c r="A79" s="792" t="str">
        <f>+'Dir info'!C4</f>
        <v>Zhou Qianwei</v>
      </c>
      <c r="C79" s="810" t="str">
        <f>+IF(Control!D78&gt;1,'Dir info'!C5," ")</f>
        <v xml:space="preserve"> </v>
      </c>
      <c r="D79" s="810"/>
      <c r="E79" s="810"/>
      <c r="G79" s="803" t="s">
        <v>3</v>
      </c>
      <c r="H79" s="803"/>
    </row>
    <row r="80" spans="1:16">
      <c r="A80" s="792" t="s">
        <v>81</v>
      </c>
      <c r="C80" s="792" t="str">
        <f>+IF(Control!D78&gt;1," Director"," ")</f>
        <v xml:space="preserve"> </v>
      </c>
      <c r="G80" s="803" t="s">
        <v>3</v>
      </c>
      <c r="H80" s="803"/>
    </row>
    <row r="81" spans="1:8">
      <c r="A81" s="792"/>
      <c r="F81" s="778" t="s">
        <v>773</v>
      </c>
    </row>
    <row r="82" spans="1:8">
      <c r="A82" s="792"/>
      <c r="G82" s="803" t="s">
        <v>3</v>
      </c>
      <c r="H82" s="803"/>
    </row>
    <row r="83" spans="1:8">
      <c r="A83" s="792"/>
      <c r="G83" s="803" t="s">
        <v>3</v>
      </c>
      <c r="H83" s="803"/>
    </row>
    <row r="84" spans="1:8">
      <c r="A84" s="792"/>
      <c r="F84" s="759" t="s">
        <v>729</v>
      </c>
    </row>
  </sheetData>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8"/>
  <dimension ref="A1:P44"/>
  <sheetViews>
    <sheetView zoomScale="85" zoomScaleNormal="85" workbookViewId="0">
      <selection activeCell="I14" sqref="I14"/>
    </sheetView>
  </sheetViews>
  <sheetFormatPr defaultRowHeight="15.75"/>
  <cols>
    <col min="1" max="1" width="29" customWidth="1" collapsed="1"/>
    <col min="2" max="2" width="11.875" bestFit="1" customWidth="1" collapsed="1"/>
    <col min="3" max="3" width="3.125" customWidth="1" collapsed="1"/>
    <col min="4" max="4" width="17.875" customWidth="1" collapsed="1"/>
    <col min="5" max="5" width="6" customWidth="1" collapsed="1"/>
    <col min="6" max="6" width="11.5" customWidth="1" collapsed="1"/>
    <col min="9" max="9" width="8.875" style="192" collapsed="1"/>
    <col min="16" max="16" width="9" style="168" collapsed="1"/>
  </cols>
  <sheetData>
    <row r="1" spans="1:16">
      <c r="A1" s="175"/>
      <c r="H1" t="s">
        <v>12</v>
      </c>
    </row>
    <row r="2" spans="1:16">
      <c r="A2" s="175" t="s">
        <v>25</v>
      </c>
      <c r="H2" t="s">
        <v>12</v>
      </c>
    </row>
    <row r="3" spans="1:16">
      <c r="A3" s="193" t="str">
        <f>+Section3!A4</f>
        <v>FOR THE PERIOD ENDED 31 DECEMBER, 2016</v>
      </c>
      <c r="B3" s="25"/>
      <c r="C3" s="25"/>
      <c r="D3" s="25"/>
      <c r="E3" s="25"/>
      <c r="F3" s="25"/>
      <c r="H3" t="s">
        <v>12</v>
      </c>
      <c r="J3" s="53" t="s">
        <v>7</v>
      </c>
      <c r="K3" s="53" t="str">
        <f>+UPPER(Control!D9)</f>
        <v>PERIOD</v>
      </c>
      <c r="L3" s="53" t="s">
        <v>8</v>
      </c>
      <c r="M3" s="53" t="str">
        <f>+UPPER(Control!D6)</f>
        <v>31 DECEMBER, 2016</v>
      </c>
    </row>
    <row r="4" spans="1:16">
      <c r="A4" s="1049" t="str">
        <f>+CONCATENATE(J5,K5,L5)</f>
        <v>(Expressed in United States Dollars)</v>
      </c>
      <c r="B4" s="1049"/>
      <c r="C4" s="1049"/>
      <c r="D4" s="1049"/>
      <c r="E4" s="1049"/>
      <c r="F4" s="1049"/>
      <c r="H4" t="s">
        <v>12</v>
      </c>
      <c r="J4" s="53" t="s">
        <v>7</v>
      </c>
      <c r="K4" s="53" t="str">
        <f>+UPPER(Control!D9)</f>
        <v>PERIOD</v>
      </c>
      <c r="L4" s="53" t="s">
        <v>9</v>
      </c>
      <c r="M4" s="53" t="str">
        <f>UPPER(TEXT(Control!D11, "d mmmm, yyyy"))</f>
        <v>2 MARCH, 2014</v>
      </c>
      <c r="N4" s="53" t="s">
        <v>10</v>
      </c>
      <c r="O4" s="53" t="str">
        <f>UPPER(Control!D6)</f>
        <v>31 DECEMBER, 2016</v>
      </c>
    </row>
    <row r="5" spans="1:16">
      <c r="H5" t="s">
        <v>12</v>
      </c>
      <c r="J5" s="53" t="s">
        <v>764</v>
      </c>
      <c r="K5" s="53" t="str">
        <f>+Control!D67</f>
        <v>United States Dollars</v>
      </c>
      <c r="L5" s="53" t="s">
        <v>5</v>
      </c>
    </row>
    <row r="6" spans="1:16">
      <c r="H6" t="s">
        <v>733</v>
      </c>
      <c r="J6" s="53"/>
      <c r="K6" s="53"/>
      <c r="L6" s="53"/>
    </row>
    <row r="7" spans="1:16">
      <c r="A7" s="320">
        <v>180</v>
      </c>
      <c r="B7" s="320">
        <v>80</v>
      </c>
      <c r="C7" s="320">
        <v>20</v>
      </c>
      <c r="D7" s="320">
        <v>80</v>
      </c>
      <c r="E7" s="320">
        <v>20</v>
      </c>
      <c r="F7" s="320">
        <v>80</v>
      </c>
      <c r="H7" t="s">
        <v>13</v>
      </c>
      <c r="I7" s="192">
        <v>14</v>
      </c>
      <c r="L7">
        <f>+IF(Section4!C59+Section4!E59=0,0,80)</f>
        <v>0</v>
      </c>
      <c r="M7">
        <f>+IF(Section4!C59+Section4!E59=0,0,20)</f>
        <v>0</v>
      </c>
    </row>
    <row r="8" spans="1:16" s="222" customFormat="1" ht="50.1" customHeight="1">
      <c r="A8" s="467"/>
      <c r="B8" s="329" t="str">
        <f>+Section4!A58</f>
        <v xml:space="preserve">  Issued capital</v>
      </c>
      <c r="C8" s="467"/>
      <c r="D8" s="437" t="str">
        <f>+Section4!A60</f>
        <v xml:space="preserve">  Retained profits</v>
      </c>
      <c r="E8" s="467"/>
      <c r="F8" s="467" t="s">
        <v>802</v>
      </c>
      <c r="G8" s="467"/>
      <c r="H8" s="467"/>
      <c r="I8" s="221" t="s">
        <v>3</v>
      </c>
      <c r="J8" s="373" t="s">
        <v>803</v>
      </c>
      <c r="K8" s="467"/>
      <c r="L8" s="467"/>
      <c r="M8" s="467"/>
      <c r="N8" s="467"/>
      <c r="O8" s="467"/>
      <c r="P8" s="662"/>
    </row>
    <row r="9" spans="1:16" s="221" customFormat="1" ht="15" customHeight="1">
      <c r="B9" s="390"/>
      <c r="C9" s="390"/>
      <c r="D9" s="390"/>
      <c r="E9" s="390"/>
      <c r="F9" s="390"/>
      <c r="I9" s="221" t="s">
        <v>3</v>
      </c>
      <c r="J9" s="327" t="s">
        <v>804</v>
      </c>
      <c r="L9" s="221" t="s">
        <v>1095</v>
      </c>
      <c r="P9" s="240"/>
    </row>
    <row r="10" spans="1:16" s="221" customFormat="1" ht="15" customHeight="1">
      <c r="A10" s="223" t="str">
        <f>IF(Control!D30=0,CONCATENATE(J9,J10),CONCATENATE(Section5!L9,Section5!J10))</f>
        <v>Balance as at 2 March, 2014</v>
      </c>
      <c r="B10" s="392">
        <f>IF(Control!D30=0,B22,Section4!E58-Section5!B12)</f>
        <v>1291</v>
      </c>
      <c r="C10" s="390"/>
      <c r="D10" s="392">
        <f>IF(Control!D30=0,D22,0)</f>
        <v>9849</v>
      </c>
      <c r="E10" s="390"/>
      <c r="F10" s="392">
        <f>+B10+D10</f>
        <v>11140</v>
      </c>
      <c r="I10" s="221" t="s">
        <v>3</v>
      </c>
      <c r="J10" s="327" t="str">
        <f>TEXT(Control!D11, "d mmmm, yyyy")</f>
        <v>2 March, 2014</v>
      </c>
      <c r="L10" s="328" t="str">
        <f>+IF(D14&gt;0,"Profit","Loss")</f>
        <v>Loss</v>
      </c>
      <c r="M10" s="328" t="s">
        <v>659</v>
      </c>
      <c r="N10" s="328" t="str">
        <f>+LOWER(Control!D9)</f>
        <v>period</v>
      </c>
      <c r="P10" s="240"/>
    </row>
    <row r="11" spans="1:16" s="221" customFormat="1" ht="15" customHeight="1">
      <c r="A11" s="223" t="s">
        <v>1096</v>
      </c>
      <c r="B11" s="392"/>
      <c r="C11" s="390"/>
      <c r="D11" s="392"/>
      <c r="E11" s="390"/>
      <c r="F11" s="392"/>
      <c r="I11" s="221" t="str">
        <f>IF(Control!D30=1,"Y","N")</f>
        <v>N</v>
      </c>
      <c r="J11" s="327"/>
      <c r="L11" s="328"/>
      <c r="M11" s="328"/>
      <c r="N11" s="328"/>
      <c r="P11" s="240"/>
    </row>
    <row r="12" spans="1:16" s="221" customFormat="1" ht="15" customHeight="1">
      <c r="A12" s="223" t="str">
        <f>+CONCATENATE(L12,M12)</f>
        <v>Allotted during the period</v>
      </c>
      <c r="B12" s="436">
        <f>+Control!D46</f>
        <v>0</v>
      </c>
      <c r="C12" s="390"/>
      <c r="D12" s="392">
        <v>0</v>
      </c>
      <c r="E12" s="390"/>
      <c r="F12" s="392">
        <f>+B12+D12</f>
        <v>0</v>
      </c>
      <c r="I12" s="221" t="str">
        <f>+IF(F12=0,"N","Y")</f>
        <v>N</v>
      </c>
      <c r="J12" s="409"/>
      <c r="K12" s="410"/>
      <c r="L12" s="240" t="s">
        <v>2005</v>
      </c>
      <c r="M12" s="410" t="str">
        <f>+LOWER(Control!D9)</f>
        <v>period</v>
      </c>
      <c r="N12" s="410"/>
      <c r="P12" s="240"/>
    </row>
    <row r="13" spans="1:16" s="221" customFormat="1" ht="15" customHeight="1">
      <c r="A13" s="223" t="s">
        <v>2050</v>
      </c>
      <c r="B13" s="436">
        <v>0</v>
      </c>
      <c r="C13" s="390"/>
      <c r="D13" s="392">
        <v>0</v>
      </c>
      <c r="E13" s="390"/>
      <c r="F13" s="392">
        <v>0</v>
      </c>
      <c r="I13" s="221" t="str">
        <f>+IF(F13=0,"N","Y")</f>
        <v>N</v>
      </c>
      <c r="J13" s="409"/>
      <c r="K13" s="410"/>
      <c r="L13" s="240"/>
      <c r="M13" s="410"/>
      <c r="N13" s="410"/>
      <c r="P13" s="240"/>
    </row>
    <row r="14" spans="1:16" s="221" customFormat="1" ht="15" customHeight="1">
      <c r="A14" s="205" t="str">
        <f>+CONCATENATE(L10,M10,N10)</f>
        <v>Loss for the period</v>
      </c>
      <c r="B14" s="381">
        <v>0</v>
      </c>
      <c r="C14" s="390"/>
      <c r="D14" s="394">
        <f>IF(Control!D30=0,Section3!C22,Section3!E22)</f>
        <v>0</v>
      </c>
      <c r="E14" s="390"/>
      <c r="F14" s="394">
        <f>+B14+D14</f>
        <v>0</v>
      </c>
      <c r="I14" s="221" t="s">
        <v>3</v>
      </c>
      <c r="P14" s="240"/>
    </row>
    <row r="15" spans="1:16" s="221" customFormat="1" ht="15" customHeight="1" thickBot="1">
      <c r="A15" s="223" t="str">
        <f>+CONCATENATE(J15,J16)</f>
        <v>Balance as at 31 December, 2016</v>
      </c>
      <c r="B15" s="395">
        <f>+B10+B14+B12</f>
        <v>1291</v>
      </c>
      <c r="C15" s="390"/>
      <c r="D15" s="395">
        <f>+D10+D14+D12</f>
        <v>9849</v>
      </c>
      <c r="E15" s="390"/>
      <c r="F15" s="395">
        <f>+F10+F14+F12</f>
        <v>11140</v>
      </c>
      <c r="I15" s="221" t="s">
        <v>3</v>
      </c>
      <c r="J15" s="327" t="s">
        <v>804</v>
      </c>
      <c r="P15" s="240"/>
    </row>
    <row r="16" spans="1:16" s="221" customFormat="1" ht="15" customHeight="1" thickTop="1">
      <c r="B16" s="390"/>
      <c r="C16" s="390"/>
      <c r="D16" s="390"/>
      <c r="E16" s="390"/>
      <c r="F16" s="390"/>
      <c r="I16" s="221" t="str">
        <f>IF(Control!D30=1,"N","Y")</f>
        <v>Y</v>
      </c>
      <c r="J16" s="327" t="str">
        <f>+Control!D6</f>
        <v>31 December, 2016</v>
      </c>
      <c r="P16" s="240"/>
    </row>
    <row r="17" spans="1:16" s="221" customFormat="1" ht="15" customHeight="1">
      <c r="B17" s="390"/>
      <c r="C17" s="390"/>
      <c r="D17" s="390"/>
      <c r="E17" s="390"/>
      <c r="F17" s="390"/>
      <c r="I17" s="221" t="str">
        <f>IF(Control!D30=1,"N","Y")</f>
        <v>Y</v>
      </c>
      <c r="P17" s="240"/>
    </row>
    <row r="18" spans="1:16" s="221" customFormat="1" ht="16.5" customHeight="1">
      <c r="A18" s="223" t="str">
        <f>+CONCATENATE(J18,J21)</f>
        <v>Balance as at 18 November, 2015</v>
      </c>
      <c r="B18" s="393">
        <f>+B22-B20</f>
        <v>1291</v>
      </c>
      <c r="C18" s="390"/>
      <c r="D18" s="393">
        <f>+D22-D21</f>
        <v>0</v>
      </c>
      <c r="E18" s="390"/>
      <c r="F18" s="393">
        <f>+B18+D18</f>
        <v>1291</v>
      </c>
      <c r="I18" s="221" t="s">
        <v>1650</v>
      </c>
      <c r="J18" s="327" t="s">
        <v>804</v>
      </c>
      <c r="O18" s="221" t="s">
        <v>1646</v>
      </c>
      <c r="P18" s="663" t="s">
        <v>1647</v>
      </c>
    </row>
    <row r="19" spans="1:16" s="221" customFormat="1" ht="16.5" customHeight="1">
      <c r="A19" s="223" t="s">
        <v>1096</v>
      </c>
      <c r="B19" s="393"/>
      <c r="C19" s="390"/>
      <c r="D19" s="393"/>
      <c r="E19" s="390"/>
      <c r="F19" s="393"/>
      <c r="I19" s="221" t="s">
        <v>1650</v>
      </c>
      <c r="P19" s="663" t="s">
        <v>1648</v>
      </c>
    </row>
    <row r="20" spans="1:16" s="221" customFormat="1" ht="16.5" customHeight="1">
      <c r="A20" s="223" t="str">
        <f>+CONCATENATE(L20,M20)</f>
        <v>Alloted during the period</v>
      </c>
      <c r="B20" s="436">
        <v>0</v>
      </c>
      <c r="C20" s="390"/>
      <c r="D20" s="392">
        <v>0</v>
      </c>
      <c r="E20" s="390"/>
      <c r="F20" s="393">
        <f>+B20+D20</f>
        <v>0</v>
      </c>
      <c r="I20" s="221" t="s">
        <v>1650</v>
      </c>
      <c r="L20" s="240" t="s">
        <v>805</v>
      </c>
      <c r="M20" s="221" t="str">
        <f>+LOWER(Control!G9)</f>
        <v>period</v>
      </c>
      <c r="P20" s="663" t="s">
        <v>1649</v>
      </c>
    </row>
    <row r="21" spans="1:16" s="205" customFormat="1" ht="15">
      <c r="A21" s="223" t="str">
        <f>+CONCATENATE(L21,M21,N21)</f>
        <v>Profit for the period</v>
      </c>
      <c r="B21" s="381">
        <v>0</v>
      </c>
      <c r="C21" s="390"/>
      <c r="D21" s="396">
        <f>+Section3!E22</f>
        <v>9849</v>
      </c>
      <c r="E21" s="390"/>
      <c r="F21" s="393">
        <f>+B21+D21</f>
        <v>9849</v>
      </c>
      <c r="I21" s="221" t="s">
        <v>1650</v>
      </c>
      <c r="J21" s="327" t="str">
        <f>TEXT(Control!G11, "d mmmm, yyyy")</f>
        <v>18 November, 2015</v>
      </c>
      <c r="L21" s="328" t="str">
        <f>+IF(D21&gt;0,"Profit","Loss")</f>
        <v>Profit</v>
      </c>
      <c r="M21" s="328" t="s">
        <v>659</v>
      </c>
      <c r="N21" s="328" t="str">
        <f>+LOWER(Control!G9)</f>
        <v>period</v>
      </c>
      <c r="P21" s="663" t="s">
        <v>1647</v>
      </c>
    </row>
    <row r="22" spans="1:16" s="205" customFormat="1" ht="16.5" customHeight="1" thickBot="1">
      <c r="A22" s="223" t="str">
        <f>+CONCATENATE(J23,J24)</f>
        <v>Balance as at 31 December, 2016</v>
      </c>
      <c r="B22" s="397">
        <f>+Section4!E58</f>
        <v>1291</v>
      </c>
      <c r="C22" s="390"/>
      <c r="D22" s="397">
        <f>+Section4!E60</f>
        <v>9849</v>
      </c>
      <c r="E22" s="390"/>
      <c r="F22" s="397">
        <f>SUM(F18:F21)</f>
        <v>11140</v>
      </c>
      <c r="I22" s="221" t="s">
        <v>1650</v>
      </c>
      <c r="P22" s="663" t="s">
        <v>1647</v>
      </c>
    </row>
    <row r="23" spans="1:16" s="205" customFormat="1" thickTop="1">
      <c r="B23" s="390"/>
      <c r="C23" s="390"/>
      <c r="D23" s="393"/>
      <c r="E23" s="390"/>
      <c r="F23" s="393"/>
      <c r="H23" s="205" t="s">
        <v>773</v>
      </c>
      <c r="I23" s="221"/>
      <c r="J23" s="327" t="s">
        <v>804</v>
      </c>
      <c r="P23" s="240"/>
    </row>
    <row r="24" spans="1:16">
      <c r="H24" t="s">
        <v>729</v>
      </c>
      <c r="J24" s="327" t="str">
        <f>TEXT(Control!G12, "d mmmm, yyyy")</f>
        <v>31 December, 2016</v>
      </c>
    </row>
    <row r="26" spans="1:16">
      <c r="J26" t="str">
        <f>+IF(D15&gt;0,"1","2")</f>
        <v>1</v>
      </c>
      <c r="L26" t="str">
        <f>+IF(D22&gt;0,"1","2")</f>
        <v>1</v>
      </c>
    </row>
    <row r="27" spans="1:16">
      <c r="A27" t="s">
        <v>1873</v>
      </c>
    </row>
    <row r="28" spans="1:16">
      <c r="A28" t="s">
        <v>1874</v>
      </c>
      <c r="J28" t="s">
        <v>37</v>
      </c>
      <c r="L28" t="str">
        <f>+IF(D15&gt;0,"Retained profits","(Accumulated losses)")</f>
        <v>Retained profits</v>
      </c>
      <c r="N28" t="s">
        <v>487</v>
      </c>
    </row>
    <row r="29" spans="1:16">
      <c r="J29" t="s">
        <v>38</v>
      </c>
      <c r="L29" t="str">
        <f>+IF(D22&gt;0,"retained profits","(accumulated losses)")</f>
        <v>retained profits</v>
      </c>
    </row>
    <row r="31" spans="1:16">
      <c r="J31" t="s">
        <v>792</v>
      </c>
      <c r="N31" t="str">
        <f>+CONCATENATE(L28,N28,L29)</f>
        <v>Retained profits/retained profits</v>
      </c>
    </row>
    <row r="32" spans="1:16">
      <c r="J32" t="s">
        <v>806</v>
      </c>
    </row>
    <row r="34" spans="1:14">
      <c r="J34" t="s">
        <v>793</v>
      </c>
      <c r="N34" t="str">
        <f>+IF(D15&gt;=0,"Retained profits","Accumulated losses")</f>
        <v>Retained profits</v>
      </c>
    </row>
    <row r="35" spans="1:14">
      <c r="J35" t="s">
        <v>807</v>
      </c>
    </row>
    <row r="38" spans="1:14">
      <c r="A38" s="39"/>
    </row>
    <row r="39" spans="1:14">
      <c r="A39" s="39"/>
      <c r="L39" t="s">
        <v>1839</v>
      </c>
    </row>
    <row r="40" spans="1:14">
      <c r="A40" s="39"/>
    </row>
    <row r="41" spans="1:14">
      <c r="A41" s="39"/>
    </row>
    <row r="42" spans="1:14">
      <c r="A42" s="39"/>
    </row>
    <row r="43" spans="1:14">
      <c r="A43" s="39"/>
    </row>
    <row r="44" spans="1:14">
      <c r="A44" s="39"/>
    </row>
  </sheetData>
  <mergeCells count="1">
    <mergeCell ref="A4:F4"/>
  </mergeCells>
  <phoneticPr fontId="19" type="noConversion"/>
  <pageMargins left="0.9055118110236221" right="0.9055118110236221" top="0.74803149606299213" bottom="0.74803149606299213" header="0.31496062992125984" footer="0.31496062992125984"/>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E563"/>
  <sheetViews>
    <sheetView zoomScaleNormal="100" workbookViewId="0"/>
  </sheetViews>
  <sheetFormatPr defaultColWidth="8.125" defaultRowHeight="15"/>
  <cols>
    <col min="1" max="1" width="7.25" style="330" customWidth="1" collapsed="1"/>
    <col min="2" max="2" width="27.375" style="330" customWidth="1" collapsed="1"/>
    <col min="3" max="3" width="16.125" style="330" customWidth="1" collapsed="1"/>
    <col min="4" max="4" width="3.75" style="330" customWidth="1" collapsed="1"/>
    <col min="5" max="5" width="12" style="330" customWidth="1" collapsed="1"/>
    <col min="6" max="6" width="5.5" style="330" customWidth="1" collapsed="1"/>
    <col min="7" max="7" width="14.5" style="330" customWidth="1" collapsed="1"/>
    <col min="8" max="8" width="5.625" style="330" customWidth="1" collapsed="1"/>
    <col min="9" max="9" width="10.25" style="330" customWidth="1" collapsed="1"/>
    <col min="10" max="10" width="5.125" style="330" customWidth="1" collapsed="1"/>
    <col min="11" max="11" width="13.25" style="330" customWidth="1" collapsed="1"/>
    <col min="12" max="12" width="8.375" style="312" bestFit="1" customWidth="1" collapsed="1"/>
    <col min="13" max="13" width="9" style="312" bestFit="1" customWidth="1" collapsed="1"/>
    <col min="14" max="14" width="8.5" style="347" customWidth="1" collapsed="1"/>
    <col min="15" max="15" width="9" style="311" bestFit="1" customWidth="1" collapsed="1"/>
    <col min="16" max="16" width="9.875" style="311" customWidth="1" collapsed="1"/>
    <col min="17" max="17" width="6.875" style="311" customWidth="1" collapsed="1"/>
    <col min="18" max="23" width="8.125" style="311" collapsed="1"/>
    <col min="24" max="24" width="10.375" style="311" bestFit="1" customWidth="1" collapsed="1"/>
    <col min="25" max="25" width="9.875" style="311" bestFit="1" customWidth="1" collapsed="1"/>
    <col min="26" max="16384" width="8.125" style="311" collapsed="1"/>
  </cols>
  <sheetData>
    <row r="1" spans="1:28">
      <c r="L1" s="312" t="s">
        <v>12</v>
      </c>
    </row>
    <row r="2" spans="1:28">
      <c r="A2" s="330" t="s">
        <v>27</v>
      </c>
      <c r="L2" s="312" t="s">
        <v>12</v>
      </c>
    </row>
    <row r="3" spans="1:28" ht="15.75">
      <c r="A3" s="330" t="str">
        <f>+Contents!A3</f>
        <v>FOR THE PERIOD ENDED 31 DECEMBER, 2016</v>
      </c>
      <c r="L3" s="312" t="s">
        <v>12</v>
      </c>
      <c r="O3" s="53" t="s">
        <v>7</v>
      </c>
      <c r="P3" s="53" t="str">
        <f>+UPPER(Control!D9)</f>
        <v>PERIOD</v>
      </c>
      <c r="Q3" s="53" t="s">
        <v>8</v>
      </c>
      <c r="R3" s="53" t="str">
        <f>+UPPER(Control!D6)</f>
        <v>31 DECEMBER, 2016</v>
      </c>
    </row>
    <row r="4" spans="1:28" ht="15.75">
      <c r="A4" s="330" t="str">
        <f>+CONCATENATE(O5,P5,Q5)</f>
        <v>(Expressed in United States Dollars)</v>
      </c>
      <c r="L4" s="312" t="s">
        <v>12</v>
      </c>
      <c r="O4" s="53" t="s">
        <v>7</v>
      </c>
      <c r="P4" s="53" t="str">
        <f>+UPPER(Control!D9)</f>
        <v>PERIOD</v>
      </c>
      <c r="Q4" s="53" t="s">
        <v>9</v>
      </c>
      <c r="R4" s="53" t="str">
        <f>UPPER(TEXT(Control!D11, "d mmmm, yyyy"))</f>
        <v>2 MARCH, 2014</v>
      </c>
      <c r="S4" s="53" t="s">
        <v>10</v>
      </c>
      <c r="T4" s="53" t="str">
        <f>UPPER(Control!D6)</f>
        <v>31 DECEMBER, 2016</v>
      </c>
    </row>
    <row r="5" spans="1:28" ht="15.75">
      <c r="L5" s="312" t="s">
        <v>12</v>
      </c>
      <c r="O5" s="53" t="s">
        <v>764</v>
      </c>
      <c r="P5" s="53" t="str">
        <f>+Control!D67</f>
        <v>United States Dollars</v>
      </c>
      <c r="Q5" s="53" t="s">
        <v>5</v>
      </c>
    </row>
    <row r="6" spans="1:28">
      <c r="L6" s="312" t="s">
        <v>2</v>
      </c>
    </row>
    <row r="7" spans="1:28">
      <c r="A7" s="331" t="s">
        <v>808</v>
      </c>
      <c r="L7" s="312" t="s">
        <v>809</v>
      </c>
      <c r="M7" s="312" t="s">
        <v>3</v>
      </c>
    </row>
    <row r="8" spans="1:28">
      <c r="M8" s="312" t="s">
        <v>3</v>
      </c>
      <c r="N8" s="347" t="s">
        <v>1130</v>
      </c>
      <c r="O8" s="311" t="str">
        <f>+CONCATENATE(O9,P9,Q9,R9,S9,T9,IF(Control!D24=0,Section6!O15,Section6!O17))</f>
        <v>MIC INCORPORATION LIMITED  (“the Company”) is a private limited liability company. The principal activity of the company was engaged in general trading during the period. The registered office of the Company is located at Unit 1213, 12/F, Wing On Plaza, 62 Mody Road, Tsim Sha Tsui East, Kowloon, Hong Kong.</v>
      </c>
    </row>
    <row r="9" spans="1:28" s="370" customFormat="1">
      <c r="A9" s="342" t="str">
        <f>+IF(Control!D64=0,Section6!O11,Section6!O8)</f>
        <v>MIC INCORPORATION LIMITED  (“the Company”) is a private limited liability company. The principal activity of the company was engaged in general trading during the period. The registered office of the Company is located at Unit 1213, 12/F, Wing On Plaza, 62 Mody Road, Tsim Sha Tsui East, Kowloon, Hong Kong.</v>
      </c>
      <c r="B9" s="342"/>
      <c r="C9" s="342"/>
      <c r="D9" s="342"/>
      <c r="E9" s="342"/>
      <c r="F9" s="342"/>
      <c r="G9" s="342"/>
      <c r="H9" s="342"/>
      <c r="I9" s="342"/>
      <c r="J9" s="342"/>
      <c r="K9" s="342"/>
      <c r="L9" s="312"/>
      <c r="M9" s="312" t="s">
        <v>3</v>
      </c>
      <c r="N9" s="347"/>
      <c r="O9" s="370" t="str">
        <f>+Control!D3</f>
        <v>MIC INCORPORATION LIMITED </v>
      </c>
      <c r="P9" s="370" t="s">
        <v>1128</v>
      </c>
      <c r="Q9" s="370" t="s">
        <v>1129</v>
      </c>
      <c r="R9" s="370" t="str">
        <f>+Control!D65</f>
        <v>general trading</v>
      </c>
      <c r="S9" s="370" t="s">
        <v>682</v>
      </c>
      <c r="T9" s="370" t="str">
        <f>+LOWER(Control!D9)</f>
        <v>period</v>
      </c>
      <c r="U9" s="370" t="s">
        <v>810</v>
      </c>
      <c r="V9" s="370" t="str">
        <f>+IF(Control!D24=1,"has been changed to ","is located at ")</f>
        <v xml:space="preserve">is located at </v>
      </c>
      <c r="W9" s="370" t="str">
        <f>+Control!D21</f>
        <v>Unit 1213, 12/F, Wing On Plaza, 62 Mody Road, Tsim Sha Tsui East, Kowloon, Hong Kong</v>
      </c>
      <c r="X9" s="370" t="str">
        <f>+IF(Control!D25=0,""," from ")</f>
        <v xml:space="preserve"> from </v>
      </c>
      <c r="Y9" s="370" t="str">
        <f>+IF(Control!D25=0,"",Control!D25)</f>
        <v>2/F, Wing Yee Commercial Building, 5 Wing Kut Street, Central, Hong Kong</v>
      </c>
      <c r="Z9" s="370" t="s">
        <v>1184</v>
      </c>
      <c r="AA9" s="370" t="str">
        <f>+TEXT(Control!D26,"d mmmm, yyyy")</f>
        <v>22 September, 2016</v>
      </c>
      <c r="AB9" s="370" t="s">
        <v>239</v>
      </c>
    </row>
    <row r="10" spans="1:28">
      <c r="M10" s="312" t="s">
        <v>3</v>
      </c>
      <c r="O10" s="370"/>
      <c r="P10" s="370"/>
      <c r="Q10" s="370" t="s">
        <v>1233</v>
      </c>
      <c r="R10" s="370"/>
    </row>
    <row r="11" spans="1:28">
      <c r="A11" s="568" t="str">
        <f>+IF(Control!D67=Control!D71,Section6!O12,Section6!O13)</f>
        <v>The financial statements are presented in United States Dollars, and the functional currency of the Company is also in United States Dollars.</v>
      </c>
      <c r="M11" s="312" t="str">
        <f>+IF(AND(Control!D67="Hong Kong Dollars",Control!D71="United States Dollars")+AND(Control!D67="United States Dollars",Control!D71="Hong Kong Dollars"),"N","Y")</f>
        <v>Y</v>
      </c>
      <c r="N11" s="347" t="s">
        <v>1127</v>
      </c>
      <c r="O11" s="311" t="str">
        <f>+CONCATENATE(O9,P9,Q10,T9,IF(Control!D24=0,Section6!O15,Section6!O17))</f>
        <v>MIC INCORPORATION LIMITED  (“the Company”) is a private limited liability company. The Company was inactive during the period. The registered office of the Company is located at Unit 1213, 12/F, Wing On Plaza, 62 Mody Road, Tsim Sha Tsui East, Kowloon, Hong Kong.</v>
      </c>
    </row>
    <row r="12" spans="1:28">
      <c r="A12" s="346"/>
      <c r="M12" s="312" t="str">
        <f>+M11</f>
        <v>Y</v>
      </c>
      <c r="O12" s="311" t="str">
        <f>+CONCATENATE(O14,P14,Q14,R14,S14,T14,U14,V14)</f>
        <v>The financial statements are presented in United States Dollars, and the functional currency of the Company is also in United States Dollars.</v>
      </c>
    </row>
    <row r="13" spans="1:28">
      <c r="A13" s="562" t="str">
        <f>+CONCATENATE(O24,P24,Q24,R24,S24,T24,U24,V24,W24)</f>
        <v>The financial statements are presented in United States Dollars, and the functional currencies of the Company are in United States Dollars. The exchange rate between United States Dollars and United States Dollars is pegged, the Company believes its exposure to exchange rate risk is minimal.</v>
      </c>
      <c r="M13" s="312" t="str">
        <f>+IF(M11="Y","N","Y")</f>
        <v>N</v>
      </c>
      <c r="O13" s="311" t="str">
        <f>+CONCATENATE(O14,P14,Q14,R14,T14,U14,V14)</f>
        <v>The financial statements are presented in United States Dollars, and the functional currency of the Company is in United States Dollars.</v>
      </c>
    </row>
    <row r="14" spans="1:28">
      <c r="M14" s="312" t="str">
        <f>+M13</f>
        <v>N</v>
      </c>
      <c r="O14" s="311" t="s">
        <v>1600</v>
      </c>
      <c r="P14" s="311" t="str">
        <f>+Control!D67</f>
        <v>United States Dollars</v>
      </c>
      <c r="Q14" s="311" t="s">
        <v>1602</v>
      </c>
      <c r="R14" s="311" t="s">
        <v>1604</v>
      </c>
      <c r="S14" s="311" t="s">
        <v>1605</v>
      </c>
      <c r="T14" s="311" t="s">
        <v>1603</v>
      </c>
      <c r="U14" s="311" t="str">
        <f>+Control!D71</f>
        <v>United States Dollars</v>
      </c>
      <c r="V14" s="311" t="s">
        <v>1601</v>
      </c>
    </row>
    <row r="15" spans="1:28">
      <c r="A15" s="562" t="str">
        <f>+IF(Control!D40=Control!D42,Section6!O20,Section6!O19)</f>
        <v>The immediate holding company and the ultimate holding company is XFERS PTE. Limited which was incorporated in Singapore.</v>
      </c>
      <c r="B15" s="346">
        <v>0</v>
      </c>
      <c r="C15" s="346"/>
      <c r="D15" s="346">
        <v>0</v>
      </c>
      <c r="E15" s="346"/>
      <c r="F15" s="346"/>
      <c r="G15" s="346"/>
      <c r="H15" s="346"/>
      <c r="I15" s="346"/>
      <c r="J15" s="346"/>
      <c r="K15" s="346"/>
      <c r="M15" s="312" t="str">
        <f>+IF(Control!D39=1,"Y","N")</f>
        <v>N</v>
      </c>
      <c r="O15" s="311" t="str">
        <f>+CONCATENATE(U9,V9,W9,AB9)</f>
        <v>. The registered office of the Company is located at Unit 1213, 12/F, Wing On Plaza, 62 Mody Road, Tsim Sha Tsui East, Kowloon, Hong Kong.</v>
      </c>
    </row>
    <row r="16" spans="1:28">
      <c r="A16" s="562"/>
      <c r="B16" s="346">
        <v>0</v>
      </c>
      <c r="C16" s="346"/>
      <c r="D16" s="346">
        <v>0</v>
      </c>
      <c r="E16" s="346"/>
      <c r="F16" s="346"/>
      <c r="G16" s="346"/>
      <c r="H16" s="346"/>
      <c r="I16" s="346"/>
      <c r="J16" s="346"/>
      <c r="K16" s="346"/>
      <c r="M16" s="312" t="str">
        <f>+M15</f>
        <v>N</v>
      </c>
    </row>
    <row r="17" spans="1:31">
      <c r="M17" s="312" t="str">
        <f>+IF(Control!D34=1,"Y","N")</f>
        <v>N</v>
      </c>
      <c r="O17" s="311" t="str">
        <f>+CONCATENATE(U9,V9,W9,X9,Y9,Z9,AA9,AB9)</f>
        <v>. The registered office of the Company is located at Unit 1213, 12/F, Wing On Plaza, 62 Mody Road, Tsim Sha Tsui East, Kowloon, Hong Kong from 2/F, Wing Yee Commercial Building, 5 Wing Kut Street, Central, Hong Kong since 22 September, 2016.</v>
      </c>
    </row>
    <row r="18" spans="1:31">
      <c r="A18" s="561" t="s">
        <v>1813</v>
      </c>
      <c r="M18" s="312" t="s">
        <v>1809</v>
      </c>
      <c r="N18" s="347" t="s">
        <v>1816</v>
      </c>
    </row>
    <row r="19" spans="1:31">
      <c r="M19" s="312" t="str">
        <f>+M18</f>
        <v>N</v>
      </c>
      <c r="N19" s="347" t="s">
        <v>1816</v>
      </c>
      <c r="O19" s="311" t="str">
        <f>+CONCATENATE(P19,Q19,R19,S19,T19,U19,V19,W19,X19)</f>
        <v>The immediate holding company is XFERS PTE. Limited which was incorporated in Singapore and the ultimate holding company is XFERS PTE. Limited which was incorporated in Singapore.</v>
      </c>
      <c r="P19" s="311" t="s">
        <v>1906</v>
      </c>
      <c r="Q19" s="311" t="str">
        <f>+Control!D40</f>
        <v>XFERS PTE. Limited</v>
      </c>
      <c r="R19" s="311" t="s">
        <v>1907</v>
      </c>
      <c r="S19" s="311" t="str">
        <f>+Control!D41</f>
        <v>Singapore</v>
      </c>
      <c r="T19" s="311" t="s">
        <v>1908</v>
      </c>
      <c r="U19" s="311" t="str">
        <f>+Control!D42</f>
        <v>XFERS PTE. Limited</v>
      </c>
      <c r="V19" s="311" t="s">
        <v>1909</v>
      </c>
      <c r="W19" s="311" t="str">
        <f>+Control!D43</f>
        <v>Singapore</v>
      </c>
      <c r="X19" s="311" t="s">
        <v>1914</v>
      </c>
      <c r="Y19" s="433" t="s">
        <v>1910</v>
      </c>
    </row>
    <row r="20" spans="1:31">
      <c r="A20" s="561" t="s">
        <v>1814</v>
      </c>
      <c r="M20" s="312" t="str">
        <f>+M18</f>
        <v>N</v>
      </c>
      <c r="N20" s="347" t="s">
        <v>1816</v>
      </c>
      <c r="O20" s="311" t="str">
        <f>+CONCATENATE(P20,Q20,R20,S20,T20)</f>
        <v>The immediate holding company and the ultimate holding company is XFERS PTE. Limited which was incorporated in Singapore.</v>
      </c>
      <c r="P20" s="311" t="s">
        <v>1911</v>
      </c>
      <c r="Q20" s="311" t="str">
        <f>+Control!D42</f>
        <v>XFERS PTE. Limited</v>
      </c>
      <c r="R20" s="311" t="s">
        <v>1912</v>
      </c>
      <c r="S20" s="311" t="str">
        <f>+Control!D43</f>
        <v>Singapore</v>
      </c>
      <c r="T20" s="311" t="s">
        <v>1913</v>
      </c>
    </row>
    <row r="21" spans="1:31">
      <c r="M21" s="312" t="str">
        <f>+M18</f>
        <v>N</v>
      </c>
      <c r="N21" s="347" t="s">
        <v>1816</v>
      </c>
    </row>
    <row r="22" spans="1:31">
      <c r="A22" s="561" t="s">
        <v>1815</v>
      </c>
      <c r="M22" s="312" t="str">
        <f>+M18</f>
        <v>N</v>
      </c>
      <c r="N22" s="347" t="s">
        <v>1816</v>
      </c>
    </row>
    <row r="23" spans="1:31">
      <c r="M23" s="312" t="str">
        <f>+M18</f>
        <v>N</v>
      </c>
      <c r="N23" s="347" t="s">
        <v>1816</v>
      </c>
    </row>
    <row r="24" spans="1:31">
      <c r="A24" s="331" t="s">
        <v>811</v>
      </c>
      <c r="L24" s="312" t="s">
        <v>809</v>
      </c>
      <c r="M24" s="312" t="s">
        <v>3</v>
      </c>
      <c r="O24" s="311" t="s">
        <v>1600</v>
      </c>
      <c r="P24" s="311" t="str">
        <f>+Control!D67</f>
        <v>United States Dollars</v>
      </c>
      <c r="Q24" s="311" t="s">
        <v>1606</v>
      </c>
      <c r="R24" s="311" t="str">
        <f>+Control!D71</f>
        <v>United States Dollars</v>
      </c>
      <c r="S24" s="311" t="s">
        <v>1607</v>
      </c>
      <c r="T24" s="311" t="str">
        <f>+P24</f>
        <v>United States Dollars</v>
      </c>
      <c r="U24" s="311" t="s">
        <v>1608</v>
      </c>
      <c r="V24" s="311" t="str">
        <f>+R24</f>
        <v>United States Dollars</v>
      </c>
      <c r="W24" s="311" t="s">
        <v>1609</v>
      </c>
    </row>
    <row r="25" spans="1:31">
      <c r="A25" s="331"/>
      <c r="M25" s="312" t="s">
        <v>1720</v>
      </c>
    </row>
    <row r="26" spans="1:31">
      <c r="A26" s="330" t="str">
        <f>+CONCATENATE(O26,P26,TEXT(Q26,"###,###,###,###,###,###,###,###"),R26,S26,U26,V26,TEXT(W26,"###,###,###,###,###,###,###,###"),X26,Y26,Z26,AA26,AB26,AC26,AD26)</f>
        <v>At the balance sheet date, the Company had net liabilities of US$Nil (2016: US$Nil). The shareholder confirmed his intention to provide continuing financial support to the Company. Consequently, the financial statements have been prepared on a going concern basis and do not include any adjustments that would result from a failure to obtain such financial support.</v>
      </c>
      <c r="M26" s="343" t="str">
        <f>+Section2!J182</f>
        <v>N</v>
      </c>
      <c r="O26" s="311" t="s">
        <v>812</v>
      </c>
      <c r="P26" s="311" t="str">
        <f>+Control!D68</f>
        <v>US$</v>
      </c>
      <c r="Q26" s="344" t="str">
        <f>+IF(Control!D30=1,-Section4!E61,IF(Section4!C61&lt;0,-Section4!C61,"Nil"))</f>
        <v>Nil</v>
      </c>
      <c r="R26" s="311" t="str">
        <f>+IF(Control!D30=1,""," (")</f>
        <v xml:space="preserve"> (</v>
      </c>
      <c r="S26" s="370" t="str">
        <f>+IF(Control!D30=1,"",RIGHT(Control!H13,4))</f>
        <v>2016</v>
      </c>
      <c r="T26" s="370"/>
      <c r="U26" s="370" t="str">
        <f>+IF(Control!D30=1,"",": ")</f>
        <v xml:space="preserve">: </v>
      </c>
      <c r="V26" s="311" t="str">
        <f>+IF(Control!D30=1,"",Control!D68)</f>
        <v>US$</v>
      </c>
      <c r="W26" s="344" t="str">
        <f>+IF(Control!D30=1,"",IF(Section4!E61&lt;0,-Section4!E61,"Nil"))</f>
        <v>Nil</v>
      </c>
      <c r="X26" s="311" t="str">
        <f>+IF(Control!D30=1,"",")")</f>
        <v>)</v>
      </c>
      <c r="Y26" s="311" t="s">
        <v>688</v>
      </c>
      <c r="Z26" s="311" t="s">
        <v>707</v>
      </c>
      <c r="AA26" s="311" t="str">
        <f>+IF(Control!D95&gt;1,"shareholders","shareholder")</f>
        <v>shareholder</v>
      </c>
      <c r="AB26" s="311" t="s">
        <v>267</v>
      </c>
      <c r="AC26" s="311" t="str">
        <f>+Control!D97</f>
        <v>his</v>
      </c>
      <c r="AD26" s="311" t="s">
        <v>1580</v>
      </c>
    </row>
    <row r="27" spans="1:31">
      <c r="M27" s="312" t="str">
        <f>+M26</f>
        <v>N</v>
      </c>
    </row>
    <row r="28" spans="1:31">
      <c r="A28" s="330" t="str">
        <f>+CONCATENATE(O28,P28,Q28,R28,S28,T28,U28,V28,W28,X28,Y28,Z28,AA28,AB28,AC28,AD28,AE28)</f>
        <v xml:space="preserve">As at the reporting date, the Company’s net liabilities were amounted to HK$-9,849 (2016: HK$-11,140). The shareholder has agreed to provide adequate funds to enable the Company to meet in full financial obligations as they fall due until the Company is de-registered. As the Company is in the process of applying deregistration from the Company Registry, the director considers that the going concern basis of preparation of financial statements is not appropriate. Therefore, these financial statements have been prepared by the director on a break-up basis. </v>
      </c>
      <c r="M28" s="312" t="str">
        <f>+Section2!J176</f>
        <v>N</v>
      </c>
      <c r="O28" s="311" t="s">
        <v>1568</v>
      </c>
      <c r="P28" s="344" t="str">
        <f>+Section2!L176</f>
        <v>-9,849</v>
      </c>
      <c r="Q28" s="311" t="s">
        <v>1569</v>
      </c>
      <c r="R28" s="311" t="str">
        <f>+Section2!N176</f>
        <v>2016</v>
      </c>
      <c r="S28" s="311" t="s">
        <v>1561</v>
      </c>
      <c r="T28" s="344" t="str">
        <f>+Section2!P176</f>
        <v>-11,140</v>
      </c>
      <c r="U28" s="311" t="s">
        <v>1570</v>
      </c>
      <c r="V28" s="311" t="str">
        <f>+AA26</f>
        <v>shareholder</v>
      </c>
      <c r="W28" s="311" t="s">
        <v>1571</v>
      </c>
      <c r="X28" s="311" t="str">
        <f>+IF(Control!D95&gt;1,"have","has")</f>
        <v>has</v>
      </c>
      <c r="Y28" s="311" t="s">
        <v>1572</v>
      </c>
      <c r="Z28" s="311" t="str">
        <f>+IF('Dir info'!C1=1,"director ","directors ")</f>
        <v xml:space="preserve">director </v>
      </c>
      <c r="AA28" s="311" t="str">
        <f>+IF('Dir info'!C1=1,"considers","consider")</f>
        <v>considers</v>
      </c>
      <c r="AB28" s="311" t="s">
        <v>1573</v>
      </c>
      <c r="AC28" s="311" t="s">
        <v>1574</v>
      </c>
      <c r="AD28" s="311" t="str">
        <f>+IF('Dir info'!C1=1,"director","directors")</f>
        <v>director</v>
      </c>
      <c r="AE28" s="311" t="s">
        <v>1575</v>
      </c>
    </row>
    <row r="29" spans="1:31">
      <c r="M29" s="312" t="str">
        <f>+M28</f>
        <v>N</v>
      </c>
      <c r="P29" s="344"/>
      <c r="T29" s="344"/>
    </row>
    <row r="30" spans="1:31">
      <c r="A30" s="330" t="str">
        <f>+CONCATENATE(O28,T28,U30,V28,W28,X28,Y28,Z28,AA28,AB28,AC28,AD28,AE28)</f>
        <v xml:space="preserve">As at the reporting date, the Company’s net liabilities were amounted to HK$-11,140. The shareholder has agreed to provide adequate funds to enable the Company to meet in full financial obligations as they fall due until the Company is de-registered. As the Company is in the process of applying deregistration from the Company Registry, the director considers that the going concern basis of preparation of financial statements is not appropriate. Therefore, these financial statements have been prepared by the director on a break-up basis. </v>
      </c>
      <c r="M30" s="312" t="str">
        <f>+Section2!J177</f>
        <v>N</v>
      </c>
      <c r="P30" s="344"/>
      <c r="T30" s="344"/>
      <c r="U30" s="311" t="s">
        <v>1576</v>
      </c>
    </row>
    <row r="31" spans="1:31">
      <c r="M31" s="312" t="str">
        <f>+M30</f>
        <v>N</v>
      </c>
      <c r="P31" s="344"/>
      <c r="T31" s="344"/>
    </row>
    <row r="32" spans="1:31">
      <c r="A32" s="561" t="s">
        <v>1577</v>
      </c>
      <c r="M32" s="312" t="str">
        <f>+Section2!J178</f>
        <v>N</v>
      </c>
      <c r="P32" s="344"/>
      <c r="T32" s="344"/>
    </row>
    <row r="33" spans="1:22">
      <c r="M33" s="312" t="str">
        <f>+M32</f>
        <v>N</v>
      </c>
    </row>
    <row r="34" spans="1:22">
      <c r="A34" s="330" t="s">
        <v>813</v>
      </c>
      <c r="M34" s="312" t="str">
        <f>+IF('141D'!B79&lt;0,"N","Y")</f>
        <v>N</v>
      </c>
      <c r="N34" s="347" t="s">
        <v>814</v>
      </c>
    </row>
    <row r="35" spans="1:22">
      <c r="M35" s="312" t="str">
        <f>+M34</f>
        <v>N</v>
      </c>
    </row>
    <row r="36" spans="1:22">
      <c r="A36" s="561" t="s">
        <v>1934</v>
      </c>
      <c r="M36" s="312" t="s">
        <v>1509</v>
      </c>
      <c r="N36" s="347" t="s">
        <v>814</v>
      </c>
    </row>
    <row r="37" spans="1:22">
      <c r="A37" s="561"/>
      <c r="M37" s="312" t="s">
        <v>1508</v>
      </c>
    </row>
    <row r="38" spans="1:22">
      <c r="A38" s="561" t="s">
        <v>1511</v>
      </c>
      <c r="M38" s="312" t="str">
        <f>+M34</f>
        <v>N</v>
      </c>
      <c r="N38" s="347" t="s">
        <v>814</v>
      </c>
    </row>
    <row r="39" spans="1:22">
      <c r="M39" s="312" t="str">
        <f>+M34</f>
        <v>N</v>
      </c>
    </row>
    <row r="40" spans="1:22">
      <c r="A40" s="561" t="s">
        <v>1948</v>
      </c>
      <c r="M40" s="312" t="str">
        <f>+M34</f>
        <v>N</v>
      </c>
      <c r="N40" s="347" t="s">
        <v>814</v>
      </c>
    </row>
    <row r="41" spans="1:22">
      <c r="M41" s="312" t="str">
        <f>+M34</f>
        <v>N</v>
      </c>
    </row>
    <row r="42" spans="1:22">
      <c r="A42" s="330" t="str">
        <f>+CONCATENATE(O42,P42,Q42,R42,S42,T42,U42,V42)</f>
        <v>The company qualifies under the predecessor Companies Ordinance (Chapter 32) to prepare and present its financial statements in accordance with section 141D of that Ordinance.  The company’s shareholders has agreed in writing to apply section 141D with respect to the company’s financial statements for the period ended 31 December, 2016.</v>
      </c>
      <c r="M42" s="312" t="str">
        <f>+IF('141D'!B79&lt;0,"Y","N")</f>
        <v>Y</v>
      </c>
      <c r="N42" s="347" t="s">
        <v>815</v>
      </c>
      <c r="O42" s="311" t="s">
        <v>1379</v>
      </c>
      <c r="P42" s="311" t="str">
        <f>+IF(Control!D95&gt;1,"shareholder","shareholders")</f>
        <v>shareholders</v>
      </c>
      <c r="Q42" s="311" t="str">
        <f>+IF(Control!D95&gt;1," have"," has")</f>
        <v xml:space="preserve"> has</v>
      </c>
      <c r="R42" s="311" t="s">
        <v>816</v>
      </c>
      <c r="S42" s="311" t="str">
        <f>+LOWER(Control!D9)</f>
        <v>period</v>
      </c>
      <c r="T42" s="311" t="s">
        <v>660</v>
      </c>
      <c r="U42" s="311" t="str">
        <f>+Control!D6</f>
        <v>31 December, 2016</v>
      </c>
      <c r="V42" s="311" t="s">
        <v>239</v>
      </c>
    </row>
    <row r="43" spans="1:22">
      <c r="M43" s="312" t="str">
        <f>+IF('141D'!B79&lt;0,"Y","N")</f>
        <v>Y</v>
      </c>
      <c r="N43" s="347" t="s">
        <v>815</v>
      </c>
    </row>
    <row r="44" spans="1:22" s="347" customFormat="1">
      <c r="A44" s="562" t="s">
        <v>1510</v>
      </c>
      <c r="B44" s="346"/>
      <c r="C44" s="346"/>
      <c r="D44" s="346"/>
      <c r="E44" s="346"/>
      <c r="F44" s="346"/>
      <c r="G44" s="346"/>
      <c r="H44" s="346"/>
      <c r="I44" s="346"/>
      <c r="J44" s="346"/>
      <c r="K44" s="346"/>
      <c r="L44" s="312"/>
      <c r="M44" s="312" t="str">
        <f>+IF('141D'!B79&lt;0,"Y","N")</f>
        <v>Y</v>
      </c>
      <c r="N44" s="347" t="s">
        <v>815</v>
      </c>
    </row>
    <row r="45" spans="1:22">
      <c r="M45" s="312" t="str">
        <f>+M44</f>
        <v>Y</v>
      </c>
      <c r="N45" s="347" t="s">
        <v>815</v>
      </c>
    </row>
    <row r="46" spans="1:22">
      <c r="A46" s="346" t="s">
        <v>818</v>
      </c>
      <c r="M46" s="312" t="str">
        <f>+M45</f>
        <v>Y</v>
      </c>
      <c r="N46" s="347" t="s">
        <v>815</v>
      </c>
    </row>
    <row r="47" spans="1:22">
      <c r="M47" s="312" t="str">
        <f>+M46</f>
        <v>Y</v>
      </c>
    </row>
    <row r="48" spans="1:22">
      <c r="A48" s="561" t="s">
        <v>1946</v>
      </c>
      <c r="M48" s="312" t="s">
        <v>1949</v>
      </c>
      <c r="N48" s="347" t="s">
        <v>1956</v>
      </c>
    </row>
    <row r="49" spans="1:14">
      <c r="M49" s="312" t="s">
        <v>1949</v>
      </c>
      <c r="N49" s="347" t="s">
        <v>1956</v>
      </c>
    </row>
    <row r="50" spans="1:14">
      <c r="A50" s="561" t="s">
        <v>1947</v>
      </c>
      <c r="M50" s="312" t="s">
        <v>1949</v>
      </c>
      <c r="N50" s="347" t="s">
        <v>1956</v>
      </c>
    </row>
    <row r="51" spans="1:14">
      <c r="A51" s="561"/>
      <c r="M51" s="312" t="s">
        <v>1949</v>
      </c>
      <c r="N51" s="347" t="s">
        <v>1956</v>
      </c>
    </row>
    <row r="52" spans="1:14">
      <c r="A52" s="561" t="s">
        <v>1948</v>
      </c>
      <c r="M52" s="312" t="s">
        <v>1949</v>
      </c>
      <c r="N52" s="347" t="s">
        <v>1956</v>
      </c>
    </row>
    <row r="53" spans="1:14">
      <c r="M53" s="312" t="s">
        <v>1949</v>
      </c>
      <c r="N53" s="347" t="s">
        <v>1956</v>
      </c>
    </row>
    <row r="54" spans="1:14">
      <c r="A54" s="331" t="s">
        <v>819</v>
      </c>
      <c r="L54" s="312" t="s">
        <v>809</v>
      </c>
      <c r="M54" s="312" t="s">
        <v>3</v>
      </c>
    </row>
    <row r="55" spans="1:14">
      <c r="M55" s="312" t="s">
        <v>3</v>
      </c>
    </row>
    <row r="56" spans="1:14">
      <c r="A56" s="561" t="s">
        <v>1950</v>
      </c>
      <c r="M56" s="312" t="s">
        <v>3</v>
      </c>
    </row>
    <row r="57" spans="1:14">
      <c r="M57" s="312" t="s">
        <v>3</v>
      </c>
    </row>
    <row r="58" spans="1:14">
      <c r="B58" s="330" t="s">
        <v>1189</v>
      </c>
      <c r="L58" s="312" t="s">
        <v>809</v>
      </c>
      <c r="M58" s="312" t="str">
        <f>+IF(Section4!C21+Section4!E21=0,"N","Y")</f>
        <v>Y</v>
      </c>
    </row>
    <row r="59" spans="1:14">
      <c r="M59" s="312" t="str">
        <f>+M58</f>
        <v>Y</v>
      </c>
    </row>
    <row r="60" spans="1:14">
      <c r="B60" s="330" t="s">
        <v>1190</v>
      </c>
      <c r="M60" s="312" t="str">
        <f>+M58</f>
        <v>Y</v>
      </c>
    </row>
    <row r="61" spans="1:14">
      <c r="M61" s="312" t="str">
        <f>+M58</f>
        <v>Y</v>
      </c>
    </row>
    <row r="62" spans="1:14">
      <c r="B62" s="561" t="s">
        <v>1955</v>
      </c>
      <c r="L62" s="312" t="s">
        <v>809</v>
      </c>
      <c r="M62" s="312" t="str">
        <f>+IF(Section4!G14="Y","Y","N")</f>
        <v>N</v>
      </c>
      <c r="N62" s="347" t="s">
        <v>1957</v>
      </c>
    </row>
    <row r="63" spans="1:14">
      <c r="M63" s="312" t="str">
        <f>+M62</f>
        <v>N</v>
      </c>
      <c r="N63" s="347" t="s">
        <v>1957</v>
      </c>
    </row>
    <row r="64" spans="1:14">
      <c r="B64" s="561" t="s">
        <v>1958</v>
      </c>
      <c r="M64" s="312" t="str">
        <f>+M62</f>
        <v>N</v>
      </c>
      <c r="N64" s="347" t="s">
        <v>1957</v>
      </c>
    </row>
    <row r="65" spans="2:14">
      <c r="M65" s="312" t="str">
        <f>+M62</f>
        <v>N</v>
      </c>
      <c r="N65" s="347" t="s">
        <v>1957</v>
      </c>
    </row>
    <row r="66" spans="2:14">
      <c r="B66" s="561" t="s">
        <v>2091</v>
      </c>
      <c r="M66" s="312" t="str">
        <f>+M62</f>
        <v>N</v>
      </c>
      <c r="N66" s="347" t="s">
        <v>1957</v>
      </c>
    </row>
    <row r="67" spans="2:14">
      <c r="M67" s="312" t="str">
        <f>+M62</f>
        <v>N</v>
      </c>
      <c r="N67" s="347" t="s">
        <v>1957</v>
      </c>
    </row>
    <row r="68" spans="2:14">
      <c r="B68" s="561" t="s">
        <v>1959</v>
      </c>
      <c r="M68" s="312" t="str">
        <f>+M62</f>
        <v>N</v>
      </c>
      <c r="N68" s="347" t="s">
        <v>1957</v>
      </c>
    </row>
    <row r="69" spans="2:14">
      <c r="M69" s="312" t="str">
        <f>+M62</f>
        <v>N</v>
      </c>
      <c r="N69" s="347" t="s">
        <v>1957</v>
      </c>
    </row>
    <row r="70" spans="2:14">
      <c r="B70" s="561" t="s">
        <v>1960</v>
      </c>
      <c r="M70" s="312" t="str">
        <f>+M62</f>
        <v>N</v>
      </c>
      <c r="N70" s="347" t="s">
        <v>1957</v>
      </c>
    </row>
    <row r="71" spans="2:14">
      <c r="B71" s="561"/>
      <c r="M71" s="312" t="str">
        <f>+M62</f>
        <v>N</v>
      </c>
      <c r="N71" s="347" t="s">
        <v>1957</v>
      </c>
    </row>
    <row r="72" spans="2:14">
      <c r="B72" s="561" t="s">
        <v>1961</v>
      </c>
      <c r="L72" s="312" t="s">
        <v>809</v>
      </c>
      <c r="M72" s="312" t="str">
        <f>+IF(Section4!G15="Y","Y","N")</f>
        <v>N</v>
      </c>
      <c r="N72" s="347" t="s">
        <v>1975</v>
      </c>
    </row>
    <row r="73" spans="2:14">
      <c r="B73" s="561"/>
      <c r="M73" s="312" t="str">
        <f>+M72</f>
        <v>N</v>
      </c>
      <c r="N73" s="347" t="s">
        <v>1975</v>
      </c>
    </row>
    <row r="74" spans="2:14">
      <c r="B74" s="561" t="s">
        <v>1962</v>
      </c>
      <c r="M74" s="312" t="str">
        <f>+M72</f>
        <v>N</v>
      </c>
      <c r="N74" s="347" t="s">
        <v>1975</v>
      </c>
    </row>
    <row r="75" spans="2:14">
      <c r="B75" s="561"/>
      <c r="M75" s="312" t="str">
        <f>+M72</f>
        <v>N</v>
      </c>
      <c r="N75" s="347" t="s">
        <v>1975</v>
      </c>
    </row>
    <row r="76" spans="2:14">
      <c r="B76" s="561" t="s">
        <v>1963</v>
      </c>
      <c r="M76" s="312" t="str">
        <f>+M72</f>
        <v>N</v>
      </c>
      <c r="N76" s="347" t="s">
        <v>1975</v>
      </c>
    </row>
    <row r="77" spans="2:14">
      <c r="B77" s="561"/>
      <c r="M77" s="312" t="str">
        <f>+M72</f>
        <v>N</v>
      </c>
      <c r="N77" s="347" t="s">
        <v>1975</v>
      </c>
    </row>
    <row r="78" spans="2:14">
      <c r="B78" s="561" t="s">
        <v>1964</v>
      </c>
      <c r="M78" s="312" t="str">
        <f>+M72</f>
        <v>N</v>
      </c>
      <c r="N78" s="347" t="s">
        <v>1975</v>
      </c>
    </row>
    <row r="79" spans="2:14">
      <c r="B79" s="561"/>
      <c r="M79" s="312" t="str">
        <f>+M72</f>
        <v>N</v>
      </c>
      <c r="N79" s="347" t="s">
        <v>1975</v>
      </c>
    </row>
    <row r="80" spans="2:14">
      <c r="B80" s="561" t="s">
        <v>1965</v>
      </c>
      <c r="M80" s="312" t="str">
        <f>+M72</f>
        <v>N</v>
      </c>
      <c r="N80" s="347" t="s">
        <v>1975</v>
      </c>
    </row>
    <row r="81" spans="2:14">
      <c r="B81" s="561"/>
      <c r="M81" s="312" t="str">
        <f>+M72</f>
        <v>N</v>
      </c>
      <c r="N81" s="347" t="s">
        <v>1975</v>
      </c>
    </row>
    <row r="82" spans="2:14">
      <c r="B82" s="561" t="s">
        <v>1966</v>
      </c>
      <c r="M82" s="312" t="str">
        <f>+M72</f>
        <v>N</v>
      </c>
      <c r="N82" s="347" t="s">
        <v>1975</v>
      </c>
    </row>
    <row r="83" spans="2:14">
      <c r="B83" s="561"/>
      <c r="M83" s="312" t="str">
        <f>+M72</f>
        <v>N</v>
      </c>
      <c r="N83" s="347" t="s">
        <v>1975</v>
      </c>
    </row>
    <row r="84" spans="2:14">
      <c r="B84" s="561" t="s">
        <v>1967</v>
      </c>
      <c r="M84" s="312" t="str">
        <f>+M72</f>
        <v>N</v>
      </c>
      <c r="N84" s="347" t="s">
        <v>1975</v>
      </c>
    </row>
    <row r="85" spans="2:14">
      <c r="B85" s="561"/>
      <c r="M85" s="312" t="str">
        <f>+M72</f>
        <v>N</v>
      </c>
      <c r="N85" s="347" t="s">
        <v>1975</v>
      </c>
    </row>
    <row r="86" spans="2:14">
      <c r="B86" s="561" t="s">
        <v>1968</v>
      </c>
      <c r="L86" s="312" t="s">
        <v>809</v>
      </c>
      <c r="M86" s="312" t="str">
        <f>+IF(Section4!G14="Y","Y",IF(Section4!G15="Y","Y","N"))</f>
        <v>N</v>
      </c>
      <c r="N86" s="347" t="s">
        <v>1977</v>
      </c>
    </row>
    <row r="87" spans="2:14">
      <c r="B87" s="561"/>
      <c r="M87" s="312" t="str">
        <f>+M86</f>
        <v>N</v>
      </c>
      <c r="N87" s="347" t="s">
        <v>1977</v>
      </c>
    </row>
    <row r="88" spans="2:14">
      <c r="B88" s="561" t="s">
        <v>1976</v>
      </c>
      <c r="M88" s="312" t="str">
        <f>+M86</f>
        <v>N</v>
      </c>
      <c r="N88" s="347" t="s">
        <v>1977</v>
      </c>
    </row>
    <row r="89" spans="2:14">
      <c r="B89" s="561"/>
      <c r="M89" s="312" t="str">
        <f>+M86</f>
        <v>N</v>
      </c>
      <c r="N89" s="347" t="s">
        <v>1977</v>
      </c>
    </row>
    <row r="90" spans="2:14">
      <c r="B90" s="561" t="s">
        <v>1969</v>
      </c>
      <c r="M90" s="312" t="str">
        <f>+M86</f>
        <v>N</v>
      </c>
      <c r="N90" s="347" t="s">
        <v>1977</v>
      </c>
    </row>
    <row r="91" spans="2:14">
      <c r="B91" s="561"/>
      <c r="M91" s="312" t="str">
        <f>+M86</f>
        <v>N</v>
      </c>
      <c r="N91" s="347" t="s">
        <v>1977</v>
      </c>
    </row>
    <row r="92" spans="2:14">
      <c r="B92" s="561" t="s">
        <v>1970</v>
      </c>
      <c r="M92" s="312" t="str">
        <f>+M86</f>
        <v>N</v>
      </c>
      <c r="N92" s="347" t="s">
        <v>1977</v>
      </c>
    </row>
    <row r="93" spans="2:14">
      <c r="B93" s="561"/>
      <c r="M93" s="312" t="str">
        <f>+M86</f>
        <v>N</v>
      </c>
      <c r="N93" s="347" t="s">
        <v>1977</v>
      </c>
    </row>
    <row r="94" spans="2:14">
      <c r="B94" s="561" t="s">
        <v>1971</v>
      </c>
      <c r="M94" s="312" t="str">
        <f>+M86</f>
        <v>N</v>
      </c>
      <c r="N94" s="347" t="s">
        <v>1977</v>
      </c>
    </row>
    <row r="95" spans="2:14">
      <c r="B95" s="561"/>
      <c r="M95" s="312" t="str">
        <f>+M86</f>
        <v>N</v>
      </c>
      <c r="N95" s="347" t="s">
        <v>1977</v>
      </c>
    </row>
    <row r="96" spans="2:14">
      <c r="B96" s="561" t="s">
        <v>1972</v>
      </c>
      <c r="M96" s="312" t="str">
        <f>+M86</f>
        <v>N</v>
      </c>
      <c r="N96" s="347" t="s">
        <v>1977</v>
      </c>
    </row>
    <row r="97" spans="1:15">
      <c r="B97" s="561"/>
      <c r="M97" s="312" t="str">
        <f>+M86</f>
        <v>N</v>
      </c>
      <c r="N97" s="347" t="s">
        <v>1977</v>
      </c>
    </row>
    <row r="98" spans="1:15">
      <c r="B98" s="561" t="s">
        <v>1973</v>
      </c>
      <c r="M98" s="312" t="str">
        <f>+M86</f>
        <v>N</v>
      </c>
      <c r="N98" s="347" t="s">
        <v>1977</v>
      </c>
    </row>
    <row r="99" spans="1:15">
      <c r="B99" s="561" t="s">
        <v>2092</v>
      </c>
      <c r="M99" s="312" t="str">
        <f>+M86</f>
        <v>N</v>
      </c>
      <c r="N99" s="347" t="s">
        <v>1977</v>
      </c>
    </row>
    <row r="100" spans="1:15">
      <c r="B100" s="561" t="s">
        <v>1974</v>
      </c>
      <c r="M100" s="312" t="str">
        <f>+M86</f>
        <v>N</v>
      </c>
      <c r="N100" s="347" t="s">
        <v>1977</v>
      </c>
    </row>
    <row r="101" spans="1:15">
      <c r="B101" s="561" t="s">
        <v>2092</v>
      </c>
      <c r="M101" s="312" t="str">
        <f>+M86</f>
        <v>N</v>
      </c>
      <c r="N101" s="347" t="s">
        <v>1977</v>
      </c>
    </row>
    <row r="102" spans="1:15">
      <c r="B102" s="330" t="s">
        <v>615</v>
      </c>
      <c r="L102" s="312" t="s">
        <v>809</v>
      </c>
      <c r="M102" s="312" t="s">
        <v>3</v>
      </c>
    </row>
    <row r="103" spans="1:15">
      <c r="M103" s="312" t="s">
        <v>3</v>
      </c>
    </row>
    <row r="104" spans="1:15">
      <c r="B104" s="330" t="s">
        <v>820</v>
      </c>
      <c r="M104" s="312" t="s">
        <v>3</v>
      </c>
    </row>
    <row r="105" spans="1:15">
      <c r="M105" s="312" t="s">
        <v>3</v>
      </c>
    </row>
    <row r="106" spans="1:15" s="345" customFormat="1">
      <c r="A106" s="342"/>
      <c r="B106" s="342"/>
      <c r="C106" s="568" t="s">
        <v>1835</v>
      </c>
      <c r="D106" s="342"/>
      <c r="E106" s="342"/>
      <c r="F106" s="342"/>
      <c r="G106" s="342"/>
      <c r="H106" s="342"/>
      <c r="I106" s="342"/>
      <c r="J106" s="342"/>
      <c r="K106" s="342"/>
      <c r="L106" s="312" t="s">
        <v>809</v>
      </c>
      <c r="M106" s="312" t="s">
        <v>1283</v>
      </c>
      <c r="N106" s="312"/>
      <c r="O106" s="345" t="s">
        <v>1951</v>
      </c>
    </row>
    <row r="107" spans="1:15" s="345" customFormat="1">
      <c r="A107" s="342"/>
      <c r="B107" s="342"/>
      <c r="C107" s="568" t="s">
        <v>1834</v>
      </c>
      <c r="D107" s="342"/>
      <c r="E107" s="342"/>
      <c r="F107" s="342"/>
      <c r="G107" s="342"/>
      <c r="H107" s="342"/>
      <c r="I107" s="342"/>
      <c r="J107" s="342"/>
      <c r="K107" s="342"/>
      <c r="L107" s="312" t="s">
        <v>809</v>
      </c>
      <c r="M107" s="312" t="s">
        <v>1833</v>
      </c>
      <c r="N107" s="312"/>
      <c r="O107" s="345" t="s">
        <v>1951</v>
      </c>
    </row>
    <row r="108" spans="1:15" s="345" customFormat="1">
      <c r="A108" s="342"/>
      <c r="B108" s="342"/>
      <c r="C108" s="342" t="s">
        <v>1817</v>
      </c>
      <c r="D108" s="342"/>
      <c r="E108" s="342"/>
      <c r="F108" s="342"/>
      <c r="G108" s="342"/>
      <c r="H108" s="342"/>
      <c r="I108" s="342"/>
      <c r="J108" s="342"/>
      <c r="K108" s="342"/>
      <c r="L108" s="312" t="s">
        <v>809</v>
      </c>
      <c r="M108" s="312" t="s">
        <v>1283</v>
      </c>
      <c r="N108" s="312" t="s">
        <v>1818</v>
      </c>
    </row>
    <row r="109" spans="1:15" s="345" customFormat="1">
      <c r="A109" s="342"/>
      <c r="B109" s="342"/>
      <c r="C109" s="342" t="s">
        <v>1309</v>
      </c>
      <c r="D109" s="342"/>
      <c r="E109" s="342"/>
      <c r="F109" s="342"/>
      <c r="G109" s="342"/>
      <c r="H109" s="342"/>
      <c r="I109" s="342"/>
      <c r="J109" s="342"/>
      <c r="K109" s="342"/>
      <c r="L109" s="312" t="s">
        <v>809</v>
      </c>
      <c r="M109" s="312" t="s">
        <v>1283</v>
      </c>
      <c r="N109" s="312"/>
    </row>
    <row r="110" spans="1:15" s="345" customFormat="1">
      <c r="A110" s="342"/>
      <c r="B110" s="342"/>
      <c r="C110" s="342" t="s">
        <v>1134</v>
      </c>
      <c r="D110" s="342"/>
      <c r="E110" s="342"/>
      <c r="F110" s="342"/>
      <c r="G110" s="342"/>
      <c r="H110" s="342"/>
      <c r="I110" s="342"/>
      <c r="J110" s="342"/>
      <c r="K110" s="342"/>
      <c r="L110" s="312" t="s">
        <v>809</v>
      </c>
      <c r="M110" s="312" t="str">
        <f>+IF(Control!D64=3,"Y",M236)</f>
        <v>N</v>
      </c>
      <c r="N110" s="347"/>
      <c r="O110" s="345" t="s">
        <v>821</v>
      </c>
    </row>
    <row r="111" spans="1:15" s="345" customFormat="1">
      <c r="A111" s="342"/>
      <c r="B111" s="342"/>
      <c r="C111" s="342" t="s">
        <v>1355</v>
      </c>
      <c r="D111" s="342">
        <v>156000</v>
      </c>
      <c r="E111" s="342"/>
      <c r="F111" s="342">
        <v>149500</v>
      </c>
      <c r="G111" s="342"/>
      <c r="H111" s="342"/>
      <c r="I111" s="342"/>
      <c r="J111" s="342"/>
      <c r="K111" s="342"/>
      <c r="L111" s="312" t="s">
        <v>809</v>
      </c>
      <c r="M111" s="312" t="s">
        <v>1283</v>
      </c>
      <c r="N111" s="347"/>
    </row>
    <row r="112" spans="1:15" s="345" customFormat="1">
      <c r="A112" s="342"/>
      <c r="B112" s="342"/>
      <c r="C112" s="342" t="s">
        <v>1354</v>
      </c>
      <c r="D112" s="342">
        <v>104000</v>
      </c>
      <c r="E112" s="342"/>
      <c r="F112" s="342">
        <v>0</v>
      </c>
      <c r="G112" s="342"/>
      <c r="H112" s="342"/>
      <c r="I112" s="342"/>
      <c r="J112" s="342"/>
      <c r="K112" s="342"/>
      <c r="L112" s="312" t="s">
        <v>809</v>
      </c>
      <c r="M112" s="312" t="s">
        <v>1283</v>
      </c>
      <c r="N112" s="347"/>
    </row>
    <row r="113" spans="1:16" s="345" customFormat="1">
      <c r="A113" s="342"/>
      <c r="B113" s="342"/>
      <c r="C113" s="568" t="s">
        <v>1478</v>
      </c>
      <c r="D113" s="342"/>
      <c r="E113" s="342"/>
      <c r="F113" s="342"/>
      <c r="G113" s="342"/>
      <c r="H113" s="342"/>
      <c r="I113" s="342"/>
      <c r="J113" s="342"/>
      <c r="K113" s="342"/>
      <c r="L113" s="312" t="s">
        <v>809</v>
      </c>
      <c r="M113" s="312" t="s">
        <v>1283</v>
      </c>
      <c r="N113" s="347"/>
    </row>
    <row r="114" spans="1:16" s="345" customFormat="1">
      <c r="A114" s="342"/>
      <c r="B114" s="342"/>
      <c r="C114" s="568" t="s">
        <v>1627</v>
      </c>
      <c r="D114" s="342"/>
      <c r="E114" s="342"/>
      <c r="F114" s="342"/>
      <c r="G114" s="342"/>
      <c r="H114" s="342"/>
      <c r="I114" s="342"/>
      <c r="J114" s="342"/>
      <c r="K114" s="342"/>
      <c r="L114" s="312" t="s">
        <v>809</v>
      </c>
      <c r="M114" s="312" t="s">
        <v>1283</v>
      </c>
      <c r="N114" s="347"/>
    </row>
    <row r="115" spans="1:16" s="345" customFormat="1">
      <c r="A115" s="342"/>
      <c r="B115" s="342"/>
      <c r="C115" s="568" t="s">
        <v>1479</v>
      </c>
      <c r="D115" s="342"/>
      <c r="E115" s="342"/>
      <c r="F115" s="342"/>
      <c r="G115" s="342"/>
      <c r="H115" s="342"/>
      <c r="I115" s="342"/>
      <c r="J115" s="342"/>
      <c r="K115" s="342"/>
      <c r="L115" s="312" t="s">
        <v>809</v>
      </c>
      <c r="M115" s="312" t="s">
        <v>1283</v>
      </c>
      <c r="N115" s="347"/>
    </row>
    <row r="116" spans="1:16" s="345" customFormat="1">
      <c r="A116" s="342"/>
      <c r="B116" s="342"/>
      <c r="C116" s="568" t="s">
        <v>1837</v>
      </c>
      <c r="D116" s="342"/>
      <c r="E116" s="342"/>
      <c r="F116" s="342"/>
      <c r="G116" s="342"/>
      <c r="H116" s="342"/>
      <c r="I116" s="342"/>
      <c r="J116" s="342"/>
      <c r="K116" s="342"/>
      <c r="L116" s="312" t="s">
        <v>809</v>
      </c>
      <c r="M116" s="312" t="s">
        <v>1283</v>
      </c>
      <c r="N116" s="347"/>
    </row>
    <row r="117" spans="1:16" s="345" customFormat="1">
      <c r="A117" s="342"/>
      <c r="B117" s="342"/>
      <c r="C117" s="568" t="s">
        <v>1836</v>
      </c>
      <c r="D117" s="342"/>
      <c r="E117" s="342"/>
      <c r="F117" s="342"/>
      <c r="G117" s="342"/>
      <c r="H117" s="342"/>
      <c r="I117" s="342"/>
      <c r="J117" s="342"/>
      <c r="K117" s="342"/>
      <c r="L117" s="312" t="s">
        <v>809</v>
      </c>
      <c r="M117" s="312" t="str">
        <f>+IF(Control!D64=3,"Y",Section6!M235)</f>
        <v>Y</v>
      </c>
      <c r="N117" s="347"/>
      <c r="O117" s="345" t="s">
        <v>1951</v>
      </c>
    </row>
    <row r="118" spans="1:16">
      <c r="B118" s="561"/>
      <c r="C118" s="561" t="s">
        <v>1640</v>
      </c>
      <c r="L118" s="312" t="s">
        <v>809</v>
      </c>
      <c r="M118" s="312" t="s">
        <v>1641</v>
      </c>
    </row>
    <row r="119" spans="1:16">
      <c r="B119" s="561"/>
      <c r="C119" s="568" t="s">
        <v>1838</v>
      </c>
      <c r="L119" s="312" t="s">
        <v>809</v>
      </c>
      <c r="M119" s="312" t="s">
        <v>3</v>
      </c>
      <c r="O119" s="345" t="s">
        <v>1951</v>
      </c>
      <c r="P119" s="311" t="s">
        <v>822</v>
      </c>
    </row>
    <row r="120" spans="1:16">
      <c r="B120" s="561"/>
      <c r="C120" s="561" t="s">
        <v>1485</v>
      </c>
      <c r="L120" s="312" t="s">
        <v>809</v>
      </c>
      <c r="M120" s="312" t="s">
        <v>1486</v>
      </c>
    </row>
    <row r="121" spans="1:16">
      <c r="B121" s="561"/>
      <c r="C121" s="561" t="s">
        <v>2003</v>
      </c>
      <c r="L121" s="312" t="s">
        <v>809</v>
      </c>
      <c r="M121" s="312" t="s">
        <v>2004</v>
      </c>
    </row>
    <row r="122" spans="1:16">
      <c r="M122" s="312" t="s">
        <v>3</v>
      </c>
    </row>
    <row r="123" spans="1:16">
      <c r="B123" s="330" t="s">
        <v>619</v>
      </c>
      <c r="L123" s="312" t="s">
        <v>809</v>
      </c>
      <c r="M123" s="312" t="s">
        <v>3</v>
      </c>
    </row>
    <row r="124" spans="1:16">
      <c r="M124" s="312" t="s">
        <v>3</v>
      </c>
    </row>
    <row r="125" spans="1:16">
      <c r="B125" s="330" t="s">
        <v>823</v>
      </c>
      <c r="M125" s="312" t="s">
        <v>3</v>
      </c>
    </row>
    <row r="126" spans="1:16">
      <c r="M126" s="312" t="s">
        <v>3</v>
      </c>
    </row>
    <row r="127" spans="1:16">
      <c r="B127" s="561" t="s">
        <v>1811</v>
      </c>
      <c r="M127" s="312" t="s">
        <v>3</v>
      </c>
    </row>
    <row r="128" spans="1:16">
      <c r="M128" s="312" t="s">
        <v>3</v>
      </c>
    </row>
    <row r="129" spans="2:14">
      <c r="B129" s="561" t="s">
        <v>1812</v>
      </c>
      <c r="M129" s="312" t="s">
        <v>1809</v>
      </c>
      <c r="N129" s="347" t="s">
        <v>1810</v>
      </c>
    </row>
    <row r="130" spans="2:14">
      <c r="M130" s="312" t="str">
        <f>+M129</f>
        <v>N</v>
      </c>
      <c r="N130" s="347" t="s">
        <v>1810</v>
      </c>
    </row>
    <row r="131" spans="2:14">
      <c r="B131" s="561" t="s">
        <v>1761</v>
      </c>
      <c r="L131" s="312" t="s">
        <v>809</v>
      </c>
      <c r="M131" s="312" t="s">
        <v>3</v>
      </c>
    </row>
    <row r="132" spans="2:14">
      <c r="M132" s="312" t="s">
        <v>3</v>
      </c>
    </row>
    <row r="133" spans="2:14">
      <c r="B133" s="561" t="s">
        <v>1763</v>
      </c>
      <c r="M133" s="312" t="s">
        <v>3</v>
      </c>
    </row>
    <row r="134" spans="2:14">
      <c r="M134" s="312" t="s">
        <v>3</v>
      </c>
    </row>
    <row r="135" spans="2:14">
      <c r="B135" s="561" t="s">
        <v>1762</v>
      </c>
      <c r="L135" s="312" t="s">
        <v>809</v>
      </c>
      <c r="M135" s="312" t="s">
        <v>3</v>
      </c>
    </row>
    <row r="136" spans="2:14">
      <c r="M136" s="312" t="s">
        <v>3</v>
      </c>
    </row>
    <row r="137" spans="2:14">
      <c r="B137" s="561" t="s">
        <v>1764</v>
      </c>
      <c r="M137" s="312" t="s">
        <v>3</v>
      </c>
    </row>
    <row r="138" spans="2:14">
      <c r="M138" s="312" t="s">
        <v>3</v>
      </c>
    </row>
    <row r="139" spans="2:14">
      <c r="B139" s="330" t="s">
        <v>825</v>
      </c>
      <c r="L139" s="312" t="s">
        <v>809</v>
      </c>
      <c r="M139" s="312" t="s">
        <v>3</v>
      </c>
    </row>
    <row r="140" spans="2:14">
      <c r="M140" s="312" t="s">
        <v>3</v>
      </c>
    </row>
    <row r="141" spans="2:14">
      <c r="B141" s="330" t="s">
        <v>826</v>
      </c>
      <c r="M141" s="312" t="s">
        <v>3</v>
      </c>
    </row>
    <row r="142" spans="2:14">
      <c r="M142" s="312" t="s">
        <v>3</v>
      </c>
    </row>
    <row r="143" spans="2:14">
      <c r="B143" s="330" t="s">
        <v>827</v>
      </c>
      <c r="L143" s="312" t="s">
        <v>809</v>
      </c>
      <c r="M143" s="312" t="s">
        <v>3</v>
      </c>
    </row>
    <row r="144" spans="2:14">
      <c r="M144" s="312" t="s">
        <v>3</v>
      </c>
    </row>
    <row r="145" spans="1:17">
      <c r="B145" s="330" t="str">
        <f>CONCATENATE(O145,P145,Q145)</f>
        <v>Foreign currency transactions are converted at the exchange rate applicable at the transaction date. Foreign currency monetary items are translated into United States Dollars using exchange rates applicable at the balance sheet date. Gains and losses on foreign exchange are recognised in the income statement.</v>
      </c>
      <c r="M145" s="312" t="s">
        <v>3</v>
      </c>
      <c r="O145" s="311" t="s">
        <v>1302</v>
      </c>
      <c r="P145" s="311" t="str">
        <f>Control!D67</f>
        <v>United States Dollars</v>
      </c>
      <c r="Q145" s="311" t="s">
        <v>1303</v>
      </c>
    </row>
    <row r="146" spans="1:17">
      <c r="M146" s="312" t="s">
        <v>3</v>
      </c>
    </row>
    <row r="147" spans="1:17">
      <c r="B147" s="330" t="s">
        <v>828</v>
      </c>
      <c r="L147" s="312" t="s">
        <v>809</v>
      </c>
      <c r="M147" s="312" t="s">
        <v>3</v>
      </c>
    </row>
    <row r="148" spans="1:17">
      <c r="M148" s="312" t="s">
        <v>3</v>
      </c>
    </row>
    <row r="149" spans="1:17">
      <c r="B149" s="330" t="s">
        <v>829</v>
      </c>
      <c r="M149" s="312" t="s">
        <v>3</v>
      </c>
    </row>
    <row r="150" spans="1:17">
      <c r="M150" s="312" t="s">
        <v>3</v>
      </c>
    </row>
    <row r="151" spans="1:17">
      <c r="B151" s="330" t="s">
        <v>1371</v>
      </c>
      <c r="L151" s="312" t="s">
        <v>809</v>
      </c>
      <c r="M151" s="348" t="str">
        <f>+IF(Control!D32=1,"Y","N")</f>
        <v>Y</v>
      </c>
    </row>
    <row r="152" spans="1:17">
      <c r="M152" s="348" t="str">
        <f>+IF(Control!D32=1,"Y","N")</f>
        <v>Y</v>
      </c>
    </row>
    <row r="153" spans="1:17">
      <c r="B153" s="330" t="s">
        <v>830</v>
      </c>
      <c r="M153" s="348" t="str">
        <f>+IF(Control!D32=1,"Y","N")</f>
        <v>Y</v>
      </c>
    </row>
    <row r="154" spans="1:17">
      <c r="M154" s="348" t="str">
        <f>+IF(Control!D32=1,"Y","N")</f>
        <v>Y</v>
      </c>
    </row>
    <row r="155" spans="1:17">
      <c r="B155" s="330" t="s">
        <v>831</v>
      </c>
      <c r="M155" s="348" t="str">
        <f>+IF(Control!D32=1,"Y","N")</f>
        <v>Y</v>
      </c>
    </row>
    <row r="156" spans="1:17">
      <c r="M156" s="348" t="str">
        <f>+IF(Control!D32=1,"Y","N")</f>
        <v>Y</v>
      </c>
    </row>
    <row r="157" spans="1:17">
      <c r="A157" s="330">
        <v>36</v>
      </c>
      <c r="B157" s="330">
        <v>200</v>
      </c>
      <c r="C157" s="330">
        <v>50</v>
      </c>
      <c r="L157" s="312" t="str">
        <f>+IF(Control!D32=1,"table start","")</f>
        <v>table start</v>
      </c>
      <c r="M157" s="348" t="str">
        <f>+IF(Control!D32=1,"14","N")</f>
        <v>14</v>
      </c>
    </row>
    <row r="158" spans="1:17">
      <c r="B158" s="568" t="s">
        <v>1480</v>
      </c>
      <c r="C158" s="570" t="s">
        <v>1483</v>
      </c>
      <c r="D158" s="311"/>
      <c r="M158" s="348" t="str">
        <f>+IF(C158="","N",(IF(Control!D32=1,"Y","N")))</f>
        <v>Y</v>
      </c>
    </row>
    <row r="159" spans="1:17">
      <c r="B159" s="568" t="s">
        <v>1481</v>
      </c>
      <c r="C159" s="570" t="s">
        <v>1483</v>
      </c>
      <c r="D159" s="311"/>
      <c r="M159" s="348" t="str">
        <f>+IF(C159="","N",(IF(Control!D32=1,"Y","N")))</f>
        <v>Y</v>
      </c>
    </row>
    <row r="160" spans="1:17">
      <c r="B160" s="568" t="s">
        <v>1482</v>
      </c>
      <c r="C160" s="570" t="s">
        <v>1483</v>
      </c>
      <c r="D160" s="311"/>
      <c r="M160" s="348" t="str">
        <f>+IF(C160="","N",(IF(Control!D32=1,"Y","N")))</f>
        <v>Y</v>
      </c>
    </row>
    <row r="161" spans="2:14">
      <c r="B161" s="568" t="s">
        <v>1516</v>
      </c>
      <c r="C161" s="570" t="s">
        <v>1483</v>
      </c>
      <c r="D161" s="311"/>
      <c r="M161" s="348" t="str">
        <f>+IF(C161="","N",(IF(Control!D32=1,"Y","N")))</f>
        <v>Y</v>
      </c>
    </row>
    <row r="162" spans="2:14">
      <c r="B162" s="346"/>
      <c r="C162" s="346"/>
      <c r="D162" s="379"/>
      <c r="L162" s="312" t="str">
        <f>+IF(Control!D32=1,"table end","")</f>
        <v>table end</v>
      </c>
      <c r="M162" s="348" t="str">
        <f>+IF(Control!D32=1,"","N")</f>
        <v/>
      </c>
    </row>
    <row r="163" spans="2:14">
      <c r="B163" s="346"/>
      <c r="C163" s="346"/>
      <c r="D163" s="379"/>
      <c r="M163" s="348" t="str">
        <f>+IF(Control!D32=1,"Y","N")</f>
        <v>Y</v>
      </c>
    </row>
    <row r="164" spans="2:14">
      <c r="B164" s="550" t="s">
        <v>1382</v>
      </c>
      <c r="L164" s="312" t="s">
        <v>809</v>
      </c>
      <c r="M164" s="348" t="str">
        <f>+IF(Section4!C20+Section4!E20&gt;0,"Y","N")</f>
        <v>N</v>
      </c>
    </row>
    <row r="165" spans="2:14">
      <c r="B165" s="498"/>
      <c r="M165" s="348" t="str">
        <f>+M164</f>
        <v>N</v>
      </c>
    </row>
    <row r="166" spans="2:14">
      <c r="B166" s="330" t="s">
        <v>1383</v>
      </c>
      <c r="M166" s="348" t="str">
        <f>+M164</f>
        <v>N</v>
      </c>
    </row>
    <row r="167" spans="2:14">
      <c r="M167" s="348" t="str">
        <f>+M164</f>
        <v>N</v>
      </c>
    </row>
    <row r="168" spans="2:14">
      <c r="B168" s="330" t="s">
        <v>836</v>
      </c>
      <c r="L168" s="312" t="s">
        <v>809</v>
      </c>
      <c r="M168" s="811" t="str">
        <f>+Section4!G10</f>
        <v>Y</v>
      </c>
      <c r="N168" s="755" t="s">
        <v>1978</v>
      </c>
    </row>
    <row r="169" spans="2:14">
      <c r="M169" s="811" t="str">
        <f>+M168</f>
        <v>Y</v>
      </c>
    </row>
    <row r="170" spans="2:14">
      <c r="B170" s="330" t="s">
        <v>1191</v>
      </c>
      <c r="M170" s="811" t="str">
        <f>+M168</f>
        <v>Y</v>
      </c>
    </row>
    <row r="171" spans="2:14">
      <c r="M171" s="811" t="str">
        <f>+M168</f>
        <v>Y</v>
      </c>
    </row>
    <row r="172" spans="2:14">
      <c r="B172" s="330" t="s">
        <v>837</v>
      </c>
      <c r="L172" s="312" t="s">
        <v>809</v>
      </c>
      <c r="M172" s="348" t="str">
        <f>+IF(AND(C266=0,E266=0),"N","Y")</f>
        <v>N</v>
      </c>
    </row>
    <row r="173" spans="2:14">
      <c r="M173" s="348" t="str">
        <f>+IF(AND(C266=0,E266=0),"N","Y")</f>
        <v>N</v>
      </c>
    </row>
    <row r="174" spans="2:14">
      <c r="B174" s="330" t="s">
        <v>838</v>
      </c>
      <c r="M174" s="348" t="str">
        <f>+IF(AND(C266=0,E266=0),"N","Y")</f>
        <v>N</v>
      </c>
    </row>
    <row r="175" spans="2:14">
      <c r="M175" s="348" t="str">
        <f>+IF(AND(C266=0,E266=0),"N","Y")</f>
        <v>N</v>
      </c>
    </row>
    <row r="176" spans="2:14">
      <c r="B176" s="330" t="s">
        <v>839</v>
      </c>
      <c r="M176" s="348" t="str">
        <f>+IF(AND(C266=0,E266=0),"N","Y")</f>
        <v>N</v>
      </c>
    </row>
    <row r="177" spans="2:16">
      <c r="M177" s="312" t="str">
        <f>+M176</f>
        <v>N</v>
      </c>
    </row>
    <row r="178" spans="2:16">
      <c r="B178" s="561" t="s">
        <v>1924</v>
      </c>
      <c r="M178" s="312" t="s">
        <v>1923</v>
      </c>
    </row>
    <row r="179" spans="2:16">
      <c r="M179" s="312" t="s">
        <v>1923</v>
      </c>
    </row>
    <row r="180" spans="2:16">
      <c r="B180" s="561" t="s">
        <v>1925</v>
      </c>
      <c r="M180" s="312" t="s">
        <v>1923</v>
      </c>
    </row>
    <row r="181" spans="2:16">
      <c r="M181" s="312" t="s">
        <v>1923</v>
      </c>
    </row>
    <row r="182" spans="2:16">
      <c r="B182" s="330" t="s">
        <v>1310</v>
      </c>
      <c r="L182" s="312" t="s">
        <v>809</v>
      </c>
      <c r="M182" s="312" t="s">
        <v>1311</v>
      </c>
    </row>
    <row r="183" spans="2:16">
      <c r="M183" s="312" t="s">
        <v>1311</v>
      </c>
    </row>
    <row r="184" spans="2:16">
      <c r="B184" s="330" t="s">
        <v>1356</v>
      </c>
      <c r="M184" s="312" t="s">
        <v>1311</v>
      </c>
    </row>
    <row r="185" spans="2:16" ht="14.1" customHeight="1">
      <c r="M185" s="312" t="s">
        <v>1311</v>
      </c>
    </row>
    <row r="186" spans="2:16" ht="14.1" customHeight="1">
      <c r="B186" s="346" t="s">
        <v>1372</v>
      </c>
      <c r="C186" s="346"/>
      <c r="D186" s="346"/>
      <c r="E186" s="346"/>
      <c r="F186" s="346"/>
      <c r="G186" s="346"/>
      <c r="H186" s="346"/>
      <c r="I186" s="346"/>
      <c r="J186" s="346"/>
      <c r="K186" s="346"/>
      <c r="L186" s="312" t="s">
        <v>809</v>
      </c>
      <c r="M186" s="312" t="str">
        <f>+IF(C265+E265=0,"N","Y")</f>
        <v>N</v>
      </c>
    </row>
    <row r="187" spans="2:16" ht="14.1" customHeight="1">
      <c r="B187" s="346"/>
      <c r="C187" s="346"/>
      <c r="D187" s="346"/>
      <c r="E187" s="346"/>
      <c r="F187" s="346"/>
      <c r="G187" s="346"/>
      <c r="H187" s="346"/>
      <c r="I187" s="346"/>
      <c r="J187" s="346"/>
      <c r="K187" s="346"/>
      <c r="M187" s="312" t="str">
        <f>+M186</f>
        <v>N</v>
      </c>
    </row>
    <row r="188" spans="2:16" ht="14.1" customHeight="1">
      <c r="B188" s="562" t="s">
        <v>1953</v>
      </c>
      <c r="C188" s="346"/>
      <c r="D188" s="346"/>
      <c r="E188" s="346"/>
      <c r="F188" s="346"/>
      <c r="G188" s="346"/>
      <c r="H188" s="346"/>
      <c r="I188" s="346"/>
      <c r="J188" s="346"/>
      <c r="K188" s="346"/>
      <c r="M188" s="312" t="str">
        <f>+M186</f>
        <v>N</v>
      </c>
      <c r="N188" s="347" t="s">
        <v>1952</v>
      </c>
      <c r="P188" s="311" t="s">
        <v>1954</v>
      </c>
    </row>
    <row r="189" spans="2:16" ht="14.1" customHeight="1">
      <c r="M189" s="312" t="str">
        <f>+M186</f>
        <v>N</v>
      </c>
    </row>
    <row r="190" spans="2:16" ht="14.1" customHeight="1">
      <c r="B190" s="568" t="s">
        <v>1376</v>
      </c>
      <c r="C190" s="342"/>
      <c r="D190" s="342"/>
      <c r="E190" s="342"/>
      <c r="F190" s="342"/>
      <c r="G190" s="342"/>
      <c r="H190" s="342"/>
      <c r="I190" s="342"/>
      <c r="J190" s="342"/>
      <c r="K190" s="342"/>
      <c r="L190" s="312" t="s">
        <v>809</v>
      </c>
      <c r="M190" s="312" t="s">
        <v>1373</v>
      </c>
    </row>
    <row r="191" spans="2:16" ht="14.1" customHeight="1">
      <c r="B191" s="342"/>
      <c r="C191" s="342"/>
      <c r="D191" s="342"/>
      <c r="E191" s="342"/>
      <c r="F191" s="342"/>
      <c r="G191" s="342"/>
      <c r="H191" s="342"/>
      <c r="I191" s="342"/>
      <c r="J191" s="342"/>
      <c r="K191" s="342"/>
      <c r="M191" s="312" t="s">
        <v>1373</v>
      </c>
    </row>
    <row r="192" spans="2:16" ht="14.1" customHeight="1">
      <c r="B192" s="568" t="s">
        <v>1374</v>
      </c>
      <c r="C192" s="342"/>
      <c r="D192" s="342"/>
      <c r="E192" s="342"/>
      <c r="F192" s="342"/>
      <c r="G192" s="342"/>
      <c r="H192" s="342"/>
      <c r="I192" s="342"/>
      <c r="J192" s="342"/>
      <c r="K192" s="342"/>
      <c r="M192" s="312" t="s">
        <v>1373</v>
      </c>
    </row>
    <row r="193" spans="2:14" ht="14.1" customHeight="1">
      <c r="B193" s="342"/>
      <c r="C193" s="342"/>
      <c r="D193" s="342"/>
      <c r="E193" s="342"/>
      <c r="F193" s="342"/>
      <c r="G193" s="342"/>
      <c r="H193" s="342"/>
      <c r="I193" s="342"/>
      <c r="J193" s="342"/>
      <c r="K193" s="342"/>
      <c r="M193" s="312" t="s">
        <v>1373</v>
      </c>
    </row>
    <row r="194" spans="2:14" ht="14.1" customHeight="1">
      <c r="B194" s="568" t="s">
        <v>1375</v>
      </c>
      <c r="C194" s="342"/>
      <c r="D194" s="342"/>
      <c r="E194" s="342"/>
      <c r="F194" s="342"/>
      <c r="G194" s="342"/>
      <c r="H194" s="342"/>
      <c r="I194" s="342"/>
      <c r="J194" s="342"/>
      <c r="K194" s="342"/>
      <c r="M194" s="312" t="s">
        <v>1373</v>
      </c>
    </row>
    <row r="195" spans="2:14" ht="14.1" customHeight="1">
      <c r="M195" s="312" t="s">
        <v>1373</v>
      </c>
    </row>
    <row r="196" spans="2:14" ht="14.1" customHeight="1">
      <c r="B196" s="561" t="s">
        <v>1624</v>
      </c>
      <c r="L196" s="312" t="s">
        <v>809</v>
      </c>
      <c r="M196" s="406" t="str">
        <f>+Section4!G12</f>
        <v>N</v>
      </c>
    </row>
    <row r="197" spans="2:14" ht="14.1" customHeight="1">
      <c r="M197" s="312" t="str">
        <f>+M196</f>
        <v>N</v>
      </c>
    </row>
    <row r="198" spans="2:14" ht="14.1" customHeight="1">
      <c r="B198" s="561" t="s">
        <v>1625</v>
      </c>
      <c r="M198" s="312" t="str">
        <f>+M196</f>
        <v>N</v>
      </c>
    </row>
    <row r="199" spans="2:14" ht="14.1" customHeight="1">
      <c r="M199" s="312" t="str">
        <f>+M196</f>
        <v>N</v>
      </c>
      <c r="N199" s="347" t="s">
        <v>1642</v>
      </c>
    </row>
    <row r="200" spans="2:14" ht="14.1" customHeight="1">
      <c r="B200" s="561" t="s">
        <v>1844</v>
      </c>
      <c r="L200" s="312" t="s">
        <v>1847</v>
      </c>
      <c r="M200" s="312" t="s">
        <v>1848</v>
      </c>
    </row>
    <row r="201" spans="2:14" ht="14.1" customHeight="1">
      <c r="M201" s="312" t="s">
        <v>1848</v>
      </c>
    </row>
    <row r="202" spans="2:14" ht="14.1" customHeight="1">
      <c r="B202" s="561" t="s">
        <v>1845</v>
      </c>
      <c r="M202" s="312" t="s">
        <v>1848</v>
      </c>
    </row>
    <row r="203" spans="2:14" ht="14.1" customHeight="1">
      <c r="M203" s="312" t="s">
        <v>1848</v>
      </c>
    </row>
    <row r="204" spans="2:14" ht="14.1" customHeight="1">
      <c r="B204" s="561" t="s">
        <v>1846</v>
      </c>
      <c r="M204" s="312" t="s">
        <v>1848</v>
      </c>
    </row>
    <row r="205" spans="2:14" ht="14.1" customHeight="1">
      <c r="M205" s="312" t="s">
        <v>1848</v>
      </c>
    </row>
    <row r="206" spans="2:14" ht="14.1" customHeight="1">
      <c r="B206" s="561" t="s">
        <v>1849</v>
      </c>
      <c r="L206" s="312" t="s">
        <v>809</v>
      </c>
      <c r="M206" s="312" t="s">
        <v>1850</v>
      </c>
    </row>
    <row r="207" spans="2:14" ht="14.1" customHeight="1">
      <c r="B207" s="561"/>
      <c r="M207" s="312" t="s">
        <v>1850</v>
      </c>
    </row>
    <row r="208" spans="2:14" ht="14.1" customHeight="1">
      <c r="B208" s="561" t="s">
        <v>1853</v>
      </c>
      <c r="M208" s="312" t="s">
        <v>1850</v>
      </c>
    </row>
    <row r="209" spans="2:18" ht="14.1" customHeight="1">
      <c r="M209" s="312" t="s">
        <v>1850</v>
      </c>
    </row>
    <row r="210" spans="2:18" ht="14.1" customHeight="1">
      <c r="B210" s="561" t="s">
        <v>1854</v>
      </c>
      <c r="L210" s="312" t="s">
        <v>809</v>
      </c>
      <c r="M210" s="312" t="s">
        <v>1850</v>
      </c>
    </row>
    <row r="211" spans="2:18" ht="14.1" customHeight="1">
      <c r="M211" s="312" t="s">
        <v>1850</v>
      </c>
    </row>
    <row r="212" spans="2:18" ht="14.1" customHeight="1">
      <c r="B212" s="561" t="s">
        <v>1851</v>
      </c>
      <c r="M212" s="312" t="s">
        <v>1850</v>
      </c>
    </row>
    <row r="213" spans="2:18" ht="14.1" customHeight="1">
      <c r="M213" s="312" t="s">
        <v>1852</v>
      </c>
    </row>
    <row r="214" spans="2:18" ht="14.1" customHeight="1">
      <c r="B214" s="561" t="s">
        <v>1921</v>
      </c>
      <c r="L214" s="312" t="s">
        <v>809</v>
      </c>
      <c r="M214" s="312" t="s">
        <v>1283</v>
      </c>
    </row>
    <row r="215" spans="2:18" ht="14.1" customHeight="1">
      <c r="M215" s="312" t="s">
        <v>1283</v>
      </c>
    </row>
    <row r="216" spans="2:18" ht="14.1" customHeight="1">
      <c r="B216" s="561" t="s">
        <v>1922</v>
      </c>
      <c r="M216" s="312" t="s">
        <v>1283</v>
      </c>
    </row>
    <row r="217" spans="2:18" ht="14.1" customHeight="1">
      <c r="M217" s="312" t="s">
        <v>1283</v>
      </c>
    </row>
    <row r="218" spans="2:18" ht="14.1" customHeight="1">
      <c r="B218" s="561" t="s">
        <v>2043</v>
      </c>
      <c r="L218" s="312" t="s">
        <v>809</v>
      </c>
      <c r="M218" s="312" t="str">
        <f>+Section5!I13</f>
        <v>N</v>
      </c>
    </row>
    <row r="219" spans="2:18" ht="14.1" customHeight="1">
      <c r="M219" s="312" t="str">
        <f>+M218</f>
        <v>N</v>
      </c>
    </row>
    <row r="220" spans="2:18" ht="14.1" customHeight="1">
      <c r="B220" s="561" t="str">
        <f>+CONCATENATE(N220,O220,P220,Q220,R220)</f>
        <v>Final dividends proposed by the director is classified as a separate allocation of retained profits within the capital and reserves section of the balance sheet, until they have been approved by the shareholders in a general meeting.  When these dividends have been approved by the shareholders and declared, they are recognized as a liability.</v>
      </c>
      <c r="M220" s="312" t="str">
        <f>+M218</f>
        <v>N</v>
      </c>
      <c r="N220" s="347" t="s">
        <v>2044</v>
      </c>
      <c r="O220" s="311" t="str">
        <f>+IF('Dir info'!I10=1,"director is","directors are")</f>
        <v>director is</v>
      </c>
      <c r="P220" s="311" t="s">
        <v>2045</v>
      </c>
      <c r="Q220" s="311" t="str">
        <f>+IF(Control!D95=1,"shareholder","shareholders")</f>
        <v>shareholder</v>
      </c>
      <c r="R220" s="311" t="s">
        <v>2046</v>
      </c>
    </row>
    <row r="221" spans="2:18" ht="14.1" customHeight="1">
      <c r="B221" s="561"/>
      <c r="M221" s="312" t="str">
        <f>+M218</f>
        <v>N</v>
      </c>
      <c r="N221" s="519">
        <v>41701</v>
      </c>
      <c r="O221" s="401">
        <f>+N221-Control!D11</f>
        <v>1</v>
      </c>
    </row>
    <row r="222" spans="2:18" ht="14.1" customHeight="1">
      <c r="B222" s="561" t="str">
        <f>+CONCATENATE(N222,O222,P222,Q222,R222)</f>
        <v>Interim dividends are simultaneously proposed and declared, because the Company’s memorandum and articles of association grant the director is the authority to declare interim dividends.  Consequently, interim dividends are recognized immediately as a liability when they are proposed and declared.</v>
      </c>
      <c r="M222" s="312" t="str">
        <f>+M218</f>
        <v>N</v>
      </c>
      <c r="N222" s="347" t="s">
        <v>2047</v>
      </c>
      <c r="O222" s="311" t="str">
        <f>+IF(O221&lt;=0,"articles of association","memorandum and articles of association")</f>
        <v>memorandum and articles of association</v>
      </c>
      <c r="P222" s="311" t="s">
        <v>2048</v>
      </c>
      <c r="Q222" s="311" t="str">
        <f>+IF('Dir info'!I10=1,"director is","directors are")</f>
        <v>director is</v>
      </c>
      <c r="R222" s="311" t="s">
        <v>2049</v>
      </c>
    </row>
    <row r="223" spans="2:18" ht="14.1" customHeight="1">
      <c r="M223" s="312" t="str">
        <f>+M218</f>
        <v>N</v>
      </c>
    </row>
    <row r="224" spans="2:18" ht="14.1" customHeight="1">
      <c r="B224" s="561" t="s">
        <v>2051</v>
      </c>
      <c r="L224" s="312" t="s">
        <v>809</v>
      </c>
      <c r="M224" s="312" t="s">
        <v>2052</v>
      </c>
    </row>
    <row r="225" spans="1:15" ht="14.1" customHeight="1">
      <c r="M225" s="312" t="str">
        <f>+M224</f>
        <v>N</v>
      </c>
    </row>
    <row r="226" spans="1:15" ht="14.1" customHeight="1">
      <c r="B226" s="561" t="s">
        <v>2053</v>
      </c>
      <c r="M226" s="312" t="str">
        <f>+M224</f>
        <v>N</v>
      </c>
    </row>
    <row r="227" spans="1:15" ht="14.1" customHeight="1">
      <c r="M227" s="312" t="str">
        <f>+M224</f>
        <v>N</v>
      </c>
    </row>
    <row r="228" spans="1:15" ht="14.1" customHeight="1">
      <c r="B228" s="423" t="s">
        <v>2054</v>
      </c>
      <c r="M228" s="312" t="str">
        <f>+M224</f>
        <v>N</v>
      </c>
    </row>
    <row r="229" spans="1:15" ht="14.1" customHeight="1">
      <c r="M229" s="312" t="str">
        <f>+M224</f>
        <v>N</v>
      </c>
    </row>
    <row r="230" spans="1:15" ht="14.1" customHeight="1">
      <c r="B230" s="561" t="s">
        <v>2055</v>
      </c>
      <c r="M230" s="312" t="str">
        <f>+M224</f>
        <v>N</v>
      </c>
    </row>
    <row r="231" spans="1:15" ht="14.1" customHeight="1">
      <c r="M231" s="312" t="str">
        <f>+M224</f>
        <v>N</v>
      </c>
    </row>
    <row r="232" spans="1:15">
      <c r="A232" s="331" t="s">
        <v>840</v>
      </c>
      <c r="L232" s="312" t="s">
        <v>809</v>
      </c>
      <c r="M232" s="312" t="s">
        <v>3</v>
      </c>
      <c r="N232" s="347" t="s">
        <v>1313</v>
      </c>
      <c r="O232" s="311" t="s">
        <v>1312</v>
      </c>
    </row>
    <row r="233" spans="1:15">
      <c r="M233" s="312" t="s">
        <v>3</v>
      </c>
      <c r="N233" s="347" t="s">
        <v>841</v>
      </c>
      <c r="O233" s="311" t="str">
        <f>+CONCATENATE(N243,O243,P243)</f>
        <v>Turnover represents the amounts received or receivable for the services rendered to customers and goods sold to the customers during the period.</v>
      </c>
    </row>
    <row r="234" spans="1:15">
      <c r="A234" s="342" t="str">
        <f>+O240</f>
        <v>The Company was inactive during the period.</v>
      </c>
      <c r="B234" s="342"/>
      <c r="C234" s="342"/>
      <c r="D234" s="342"/>
      <c r="E234" s="342"/>
      <c r="F234" s="342"/>
      <c r="M234" s="312" t="str">
        <f>+IF(Control!D64=0,"Y","N")</f>
        <v>N</v>
      </c>
      <c r="N234" s="347" t="s">
        <v>842</v>
      </c>
      <c r="O234" s="311" t="str">
        <f>+CONCATENATE(N242,O242,P242)</f>
        <v>Turnover represents the amounts received or receivable for the services rendered to customers during the period.</v>
      </c>
    </row>
    <row r="235" spans="1:15">
      <c r="A235" s="342" t="str">
        <f>+O239</f>
        <v>The turnover represents the amounts received or receivable for the goods sold to the customers during the period.</v>
      </c>
      <c r="B235" s="342"/>
      <c r="C235" s="342"/>
      <c r="D235" s="342"/>
      <c r="E235" s="342"/>
      <c r="F235" s="342"/>
      <c r="M235" s="312" t="str">
        <f>+IF(Control!D64=0,"N",(IF(Control!D64=1,"Y","N")))</f>
        <v>Y</v>
      </c>
    </row>
    <row r="236" spans="1:15">
      <c r="A236" s="342" t="str">
        <f>+O234</f>
        <v>Turnover represents the amounts received or receivable for the services rendered to customers during the period.</v>
      </c>
      <c r="B236" s="342"/>
      <c r="C236" s="342"/>
      <c r="D236" s="342"/>
      <c r="E236" s="342"/>
      <c r="F236" s="342"/>
      <c r="M236" s="312" t="str">
        <f>+IF(Control!D64=0,"N",(IF(Control!D64=1,"N",(IF(Control!D64=2,"Y","N")))))</f>
        <v>N</v>
      </c>
    </row>
    <row r="237" spans="1:15">
      <c r="A237" s="342" t="str">
        <f>+O233</f>
        <v>Turnover represents the amounts received or receivable for the services rendered to customers and goods sold to the customers during the period.</v>
      </c>
      <c r="B237" s="342"/>
      <c r="C237" s="342"/>
      <c r="D237" s="342"/>
      <c r="E237" s="342"/>
      <c r="F237" s="342"/>
      <c r="M237" s="312" t="str">
        <f>+IF(Control!D64=0,"N",(IF(Control!D64=1,"N",(IF(Control!D64=2,"N",(IF(Control!D64=3,"Y","N")))))))</f>
        <v>N</v>
      </c>
    </row>
    <row r="238" spans="1:15">
      <c r="A238" s="342"/>
      <c r="B238" s="342"/>
      <c r="C238" s="342"/>
      <c r="D238" s="342"/>
      <c r="E238" s="342"/>
      <c r="F238" s="342"/>
    </row>
    <row r="239" spans="1:15" ht="15" customHeight="1">
      <c r="A239" s="330">
        <v>18</v>
      </c>
      <c r="B239" s="346">
        <v>210</v>
      </c>
      <c r="C239" s="346">
        <v>90</v>
      </c>
      <c r="D239" s="346">
        <v>20</v>
      </c>
      <c r="E239" s="346">
        <v>90</v>
      </c>
      <c r="F239" s="346"/>
      <c r="L239" s="312" t="str">
        <f>+IF(AND(E243=0,E244=0),"","table start")</f>
        <v/>
      </c>
      <c r="M239" s="312" t="str">
        <f>+IF(AND(E243=0,E244=0),"N","14")</f>
        <v>N</v>
      </c>
      <c r="N239" s="347" t="s">
        <v>843</v>
      </c>
      <c r="O239" s="311" t="str">
        <f>+CONCATENATE(N241,O241,P241)</f>
        <v>The turnover represents the amounts received or receivable for the goods sold to the customers during the period.</v>
      </c>
    </row>
    <row r="240" spans="1:15">
      <c r="B240" s="346"/>
      <c r="C240" s="362" t="str">
        <f>+Section3!C9</f>
        <v>02.03.2014-</v>
      </c>
      <c r="E240" s="362" t="str">
        <f>+Section3!E9</f>
        <v>18.11.2015-</v>
      </c>
      <c r="F240" s="346"/>
      <c r="M240" s="312" t="str">
        <f>+IF(AND(E243=0,E244=0),"N","Y")</f>
        <v>N</v>
      </c>
      <c r="N240" s="347" t="s">
        <v>1127</v>
      </c>
      <c r="O240" s="311" t="str">
        <f>+CONCATENATE(N244,O244,Q244,R244)</f>
        <v>The Company was inactive during the period.</v>
      </c>
    </row>
    <row r="241" spans="1:18">
      <c r="B241" s="346"/>
      <c r="C241" s="363" t="str">
        <f>+Section3!C10</f>
        <v>31.12.2016</v>
      </c>
      <c r="D241" s="332"/>
      <c r="E241" s="363" t="str">
        <f>+Section3!E10</f>
        <v>31.12.2016</v>
      </c>
      <c r="F241" s="346"/>
      <c r="M241" s="312" t="str">
        <f>+IF(AND(E243=0,E244=0),"N","Y")</f>
        <v>N</v>
      </c>
      <c r="N241" s="311" t="s">
        <v>844</v>
      </c>
      <c r="O241" s="311" t="str">
        <f>+LOWER(Control!D9)</f>
        <v>period</v>
      </c>
      <c r="P241" s="311" t="s">
        <v>239</v>
      </c>
    </row>
    <row r="242" spans="1:18">
      <c r="B242" s="346"/>
      <c r="C242" s="363"/>
      <c r="D242" s="332"/>
      <c r="E242" s="363"/>
      <c r="F242" s="346"/>
      <c r="M242" s="312" t="str">
        <f>+IF(AND(E243=0,E244=0),"N","Y")</f>
        <v>N</v>
      </c>
      <c r="N242" s="311" t="s">
        <v>845</v>
      </c>
      <c r="O242" s="311" t="str">
        <f>+LOWER(Control!D9)</f>
        <v>period</v>
      </c>
      <c r="P242" s="311" t="s">
        <v>239</v>
      </c>
    </row>
    <row r="243" spans="1:18">
      <c r="B243" s="346" t="s">
        <v>846</v>
      </c>
      <c r="C243" s="430">
        <v>0</v>
      </c>
      <c r="D243" s="430"/>
      <c r="E243" s="430">
        <v>0</v>
      </c>
      <c r="F243" s="346"/>
      <c r="M243" s="312" t="str">
        <f>+IF(AND(E243=0,E244=0),"N","Y")</f>
        <v>N</v>
      </c>
      <c r="N243" s="347" t="s">
        <v>1179</v>
      </c>
      <c r="O243" s="311" t="str">
        <f>+LOWER(Control!D9)</f>
        <v>period</v>
      </c>
      <c r="P243" s="311" t="s">
        <v>239</v>
      </c>
    </row>
    <row r="244" spans="1:18">
      <c r="B244" s="346" t="s">
        <v>1178</v>
      </c>
      <c r="C244" s="430">
        <v>0</v>
      </c>
      <c r="D244" s="430"/>
      <c r="E244" s="430">
        <v>0</v>
      </c>
      <c r="F244" s="346"/>
      <c r="M244" s="312" t="str">
        <f>+IF(AND(E243=0,E244=0),"N","Y")</f>
        <v>N</v>
      </c>
      <c r="N244" s="311" t="s">
        <v>1126</v>
      </c>
      <c r="Q244" s="311" t="str">
        <f>+LOWER(Control!D9)</f>
        <v>period</v>
      </c>
      <c r="R244" s="311" t="s">
        <v>239</v>
      </c>
    </row>
    <row r="245" spans="1:18" ht="15.75" thickBot="1">
      <c r="C245" s="431">
        <f>SUM(C243:C244)</f>
        <v>0</v>
      </c>
      <c r="D245" s="430"/>
      <c r="E245" s="431">
        <f>SUM(E243:E244)</f>
        <v>0</v>
      </c>
      <c r="M245" s="312" t="str">
        <f>+IF(AND(E243=0,E244=0),"N","Y")</f>
        <v>N</v>
      </c>
    </row>
    <row r="246" spans="1:18" ht="15.75" thickTop="1">
      <c r="C246" s="432"/>
      <c r="D246" s="430"/>
      <c r="E246" s="432"/>
      <c r="L246" s="312" t="str">
        <f>+IF(AND(E243=0,E244=0),"","table end")</f>
        <v/>
      </c>
      <c r="M246" s="312" t="str">
        <f>+IF(AND(E243=0,E244=0),"N","")</f>
        <v>N</v>
      </c>
    </row>
    <row r="247" spans="1:18">
      <c r="C247" s="430"/>
      <c r="D247" s="430"/>
      <c r="E247" s="430"/>
      <c r="M247" s="312" t="s">
        <v>3</v>
      </c>
    </row>
    <row r="248" spans="1:18">
      <c r="A248" s="331" t="str">
        <f>+UPPER(Section3!A20)</f>
        <v>PROFIT FROM OPERATIONS AND BEFORE TAXATION</v>
      </c>
      <c r="L248" s="312" t="s">
        <v>809</v>
      </c>
      <c r="M248" s="312" t="s">
        <v>3</v>
      </c>
    </row>
    <row r="249" spans="1:18">
      <c r="M249" s="312" t="s">
        <v>3</v>
      </c>
    </row>
    <row r="250" spans="1:18">
      <c r="A250" s="330" t="str">
        <f>+CONCATENATE(O250,P250)</f>
        <v>Profit from operations and before taxation is arrived at:</v>
      </c>
      <c r="M250" s="312" t="s">
        <v>3</v>
      </c>
      <c r="O250" s="311" t="str">
        <f>+Section3!A20</f>
        <v>Profit from operations and before taxation</v>
      </c>
      <c r="P250" s="311" t="s">
        <v>847</v>
      </c>
    </row>
    <row r="251" spans="1:18">
      <c r="M251" s="312" t="s">
        <v>3</v>
      </c>
    </row>
    <row r="252" spans="1:18">
      <c r="A252" s="330">
        <v>18</v>
      </c>
      <c r="B252" s="330">
        <v>210</v>
      </c>
      <c r="C252" s="330">
        <v>90</v>
      </c>
      <c r="D252" s="330">
        <v>20</v>
      </c>
      <c r="E252" s="330">
        <v>90</v>
      </c>
      <c r="L252" s="312" t="s">
        <v>13</v>
      </c>
      <c r="M252" s="312">
        <v>14</v>
      </c>
    </row>
    <row r="253" spans="1:18">
      <c r="C253" s="362" t="str">
        <f>+Section3!C9</f>
        <v>02.03.2014-</v>
      </c>
      <c r="E253" s="362" t="str">
        <f>+Section3!E9</f>
        <v>18.11.2015-</v>
      </c>
      <c r="M253" s="312" t="s">
        <v>3</v>
      </c>
    </row>
    <row r="254" spans="1:18">
      <c r="C254" s="363" t="str">
        <f>+Section3!C10</f>
        <v>31.12.2016</v>
      </c>
      <c r="D254" s="332"/>
      <c r="E254" s="363" t="str">
        <f>+Section3!E10</f>
        <v>31.12.2016</v>
      </c>
      <c r="M254" s="312" t="s">
        <v>3</v>
      </c>
    </row>
    <row r="255" spans="1:18">
      <c r="B255" s="561" t="s">
        <v>1469</v>
      </c>
      <c r="C255" s="333"/>
      <c r="D255" s="332"/>
      <c r="E255" s="332"/>
      <c r="M255" s="312" t="s">
        <v>3</v>
      </c>
    </row>
    <row r="256" spans="1:18">
      <c r="B256" s="562" t="s">
        <v>848</v>
      </c>
      <c r="C256" s="411">
        <v>0</v>
      </c>
      <c r="D256" s="399"/>
      <c r="E256" s="411">
        <v>3224</v>
      </c>
      <c r="M256" s="312" t="s">
        <v>3</v>
      </c>
    </row>
    <row r="257" spans="2:18">
      <c r="B257" s="562" t="s">
        <v>849</v>
      </c>
      <c r="C257" s="411">
        <v>0</v>
      </c>
      <c r="D257" s="399"/>
      <c r="E257" s="411">
        <v>0</v>
      </c>
      <c r="M257" s="312" t="str">
        <f t="shared" ref="M257:M267" si="0">IF(AND(C257=0,E257=0),"N","Y")</f>
        <v>N</v>
      </c>
    </row>
    <row r="258" spans="2:18">
      <c r="B258" s="562" t="s">
        <v>1297</v>
      </c>
      <c r="C258" s="411">
        <v>0</v>
      </c>
      <c r="D258" s="399"/>
      <c r="E258" s="411">
        <v>0</v>
      </c>
      <c r="M258" s="312" t="str">
        <f t="shared" si="0"/>
        <v>N</v>
      </c>
    </row>
    <row r="259" spans="2:18">
      <c r="B259" s="562" t="s">
        <v>850</v>
      </c>
      <c r="C259" s="411">
        <v>0</v>
      </c>
      <c r="D259" s="399"/>
      <c r="E259" s="411">
        <v>0</v>
      </c>
      <c r="M259" s="312" t="str">
        <f t="shared" si="0"/>
        <v>N</v>
      </c>
      <c r="O259" s="311" t="s">
        <v>851</v>
      </c>
      <c r="P259" s="311" t="s">
        <v>852</v>
      </c>
    </row>
    <row r="260" spans="2:18">
      <c r="B260" s="568" t="s">
        <v>1553</v>
      </c>
      <c r="C260" s="411">
        <v>0</v>
      </c>
      <c r="D260" s="399"/>
      <c r="E260" s="411">
        <v>0</v>
      </c>
      <c r="M260" s="312" t="str">
        <f>IF(AND(C260=0,E260=0),"N","Y")</f>
        <v>N</v>
      </c>
    </row>
    <row r="261" spans="2:18">
      <c r="B261" s="562" t="s">
        <v>1296</v>
      </c>
      <c r="C261" s="411">
        <v>0</v>
      </c>
      <c r="D261" s="399"/>
      <c r="E261" s="411">
        <v>0</v>
      </c>
      <c r="M261" s="312" t="str">
        <f t="shared" si="0"/>
        <v>N</v>
      </c>
    </row>
    <row r="262" spans="2:18">
      <c r="B262" s="562" t="s">
        <v>2011</v>
      </c>
      <c r="C262" s="411">
        <v>0</v>
      </c>
      <c r="D262" s="399"/>
      <c r="E262" s="411">
        <v>24</v>
      </c>
      <c r="M262" s="312" t="str">
        <f t="shared" si="0"/>
        <v>Y</v>
      </c>
      <c r="O262" s="347">
        <f>+IF(C262&gt;=0,1,2)</f>
        <v>1</v>
      </c>
      <c r="P262" s="347">
        <f>+IF(E262&gt;=0,1,2)</f>
        <v>1</v>
      </c>
    </row>
    <row r="263" spans="2:18">
      <c r="B263" s="562" t="s">
        <v>1272</v>
      </c>
      <c r="C263" s="411">
        <v>0</v>
      </c>
      <c r="D263" s="399"/>
      <c r="E263" s="411">
        <v>222</v>
      </c>
      <c r="M263" s="312" t="str">
        <f t="shared" si="0"/>
        <v>Y</v>
      </c>
      <c r="O263" s="347"/>
      <c r="P263" s="347"/>
    </row>
    <row r="264" spans="2:18">
      <c r="B264" s="562" t="s">
        <v>115</v>
      </c>
      <c r="C264" s="411">
        <v>0</v>
      </c>
      <c r="D264" s="399"/>
      <c r="E264" s="411">
        <v>0</v>
      </c>
      <c r="M264" s="312" t="str">
        <f t="shared" si="0"/>
        <v>N</v>
      </c>
      <c r="O264" s="311" t="s">
        <v>853</v>
      </c>
      <c r="P264" s="311" t="str">
        <f>+IF(O262=1,"loss","(gain)")</f>
        <v>loss</v>
      </c>
      <c r="Q264" s="311" t="s">
        <v>487</v>
      </c>
      <c r="R264" s="311" t="str">
        <f>+IF(P262=1,"loss","(gain)")</f>
        <v>loss</v>
      </c>
    </row>
    <row r="265" spans="2:18">
      <c r="B265" s="562" t="s">
        <v>1284</v>
      </c>
      <c r="C265" s="411">
        <v>0</v>
      </c>
      <c r="D265" s="399"/>
      <c r="E265" s="411">
        <v>0</v>
      </c>
      <c r="M265" s="312" t="str">
        <f t="shared" si="0"/>
        <v>N</v>
      </c>
    </row>
    <row r="266" spans="2:18" ht="15" customHeight="1">
      <c r="B266" s="562" t="s">
        <v>854</v>
      </c>
      <c r="C266" s="411">
        <v>0</v>
      </c>
      <c r="D266" s="399"/>
      <c r="E266" s="411">
        <v>0</v>
      </c>
      <c r="M266" s="312" t="str">
        <f t="shared" si="0"/>
        <v>N</v>
      </c>
      <c r="O266" s="311" t="str">
        <f>+IF(O262=1,"Exchange loss","Exchange gain")</f>
        <v>Exchange loss</v>
      </c>
    </row>
    <row r="267" spans="2:18">
      <c r="B267" s="562" t="s">
        <v>1378</v>
      </c>
      <c r="C267" s="411">
        <v>0</v>
      </c>
      <c r="D267" s="399"/>
      <c r="E267" s="411">
        <v>0</v>
      </c>
      <c r="M267" s="312" t="str">
        <f t="shared" si="0"/>
        <v>N</v>
      </c>
      <c r="O267" s="311" t="str">
        <f>+CONCATENATE(O264,P264,Q264,R264)</f>
        <v>Exchange loss/loss</v>
      </c>
    </row>
    <row r="268" spans="2:18">
      <c r="B268" s="330" t="s">
        <v>855</v>
      </c>
      <c r="C268" s="412"/>
      <c r="D268" s="398"/>
      <c r="E268" s="411"/>
      <c r="M268" s="312" t="s">
        <v>3</v>
      </c>
      <c r="N268" s="347" t="s">
        <v>856</v>
      </c>
      <c r="O268" s="433" t="str">
        <f>+IF(O262=P262,O266,O267)</f>
        <v>Exchange loss</v>
      </c>
      <c r="P268" s="433"/>
    </row>
    <row r="269" spans="2:18">
      <c r="B269" s="561" t="s">
        <v>1617</v>
      </c>
      <c r="C269" s="412">
        <v>0</v>
      </c>
      <c r="D269" s="398"/>
      <c r="E269" s="411">
        <v>0</v>
      </c>
      <c r="M269" s="312" t="s">
        <v>3</v>
      </c>
      <c r="O269" s="433"/>
      <c r="P269" s="433"/>
    </row>
    <row r="270" spans="2:18">
      <c r="B270" s="330" t="s">
        <v>857</v>
      </c>
      <c r="C270" s="412">
        <v>0</v>
      </c>
      <c r="D270" s="399"/>
      <c r="E270" s="411">
        <v>0</v>
      </c>
      <c r="M270" s="312" t="s">
        <v>3</v>
      </c>
      <c r="N270" s="347" t="s">
        <v>858</v>
      </c>
      <c r="O270" s="434" t="str">
        <f>+IF(P262=1,"Exchange loss","Exchange gain")</f>
        <v>Exchange loss</v>
      </c>
      <c r="P270" s="434"/>
    </row>
    <row r="271" spans="2:18" ht="15.75" thickBot="1">
      <c r="B271" s="330" t="s">
        <v>859</v>
      </c>
      <c r="C271" s="497">
        <f>+'Dir info'!O10</f>
        <v>6000</v>
      </c>
      <c r="D271" s="399"/>
      <c r="E271" s="413">
        <f>+C271</f>
        <v>6000</v>
      </c>
      <c r="M271" s="312" t="s">
        <v>3</v>
      </c>
    </row>
    <row r="272" spans="2:18" ht="15.75" thickTop="1">
      <c r="M272" s="312" t="s">
        <v>3</v>
      </c>
    </row>
    <row r="273" spans="1:16" ht="15.75" thickTop="1">
      <c r="L273" s="312" t="s">
        <v>29</v>
      </c>
      <c r="N273" s="343" t="s">
        <v>1186</v>
      </c>
      <c r="P273" s="311" t="s">
        <v>1185</v>
      </c>
    </row>
    <row r="274" spans="1:16">
      <c r="M274" s="312" t="s">
        <v>3</v>
      </c>
      <c r="N274" s="440" t="s">
        <v>860</v>
      </c>
      <c r="P274" s="311" t="str">
        <f>+CONCATENATE(P300,Q300,R300)</f>
        <v>No Hong Kong Profits Tax has been provided as the Company did not generate any assessable profit after setting off against the tax losses brought forward during the period.</v>
      </c>
    </row>
    <row r="275" spans="1:16">
      <c r="A275" s="423" t="s">
        <v>1821</v>
      </c>
      <c r="M275" s="312" t="s">
        <v>1809</v>
      </c>
      <c r="N275" s="440" t="s">
        <v>1830</v>
      </c>
    </row>
    <row r="276" spans="1:16">
      <c r="M276" s="312" t="str">
        <f>+M275</f>
        <v>N</v>
      </c>
      <c r="N276" s="440" t="s">
        <v>1830</v>
      </c>
    </row>
    <row r="277" spans="1:16">
      <c r="A277" s="561" t="s">
        <v>1822</v>
      </c>
      <c r="M277" s="312" t="str">
        <f>+M275</f>
        <v>N</v>
      </c>
      <c r="N277" s="440" t="s">
        <v>1830</v>
      </c>
    </row>
    <row r="278" spans="1:16">
      <c r="A278" s="561"/>
      <c r="C278" s="362" t="str">
        <f>+C253</f>
        <v>02.03.2014-</v>
      </c>
      <c r="E278" s="362" t="str">
        <f>+E253</f>
        <v>18.11.2015-</v>
      </c>
      <c r="M278" s="312" t="str">
        <f>+M275</f>
        <v>N</v>
      </c>
      <c r="N278" s="440" t="s">
        <v>1830</v>
      </c>
    </row>
    <row r="279" spans="1:16">
      <c r="C279" s="363" t="str">
        <f>+C254</f>
        <v>31.12.2016</v>
      </c>
      <c r="D279" s="332"/>
      <c r="E279" s="363" t="str">
        <f>+E254</f>
        <v>31.12.2016</v>
      </c>
      <c r="M279" s="312" t="str">
        <f>+M275</f>
        <v>N</v>
      </c>
      <c r="N279" s="440" t="s">
        <v>1830</v>
      </c>
    </row>
    <row r="280" spans="1:16">
      <c r="C280" s="363"/>
      <c r="D280" s="332"/>
      <c r="E280" s="363"/>
      <c r="M280" s="312" t="str">
        <f>+M275</f>
        <v>N</v>
      </c>
      <c r="N280" s="440" t="s">
        <v>1830</v>
      </c>
    </row>
    <row r="281" spans="1:16" ht="15.75">
      <c r="B281" s="745" t="s">
        <v>1823</v>
      </c>
      <c r="C281" s="746" t="s">
        <v>1305</v>
      </c>
      <c r="D281" s="747"/>
      <c r="E281" s="746" t="s">
        <v>1305</v>
      </c>
      <c r="M281" s="312" t="str">
        <f>+M275</f>
        <v>N</v>
      </c>
      <c r="N281" s="440" t="s">
        <v>1830</v>
      </c>
    </row>
    <row r="282" spans="1:16" ht="15.75">
      <c r="B282" s="745" t="s">
        <v>1824</v>
      </c>
      <c r="C282" s="748">
        <v>0</v>
      </c>
      <c r="D282" s="749"/>
      <c r="E282" s="748">
        <v>0</v>
      </c>
      <c r="M282" s="312" t="str">
        <f>+M275</f>
        <v>N</v>
      </c>
      <c r="N282" s="440" t="s">
        <v>1830</v>
      </c>
    </row>
    <row r="283" spans="1:16" ht="15.75">
      <c r="B283" s="745" t="s">
        <v>1825</v>
      </c>
      <c r="C283" s="748">
        <v>0</v>
      </c>
      <c r="D283" s="749"/>
      <c r="E283" s="748">
        <v>0</v>
      </c>
      <c r="M283" s="312" t="str">
        <f>+M275</f>
        <v>N</v>
      </c>
      <c r="N283" s="440" t="s">
        <v>1830</v>
      </c>
    </row>
    <row r="284" spans="1:16" ht="15.75">
      <c r="C284" s="748">
        <v>0</v>
      </c>
      <c r="D284" s="749"/>
      <c r="E284" s="748">
        <v>0</v>
      </c>
      <c r="M284" s="312" t="str">
        <f>+M275</f>
        <v>N</v>
      </c>
      <c r="N284" s="440" t="s">
        <v>1830</v>
      </c>
    </row>
    <row r="285" spans="1:16" ht="16.5" thickBot="1">
      <c r="C285" s="750">
        <f>SUM(C282:C284)</f>
        <v>0</v>
      </c>
      <c r="D285" s="749"/>
      <c r="E285" s="750">
        <f>SUM(E282:E284)</f>
        <v>0</v>
      </c>
      <c r="M285" s="312" t="str">
        <f>+M275</f>
        <v>N</v>
      </c>
      <c r="N285" s="440" t="s">
        <v>1830</v>
      </c>
    </row>
    <row r="286" spans="1:16" ht="15.75" thickTop="1">
      <c r="M286" s="312" t="str">
        <f>+M275</f>
        <v>N</v>
      </c>
      <c r="N286" s="440" t="s">
        <v>1830</v>
      </c>
    </row>
    <row r="287" spans="1:16">
      <c r="A287" s="561" t="s">
        <v>1826</v>
      </c>
      <c r="M287" s="312" t="str">
        <f>+M275</f>
        <v>N</v>
      </c>
      <c r="N287" s="440" t="s">
        <v>1830</v>
      </c>
    </row>
    <row r="288" spans="1:16">
      <c r="A288" s="561"/>
      <c r="M288" s="312" t="str">
        <f>+M275</f>
        <v>N</v>
      </c>
      <c r="N288" s="440" t="s">
        <v>1830</v>
      </c>
    </row>
    <row r="289" spans="1:27">
      <c r="A289" s="561" t="s">
        <v>1827</v>
      </c>
      <c r="M289" s="312" t="str">
        <f>+M275</f>
        <v>N</v>
      </c>
      <c r="N289" s="440" t="s">
        <v>1830</v>
      </c>
    </row>
    <row r="290" spans="1:27">
      <c r="A290" s="561"/>
      <c r="M290" s="312" t="str">
        <f>+M275</f>
        <v>N</v>
      </c>
      <c r="N290" s="440" t="s">
        <v>1830</v>
      </c>
    </row>
    <row r="291" spans="1:27">
      <c r="A291" s="561" t="s">
        <v>1828</v>
      </c>
      <c r="M291" s="312" t="str">
        <f>+M275</f>
        <v>N</v>
      </c>
      <c r="N291" s="440" t="s">
        <v>1830</v>
      </c>
    </row>
    <row r="292" spans="1:27">
      <c r="A292" s="561"/>
      <c r="M292" s="312" t="str">
        <f>+M275</f>
        <v>N</v>
      </c>
      <c r="N292" s="440" t="s">
        <v>1830</v>
      </c>
    </row>
    <row r="293" spans="1:27">
      <c r="A293" s="561" t="s">
        <v>1829</v>
      </c>
      <c r="M293" s="312" t="str">
        <f>+M275</f>
        <v>N</v>
      </c>
      <c r="N293" s="440" t="s">
        <v>1830</v>
      </c>
    </row>
    <row r="294" spans="1:27">
      <c r="A294" s="561"/>
      <c r="M294" s="312" t="str">
        <f>+M275</f>
        <v>N</v>
      </c>
      <c r="N294" s="440" t="s">
        <v>1830</v>
      </c>
    </row>
    <row r="295" spans="1:27">
      <c r="A295" s="331" t="s">
        <v>861</v>
      </c>
      <c r="L295" s="312" t="s">
        <v>809</v>
      </c>
      <c r="M295" s="312" t="s">
        <v>3</v>
      </c>
      <c r="N295" s="440" t="s">
        <v>862</v>
      </c>
      <c r="P295" s="311" t="str">
        <f>+CONCATENATE(P301,Q301,R301)</f>
        <v>No Hong Kong Profits Tax has been provided as the Company did not generate any assessable profit during the period.</v>
      </c>
    </row>
    <row r="296" spans="1:27">
      <c r="M296" s="312" t="s">
        <v>3</v>
      </c>
      <c r="N296" s="440" t="s">
        <v>863</v>
      </c>
      <c r="O296" s="311" t="s">
        <v>864</v>
      </c>
      <c r="P296" s="311" t="str">
        <f>+CONCATENATE(P302,Q302,R302)</f>
        <v>Hong Kong Profits Tax has been provided at the rate of 16.5% on the estimated assessable profit arising in Hong Kong during the period.</v>
      </c>
    </row>
    <row r="297" spans="1:27">
      <c r="A297" s="330" t="str">
        <f>+P274</f>
        <v>No Hong Kong Profits Tax has been provided as the Company did not generate any assessable profit after setting off against the tax losses brought forward during the period.</v>
      </c>
      <c r="M297" s="312" t="str">
        <f>IF(M306="Y","N",IF(AND(Section3!C21=0,Section3!C20&gt;0),"Y","N"))</f>
        <v>N</v>
      </c>
      <c r="N297" s="440" t="s">
        <v>863</v>
      </c>
      <c r="O297" s="311" t="s">
        <v>865</v>
      </c>
      <c r="P297" s="311" t="str">
        <f>+CONCATENATE(P304,Q304,R304,S304,T304,U304,V304)</f>
        <v>Hong Kong Profits Tax has been provided at the rate of 16.5% (2016: 16.5%) on the estimated assessable profit arising in Hong Kong during the period.</v>
      </c>
    </row>
    <row r="298" spans="1:27">
      <c r="A298" s="330" t="str">
        <f>+P295</f>
        <v>No Hong Kong Profits Tax has been provided as the Company did not generate any assessable profit during the period.</v>
      </c>
      <c r="M298" s="312" t="str">
        <f>IF(M306="Y","N",IF(Control!D30=0,IF(AND(Section3!C21=0,Section3!C20&lt;0),"Y","N"),IF(AND(Section3!E21=0,Section3!E20&lt;0),"Y","N")))</f>
        <v>N</v>
      </c>
      <c r="N298" s="370"/>
      <c r="P298" s="311" t="str">
        <f>+CONCATENATE(P305,Q305,R305,S305,T305,U305)</f>
        <v>For the year of assessment 2016/17, 75% of tax payable would be waived, subject to a ceiling of HK$20,000.</v>
      </c>
    </row>
    <row r="299" spans="1:27">
      <c r="A299" s="330" t="str">
        <f>+P296</f>
        <v>Hong Kong Profits Tax has been provided at the rate of 16.5% on the estimated assessable profit arising in Hong Kong during the period.</v>
      </c>
      <c r="M299" s="312" t="str">
        <f>IF(M306="Y","N",IF(Control!D30=1,IF(Section3!E21&lt;0,"Y","N"),"N"))</f>
        <v>N</v>
      </c>
      <c r="N299" s="472">
        <v>41729</v>
      </c>
      <c r="P299" s="311" t="str">
        <f>+CONCATENATE(P315,Q315,R315,S315,T315,U315,V315,W315,X315,Y315,Z315,AA315,AB315,AC315)</f>
        <v>For the year of assessment 2016/17, 75% (2015/16: 75%) of tax payable would be waived, subject to a ceiling of HK$20,000 (2015/16: HK$20,000).</v>
      </c>
    </row>
    <row r="300" spans="1:27" ht="15.75">
      <c r="A300" s="330" t="str">
        <f>+P297</f>
        <v>Hong Kong Profits Tax has been provided at the rate of 16.5% (2016: 16.5%) on the estimated assessable profit arising in Hong Kong during the period.</v>
      </c>
      <c r="M300" s="312" t="str">
        <f>IF(M306="Y","N",IF(Control!D30=0,IF(Section3!C21&lt;0,"Y","N"),"N"))</f>
        <v>N</v>
      </c>
      <c r="N300" s="472">
        <v>42094</v>
      </c>
      <c r="P300" s="311" t="s">
        <v>866</v>
      </c>
      <c r="Q300" s="311" t="str">
        <f>+LOWER(Control!D9)</f>
        <v>period</v>
      </c>
      <c r="R300" s="311" t="s">
        <v>239</v>
      </c>
      <c r="S300" t="s">
        <v>1104</v>
      </c>
      <c r="T300" s="440" t="s">
        <v>1103</v>
      </c>
      <c r="U300" s="440"/>
      <c r="V300" s="440"/>
      <c r="W300" s="440"/>
      <c r="X300" s="440"/>
      <c r="Y300" s="440"/>
      <c r="Z300" s="440"/>
      <c r="AA300" s="440"/>
    </row>
    <row r="301" spans="1:27">
      <c r="M301" s="312" t="str">
        <f>M302</f>
        <v>N</v>
      </c>
      <c r="N301" s="519">
        <v>42460</v>
      </c>
      <c r="P301" s="311" t="s">
        <v>867</v>
      </c>
      <c r="Q301" s="311" t="str">
        <f>+LOWER(Control!D9)</f>
        <v>period</v>
      </c>
      <c r="R301" s="311" t="s">
        <v>239</v>
      </c>
      <c r="T301" s="440" t="s">
        <v>1102</v>
      </c>
      <c r="U301" s="440"/>
      <c r="V301" s="440"/>
      <c r="W301" s="440"/>
      <c r="X301" s="440"/>
      <c r="Y301" s="440"/>
      <c r="Z301" s="440"/>
      <c r="AA301" s="440"/>
    </row>
    <row r="302" spans="1:27">
      <c r="A302" s="330" t="str">
        <f>+P298</f>
        <v>For the year of assessment 2016/17, 75% of tax payable would be waived, subject to a ceiling of HK$20,000.</v>
      </c>
      <c r="M302" s="312" t="str">
        <f>IF(M306="Y","N",IF(Control!D30=1,IF(Section6!M299="Y","Y","N"),"N"))</f>
        <v>N</v>
      </c>
      <c r="N302" s="472">
        <f>+Control!D12</f>
        <v>42735</v>
      </c>
      <c r="P302" s="311" t="s">
        <v>868</v>
      </c>
      <c r="Q302" s="311" t="str">
        <f>+LOWER(Control!D9)</f>
        <v>period</v>
      </c>
      <c r="R302" s="311" t="s">
        <v>239</v>
      </c>
      <c r="T302" s="440" t="s">
        <v>1101</v>
      </c>
      <c r="U302" s="440"/>
      <c r="V302" s="440"/>
      <c r="W302" s="440"/>
      <c r="X302" s="440"/>
      <c r="Y302" s="440"/>
      <c r="Z302" s="440"/>
      <c r="AA302" s="440"/>
    </row>
    <row r="303" spans="1:27">
      <c r="M303" s="312" t="str">
        <f>M304</f>
        <v>N</v>
      </c>
      <c r="N303" s="473">
        <f>+N302-N300</f>
        <v>641</v>
      </c>
      <c r="T303" s="440" t="s">
        <v>1100</v>
      </c>
      <c r="U303" s="440"/>
      <c r="V303" s="440"/>
      <c r="W303" s="440"/>
      <c r="X303" s="440"/>
      <c r="Y303" s="440"/>
      <c r="Z303" s="440"/>
      <c r="AA303" s="440"/>
    </row>
    <row r="304" spans="1:27">
      <c r="A304" s="311" t="str">
        <f>+P299</f>
        <v>For the year of assessment 2016/17, 75% (2015/16: 75%) of tax payable would be waived, subject to a ceiling of HK$20,000 (2015/16: HK$20,000).</v>
      </c>
      <c r="M304" s="312" t="str">
        <f>IF(M306="Y","N",IF(N304&gt;0,"N",M300))</f>
        <v>N</v>
      </c>
      <c r="N304" s="473">
        <f>+N302-N301</f>
        <v>275</v>
      </c>
      <c r="P304" s="311" t="s">
        <v>869</v>
      </c>
      <c r="Q304" s="311" t="s">
        <v>444</v>
      </c>
      <c r="R304" s="311" t="str">
        <f>+RIGHT(Control!H13,4)</f>
        <v>2016</v>
      </c>
      <c r="S304" s="311" t="s">
        <v>870</v>
      </c>
      <c r="T304" s="311" t="s">
        <v>871</v>
      </c>
      <c r="U304" s="311" t="str">
        <f>+LOWER(Control!D9)</f>
        <v>period</v>
      </c>
      <c r="V304" s="311" t="s">
        <v>239</v>
      </c>
    </row>
    <row r="305" spans="1:29">
      <c r="M305" s="312" t="s">
        <v>1308</v>
      </c>
      <c r="N305" s="473">
        <f>+N302-N299</f>
        <v>1006</v>
      </c>
      <c r="P305" s="311" t="s">
        <v>872</v>
      </c>
      <c r="Q305" s="311" t="str">
        <f>+Control!D120</f>
        <v>2016/17</v>
      </c>
      <c r="R305" s="311" t="s">
        <v>1108</v>
      </c>
      <c r="S305" s="483" t="str">
        <f>+S315</f>
        <v>75%</v>
      </c>
      <c r="T305" s="311" t="s">
        <v>1110</v>
      </c>
      <c r="U305" s="474" t="str">
        <f>IF(P316=2011,"HK$12,000.",IF(P316=2012,"HK$10,000.",IF(P316=2013,"HK$10,000.",IF(P316=2014,"HK$20,000.",IF(P316=2015,"HK$20,000.",IF(P316=2016,"HK$20,000.",""))))))</f>
        <v>HK$20,000.</v>
      </c>
    </row>
    <row r="306" spans="1:29">
      <c r="A306" s="561" t="str">
        <f>+CONCATENATE(P306,Q306,R306)</f>
        <v>No Hong Kong Profits Tax has been provided during the period as the Company generated income from offshore operations which are not subject to Hong Kong taxation.</v>
      </c>
      <c r="M306" s="312" t="str">
        <f>+IF(Control!D19=1,"Y","N")</f>
        <v>N</v>
      </c>
      <c r="N306" s="473" t="s">
        <v>1301</v>
      </c>
      <c r="P306" s="311" t="s">
        <v>1944</v>
      </c>
      <c r="Q306" s="311" t="str">
        <f>+Control!E8</f>
        <v>period</v>
      </c>
      <c r="R306" s="311" t="s">
        <v>1945</v>
      </c>
      <c r="S306" s="483"/>
      <c r="U306" s="474"/>
    </row>
    <row r="307" spans="1:29">
      <c r="M307" s="312" t="str">
        <f>+M306</f>
        <v>N</v>
      </c>
      <c r="N307" s="473" t="s">
        <v>1301</v>
      </c>
      <c r="S307" s="483"/>
      <c r="U307" s="474"/>
    </row>
    <row r="308" spans="1:29">
      <c r="A308" s="561" t="s">
        <v>1554</v>
      </c>
      <c r="M308" s="312" t="s">
        <v>1300</v>
      </c>
      <c r="N308" s="473" t="s">
        <v>1301</v>
      </c>
      <c r="S308" s="483"/>
      <c r="U308" s="474"/>
    </row>
    <row r="309" spans="1:29">
      <c r="A309" s="561"/>
      <c r="M309" s="312" t="s">
        <v>1300</v>
      </c>
      <c r="N309" s="473"/>
      <c r="S309" s="483"/>
      <c r="U309" s="474"/>
    </row>
    <row r="310" spans="1:29">
      <c r="A310" s="561" t="s">
        <v>1555</v>
      </c>
      <c r="M310" s="312" t="s">
        <v>1300</v>
      </c>
      <c r="N310" s="473" t="s">
        <v>1301</v>
      </c>
      <c r="S310" s="483"/>
      <c r="U310" s="474"/>
    </row>
    <row r="311" spans="1:29">
      <c r="M311" s="312" t="s">
        <v>1300</v>
      </c>
      <c r="N311" s="473"/>
      <c r="S311" s="483"/>
      <c r="U311" s="474"/>
    </row>
    <row r="312" spans="1:29">
      <c r="A312" s="561" t="s">
        <v>1819</v>
      </c>
      <c r="M312" s="312" t="s">
        <v>1283</v>
      </c>
      <c r="N312" s="473" t="s">
        <v>1820</v>
      </c>
      <c r="S312" s="483"/>
      <c r="U312" s="474"/>
    </row>
    <row r="313" spans="1:29">
      <c r="M313" s="312" t="s">
        <v>1283</v>
      </c>
      <c r="N313" s="473" t="s">
        <v>1820</v>
      </c>
      <c r="S313" s="483"/>
      <c r="U313" s="474"/>
    </row>
    <row r="314" spans="1:29">
      <c r="M314" s="312" t="s">
        <v>1381</v>
      </c>
      <c r="N314" s="473"/>
      <c r="S314" s="483"/>
      <c r="U314" s="474"/>
    </row>
    <row r="315" spans="1:29">
      <c r="A315" s="331" t="s">
        <v>873</v>
      </c>
      <c r="L315" s="312" t="s">
        <v>809</v>
      </c>
      <c r="M315" s="343" t="str">
        <f>+IF(Control!D32=1,"Y","N")</f>
        <v>Y</v>
      </c>
      <c r="P315" s="311" t="s">
        <v>872</v>
      </c>
      <c r="Q315" s="311" t="str">
        <f>+Control!D120</f>
        <v>2016/17</v>
      </c>
      <c r="R315" s="311" t="s">
        <v>1108</v>
      </c>
      <c r="S315" s="483" t="str">
        <f>IF(P316=2011,"75%",IF(P316=2012,"75%",IF(P316=2013,"75%",IF(P316=2014,"75%",IF(P316=2015,"75%",IF(P316=2016,"75%","Nil"))))))</f>
        <v>75%</v>
      </c>
      <c r="T315" s="311" t="s">
        <v>1109</v>
      </c>
      <c r="U315" s="311" t="str">
        <f>+CONCATENATE(Q317,R317,S317)</f>
        <v>2015/16</v>
      </c>
      <c r="V315" s="311" t="s">
        <v>1105</v>
      </c>
      <c r="W315" s="483" t="str">
        <f>IF(Q317=2011,"75%",IF(Q317=2012,"75%",IF(Q317=2013,"75%",IF(Q317=2014,"75%",IF(Q317=2015,"75%","Nil")))))</f>
        <v>75%</v>
      </c>
      <c r="X315" s="311" t="s">
        <v>1107</v>
      </c>
      <c r="Y315" s="474" t="str">
        <f>IF(P316=2011,"HK$12,000",IF(P316=2012,"HK$10,000",IF(P316=2013,"HK$10,000",IF(P316=2014,"HK$20,000",IF(P316=2015,"HK$20,000",IF(P316=2016,"HK$20,000",""))))))</f>
        <v>HK$20,000</v>
      </c>
      <c r="Z315" s="311" t="str">
        <f>+CONCATENATE(" (",Q317,R317,S317)</f>
        <v xml:space="preserve"> (2015/16</v>
      </c>
      <c r="AA315" s="311" t="s">
        <v>1105</v>
      </c>
      <c r="AB315" s="482" t="str">
        <f>IF(Q317=2011,"HK$12,000",IF(Q317=2012,"HK$10,000",IF(Q317=2013,"HK$10,000",IF(Q317=2014,"HK$20,000",IF(Q317=2015,"HK$20,000","HK$Nil")))))</f>
        <v>HK$20,000</v>
      </c>
      <c r="AC315" s="311" t="s">
        <v>1106</v>
      </c>
    </row>
    <row r="316" spans="1:29">
      <c r="M316" s="343" t="str">
        <f>+IF(Control!D32=1,"Y","N")</f>
        <v>Y</v>
      </c>
      <c r="P316" s="481">
        <f>+Q316+1-1</f>
        <v>2016</v>
      </c>
      <c r="Q316" s="480" t="str">
        <f>+LEFT(Q315,4)</f>
        <v>2016</v>
      </c>
      <c r="R316" s="311" t="str">
        <f>RIGHT(Q315,2)</f>
        <v>17</v>
      </c>
      <c r="Y316" s="401">
        <f>IF(P316=2011,12000,IF(P316=2012,10000,IF(P316=2013,10000,IF(P316=2014,20000,IF(P316=2015,20000,IF(P316=2016,20000,""))))))</f>
        <v>20000</v>
      </c>
    </row>
    <row r="317" spans="1:29" ht="15.75">
      <c r="A317" s="330">
        <v>18</v>
      </c>
      <c r="B317" s="330">
        <v>210</v>
      </c>
      <c r="C317" s="334">
        <f>IF(R337=0,0,60)</f>
        <v>0</v>
      </c>
      <c r="D317" s="334">
        <f>IF(R337=0,0,15)</f>
        <v>0</v>
      </c>
      <c r="E317" s="334">
        <f>IF(S337=0,0,60)</f>
        <v>0</v>
      </c>
      <c r="F317" s="334">
        <f>IF(S337=0,0,15)</f>
        <v>0</v>
      </c>
      <c r="G317" s="334">
        <f>IF(T337=0,0,60)</f>
        <v>0</v>
      </c>
      <c r="H317" s="334">
        <f>IF(T337=0,0,15)</f>
        <v>0</v>
      </c>
      <c r="I317" s="334">
        <f>IF(U337=0,0,60)</f>
        <v>0</v>
      </c>
      <c r="J317" s="334">
        <f>IF(U337=0,0,15)</f>
        <v>0</v>
      </c>
      <c r="K317" s="334">
        <v>60</v>
      </c>
      <c r="L317" s="312" t="str">
        <f>+IF(Control!D32=1,"table start"," ")</f>
        <v>table start</v>
      </c>
      <c r="M317" s="343" t="str">
        <f>+IF(Control!D32=1,"14","N")</f>
        <v>14</v>
      </c>
      <c r="Q317" s="311">
        <f>+Q316-1</f>
        <v>2015</v>
      </c>
      <c r="R317" s="311" t="s">
        <v>487</v>
      </c>
      <c r="S317" s="311">
        <f>+R316-1</f>
        <v>16</v>
      </c>
    </row>
    <row r="318" spans="1:29" ht="15.75">
      <c r="C318" s="336" t="str">
        <f>IF(R337=0,"",B158)</f>
        <v/>
      </c>
      <c r="D318" s="335"/>
      <c r="E318" s="336" t="str">
        <f>IF(S337=0,"",B159)</f>
        <v/>
      </c>
      <c r="F318" s="335"/>
      <c r="G318" s="336">
        <f>IF(T337=0,0,B160)</f>
        <v>0</v>
      </c>
      <c r="H318" s="335"/>
      <c r="I318" s="336">
        <f>IF(U337=0,0,B161)</f>
        <v>0</v>
      </c>
      <c r="J318" s="334"/>
      <c r="K318" s="337" t="s">
        <v>874</v>
      </c>
      <c r="M318" s="343" t="str">
        <f>+IF(Control!D32=1,"Y","N")</f>
        <v>Y</v>
      </c>
    </row>
    <row r="319" spans="1:29" ht="15.75">
      <c r="B319" s="475" t="s">
        <v>875</v>
      </c>
      <c r="C319" s="333"/>
      <c r="D319" s="333"/>
      <c r="E319" s="333"/>
      <c r="F319" s="333"/>
      <c r="G319" s="338"/>
      <c r="H319" s="339"/>
      <c r="I319" s="338"/>
      <c r="J319" s="340"/>
      <c r="K319" s="340"/>
      <c r="M319" s="343" t="str">
        <f>+IF(Control!D32=1,"Y","N")</f>
        <v>Y</v>
      </c>
    </row>
    <row r="320" spans="1:29">
      <c r="B320" s="364" t="str">
        <f>+CONCATENATE(O320,P320)</f>
        <v>As at 2 March, 2014</v>
      </c>
      <c r="C320" s="477">
        <v>0</v>
      </c>
      <c r="D320" s="477"/>
      <c r="E320" s="477">
        <v>0</v>
      </c>
      <c r="F320" s="477"/>
      <c r="G320" s="477">
        <v>0</v>
      </c>
      <c r="H320" s="477"/>
      <c r="I320" s="477">
        <v>0</v>
      </c>
      <c r="J320" s="477"/>
      <c r="K320" s="477">
        <f>+C320+E320+G320+I320</f>
        <v>0</v>
      </c>
      <c r="M320" s="343" t="str">
        <f>+IF(Control!D32=1,"Y","N")</f>
        <v>Y</v>
      </c>
      <c r="O320" s="311" t="s">
        <v>876</v>
      </c>
      <c r="P320" s="311" t="str">
        <f>TEXT(Control!D11, "d mmmm, yyyy")</f>
        <v>2 March, 2014</v>
      </c>
      <c r="R320" s="311">
        <f>+IF(C320=0,0,1)</f>
        <v>0</v>
      </c>
      <c r="S320" s="311">
        <f>+IF(E320=0,0,1)</f>
        <v>0</v>
      </c>
      <c r="T320" s="311">
        <f>+IF(G320=0,0,1)</f>
        <v>0</v>
      </c>
      <c r="U320" s="311">
        <f>+IF(I320=0,0,1)</f>
        <v>0</v>
      </c>
    </row>
    <row r="321" spans="2:21">
      <c r="B321" s="364" t="s">
        <v>877</v>
      </c>
      <c r="C321" s="477">
        <v>0</v>
      </c>
      <c r="D321" s="477"/>
      <c r="E321" s="477">
        <v>0</v>
      </c>
      <c r="F321" s="477"/>
      <c r="G321" s="477">
        <v>0</v>
      </c>
      <c r="H321" s="477"/>
      <c r="I321" s="477">
        <v>0</v>
      </c>
      <c r="J321" s="477"/>
      <c r="K321" s="477">
        <f>+C321+E321+G321+I321</f>
        <v>0</v>
      </c>
      <c r="M321" s="343" t="str">
        <f>+IF(Control!D32=1,"Y","N")</f>
        <v>Y</v>
      </c>
      <c r="R321" s="311">
        <f>+IF(C321=0,0,1)</f>
        <v>0</v>
      </c>
      <c r="S321" s="311">
        <f>+IF(E321=0,0,1)</f>
        <v>0</v>
      </c>
      <c r="T321" s="311">
        <f>+IF(G321=0,0,1)</f>
        <v>0</v>
      </c>
      <c r="U321" s="311">
        <f>+IF(I321=0,0,1)</f>
        <v>0</v>
      </c>
    </row>
    <row r="322" spans="2:21">
      <c r="B322" s="364" t="s">
        <v>1232</v>
      </c>
      <c r="C322" s="477">
        <v>0</v>
      </c>
      <c r="D322" s="477"/>
      <c r="E322" s="477">
        <v>0</v>
      </c>
      <c r="F322" s="477"/>
      <c r="G322" s="477">
        <v>0</v>
      </c>
      <c r="H322" s="477"/>
      <c r="I322" s="477">
        <v>0</v>
      </c>
      <c r="J322" s="477"/>
      <c r="K322" s="477">
        <f>+C322+E322+G322+I322</f>
        <v>0</v>
      </c>
      <c r="M322" s="343" t="str">
        <f>+IF(Control!D32=1,IF(SUM(C322:K322)=0,"N","Y"),"N")</f>
        <v>N</v>
      </c>
      <c r="R322" s="311">
        <f>+IF(C322=0,0,1)</f>
        <v>0</v>
      </c>
      <c r="S322" s="311">
        <f>+IF(E322=0,0,1)</f>
        <v>0</v>
      </c>
      <c r="T322" s="311">
        <f>+IF(G322=0,0,1)</f>
        <v>0</v>
      </c>
      <c r="U322" s="311">
        <f>+IF(I322=0,0,1)</f>
        <v>0</v>
      </c>
    </row>
    <row r="323" spans="2:21">
      <c r="B323" s="364"/>
      <c r="C323" s="477"/>
      <c r="D323" s="477"/>
      <c r="E323" s="477"/>
      <c r="F323" s="477"/>
      <c r="G323" s="477"/>
      <c r="H323" s="477"/>
      <c r="I323" s="477"/>
      <c r="J323" s="477"/>
      <c r="K323" s="477"/>
      <c r="M323" s="343" t="str">
        <f>+M315</f>
        <v>Y</v>
      </c>
    </row>
    <row r="324" spans="2:21">
      <c r="B324" s="364" t="str">
        <f>+CONCATENATE(O324,P324)</f>
        <v>As at 31 December, 2016</v>
      </c>
      <c r="C324" s="478">
        <f>SUM(C320:C322)</f>
        <v>0</v>
      </c>
      <c r="D324" s="477"/>
      <c r="E324" s="478">
        <f>SUM(E320:E322)</f>
        <v>0</v>
      </c>
      <c r="F324" s="477"/>
      <c r="G324" s="478">
        <f>SUM(G320:G322)</f>
        <v>0</v>
      </c>
      <c r="H324" s="477"/>
      <c r="I324" s="478">
        <f>SUM(I320:I322)</f>
        <v>0</v>
      </c>
      <c r="J324" s="477"/>
      <c r="K324" s="478">
        <f>SUM(K320:K322)</f>
        <v>0</v>
      </c>
      <c r="M324" s="343" t="str">
        <f>+IF(Control!D32=1,"Y","N")</f>
        <v>Y</v>
      </c>
      <c r="N324" s="507"/>
      <c r="O324" s="311" t="s">
        <v>876</v>
      </c>
      <c r="P324" s="311" t="str">
        <f>TEXT(Control!D12, "d mmmm, yyyy")</f>
        <v>31 December, 2016</v>
      </c>
      <c r="R324" s="311">
        <f>+IF(C324=0,0,1)</f>
        <v>0</v>
      </c>
      <c r="S324" s="311">
        <f>+IF(E324=0,0,1)</f>
        <v>0</v>
      </c>
      <c r="T324" s="311">
        <f>+IF(G324=0,0,1)</f>
        <v>0</v>
      </c>
      <c r="U324" s="311">
        <f>+IF(I324=0,0,1)</f>
        <v>0</v>
      </c>
    </row>
    <row r="325" spans="2:21" ht="15.75">
      <c r="B325" s="371"/>
      <c r="C325" s="477"/>
      <c r="D325" s="477"/>
      <c r="E325" s="477"/>
      <c r="F325" s="477"/>
      <c r="G325" s="477"/>
      <c r="H325" s="477"/>
      <c r="I325" s="477"/>
      <c r="J325" s="477"/>
      <c r="K325" s="477"/>
      <c r="M325" s="343" t="str">
        <f>+IF(Control!D32=1,"Y","N")</f>
        <v>Y</v>
      </c>
    </row>
    <row r="326" spans="2:21" ht="15.75">
      <c r="B326" s="476" t="s">
        <v>878</v>
      </c>
      <c r="C326" s="477"/>
      <c r="D326" s="477"/>
      <c r="E326" s="477"/>
      <c r="F326" s="477"/>
      <c r="G326" s="477"/>
      <c r="H326" s="477"/>
      <c r="I326" s="477"/>
      <c r="J326" s="477"/>
      <c r="K326" s="477"/>
      <c r="M326" s="343" t="str">
        <f>+IF(Control!D32=1,"Y","N")</f>
        <v>Y</v>
      </c>
    </row>
    <row r="327" spans="2:21">
      <c r="B327" s="364" t="str">
        <f>+CONCATENATE(O327,P327)</f>
        <v>As at 2 March, 2014</v>
      </c>
      <c r="C327" s="477">
        <v>0</v>
      </c>
      <c r="D327" s="477"/>
      <c r="E327" s="477">
        <v>0</v>
      </c>
      <c r="F327" s="477"/>
      <c r="G327" s="477">
        <v>0</v>
      </c>
      <c r="H327" s="477"/>
      <c r="I327" s="477">
        <v>0</v>
      </c>
      <c r="J327" s="477"/>
      <c r="K327" s="477">
        <f>+C327+E327+G327+I327</f>
        <v>0</v>
      </c>
      <c r="M327" s="343" t="str">
        <f>+IF(Control!D32=1,"Y","N")</f>
        <v>Y</v>
      </c>
      <c r="O327" s="311" t="s">
        <v>876</v>
      </c>
      <c r="P327" s="311" t="str">
        <f>TEXT(Control!D11, "d mmmm, yyyy")</f>
        <v>2 March, 2014</v>
      </c>
      <c r="R327" s="311">
        <f>+IF(C327=0,0,1)</f>
        <v>0</v>
      </c>
      <c r="S327" s="311">
        <f>+IF(E327=0,0,1)</f>
        <v>0</v>
      </c>
      <c r="T327" s="311">
        <f>+IF(G327=0,0,1)</f>
        <v>0</v>
      </c>
      <c r="U327" s="311">
        <f>+IF(I327=0,0,1)</f>
        <v>0</v>
      </c>
    </row>
    <row r="328" spans="2:21" ht="15.75">
      <c r="B328" s="372" t="str">
        <f>+CONCATENATE(O328,P328)</f>
        <v>Charge for the period</v>
      </c>
      <c r="C328" s="477">
        <v>0</v>
      </c>
      <c r="D328" s="477"/>
      <c r="E328" s="477">
        <v>0</v>
      </c>
      <c r="F328" s="477"/>
      <c r="G328" s="477">
        <v>0</v>
      </c>
      <c r="H328" s="477"/>
      <c r="I328" s="477">
        <v>0</v>
      </c>
      <c r="J328" s="477"/>
      <c r="K328" s="477">
        <f>+C328+E328+G328+I328</f>
        <v>0</v>
      </c>
      <c r="M328" s="343" t="str">
        <f>+IF(Control!D32=1,"Y","N")</f>
        <v>Y</v>
      </c>
      <c r="O328" s="311" t="s">
        <v>1278</v>
      </c>
      <c r="P328" s="311" t="str">
        <f>+Control!E8</f>
        <v>period</v>
      </c>
      <c r="R328" s="311">
        <f>+IF(C328=0,0,1)</f>
        <v>0</v>
      </c>
      <c r="S328" s="311">
        <f>+IF(E328=0,0,1)</f>
        <v>0</v>
      </c>
      <c r="T328" s="311">
        <f>+IF(G328=0,0,1)</f>
        <v>0</v>
      </c>
      <c r="U328" s="311">
        <f>+IF(I328=0,0,1)</f>
        <v>0</v>
      </c>
    </row>
    <row r="329" spans="2:21">
      <c r="B329" s="364" t="s">
        <v>1232</v>
      </c>
      <c r="C329" s="477">
        <v>0</v>
      </c>
      <c r="D329" s="477"/>
      <c r="E329" s="477">
        <v>0</v>
      </c>
      <c r="F329" s="477"/>
      <c r="G329" s="477">
        <v>0</v>
      </c>
      <c r="H329" s="477"/>
      <c r="I329" s="477">
        <v>0</v>
      </c>
      <c r="J329" s="477"/>
      <c r="K329" s="477">
        <f>+C329+E329+G329+I329</f>
        <v>0</v>
      </c>
      <c r="M329" s="343" t="str">
        <f>+IF(Control!D32=1,IF(SUM(C329:K329)=0,"N","Y"),"N")</f>
        <v>N</v>
      </c>
      <c r="R329" s="311">
        <f>+IF(C329=0,0,1)</f>
        <v>0</v>
      </c>
      <c r="S329" s="311">
        <f>+IF(E329=0,0,1)</f>
        <v>0</v>
      </c>
      <c r="T329" s="311">
        <f>+IF(G329=0,0,1)</f>
        <v>0</v>
      </c>
      <c r="U329" s="311">
        <f>+IF(I329=0,0,1)</f>
        <v>0</v>
      </c>
    </row>
    <row r="330" spans="2:21">
      <c r="B330" s="364"/>
      <c r="C330" s="477"/>
      <c r="D330" s="477"/>
      <c r="E330" s="477"/>
      <c r="F330" s="477"/>
      <c r="G330" s="477"/>
      <c r="H330" s="477"/>
      <c r="I330" s="477"/>
      <c r="J330" s="477"/>
      <c r="K330" s="477"/>
      <c r="M330" s="343" t="str">
        <f>+M315</f>
        <v>Y</v>
      </c>
    </row>
    <row r="331" spans="2:21">
      <c r="B331" s="364" t="str">
        <f>+CONCATENATE(O331,P331)</f>
        <v>As at 31 December, 2016</v>
      </c>
      <c r="C331" s="478">
        <f>SUM(C327:C329)</f>
        <v>0</v>
      </c>
      <c r="D331" s="477"/>
      <c r="E331" s="478">
        <f>SUM(E327:E329)</f>
        <v>0</v>
      </c>
      <c r="F331" s="477"/>
      <c r="G331" s="478">
        <f>SUM(G327:G329)</f>
        <v>0</v>
      </c>
      <c r="H331" s="477"/>
      <c r="I331" s="478">
        <f>SUM(I327:I329)</f>
        <v>0</v>
      </c>
      <c r="J331" s="477"/>
      <c r="K331" s="478">
        <f>SUM(K327:K329)</f>
        <v>0</v>
      </c>
      <c r="M331" s="343" t="str">
        <f>+IF(Control!D32=1,"Y","N")</f>
        <v>Y</v>
      </c>
      <c r="O331" s="311" t="s">
        <v>876</v>
      </c>
      <c r="P331" s="311" t="str">
        <f>TEXT(Control!D12, "d mmmm, yyyy")</f>
        <v>31 December, 2016</v>
      </c>
      <c r="R331" s="311">
        <f>+IF(C331=0,0,1)</f>
        <v>0</v>
      </c>
      <c r="S331" s="311">
        <f>+IF(E331=0,0,1)</f>
        <v>0</v>
      </c>
      <c r="T331" s="311">
        <f>+IF(G331=0,0,1)</f>
        <v>0</v>
      </c>
      <c r="U331" s="311">
        <f>+IF(I331=0,0,1)</f>
        <v>0</v>
      </c>
    </row>
    <row r="332" spans="2:21" ht="15.75">
      <c r="B332" s="372"/>
      <c r="C332" s="477"/>
      <c r="D332" s="477"/>
      <c r="E332" s="477"/>
      <c r="F332" s="477"/>
      <c r="G332" s="477"/>
      <c r="H332" s="477"/>
      <c r="I332" s="477"/>
      <c r="J332" s="477"/>
      <c r="K332" s="477"/>
      <c r="M332" s="343" t="str">
        <f>+IF(Control!D32=1,"Y","N")</f>
        <v>Y</v>
      </c>
    </row>
    <row r="333" spans="2:21" ht="15.75">
      <c r="B333" s="476" t="s">
        <v>879</v>
      </c>
      <c r="C333" s="477"/>
      <c r="D333" s="477"/>
      <c r="E333" s="477"/>
      <c r="F333" s="477"/>
      <c r="G333" s="477"/>
      <c r="H333" s="477"/>
      <c r="I333" s="477"/>
      <c r="J333" s="477"/>
      <c r="K333" s="477"/>
      <c r="M333" s="343" t="str">
        <f>+IF(Control!D32=1,"Y","N")</f>
        <v>Y</v>
      </c>
    </row>
    <row r="334" spans="2:21" ht="15.75" thickBot="1">
      <c r="B334" s="364" t="str">
        <f>+CONCATENATE(O334,P334)</f>
        <v>As at 31 December, 2016</v>
      </c>
      <c r="C334" s="479">
        <f>+C324-C331</f>
        <v>0</v>
      </c>
      <c r="D334" s="477"/>
      <c r="E334" s="479">
        <f>+E324-E331</f>
        <v>0</v>
      </c>
      <c r="F334" s="477"/>
      <c r="G334" s="479">
        <f>+G324-G331</f>
        <v>0</v>
      </c>
      <c r="H334" s="477"/>
      <c r="I334" s="479">
        <f>+I324-I331</f>
        <v>0</v>
      </c>
      <c r="J334" s="477"/>
      <c r="K334" s="479">
        <f>+K324-K331</f>
        <v>0</v>
      </c>
      <c r="M334" s="343" t="str">
        <f>+IF(Control!D32=1,"Y","N")</f>
        <v>Y</v>
      </c>
      <c r="O334" s="311" t="s">
        <v>876</v>
      </c>
      <c r="P334" s="311" t="str">
        <f>TEXT(Control!D12, "d mmmm, yyyy")</f>
        <v>31 December, 2016</v>
      </c>
      <c r="R334" s="311">
        <f>+IF(C334=0,0,1)</f>
        <v>0</v>
      </c>
      <c r="S334" s="311">
        <f>+IF(E334=0,0,1)</f>
        <v>0</v>
      </c>
      <c r="T334" s="311">
        <f>+IF(G334=0,0,1)</f>
        <v>0</v>
      </c>
      <c r="U334" s="311">
        <f>+IF(I334=0,0,1)</f>
        <v>0</v>
      </c>
    </row>
    <row r="335" spans="2:21" ht="16.5" thickTop="1">
      <c r="B335" s="372"/>
      <c r="C335" s="477"/>
      <c r="D335" s="477"/>
      <c r="E335" s="477"/>
      <c r="F335" s="477"/>
      <c r="G335" s="477"/>
      <c r="H335" s="477"/>
      <c r="I335" s="477"/>
      <c r="J335" s="477"/>
      <c r="K335" s="477"/>
      <c r="M335" s="343" t="str">
        <f>+IF(Control!D32=1,"Y","N")</f>
        <v>Y</v>
      </c>
    </row>
    <row r="336" spans="2:21" ht="15.75" thickBot="1">
      <c r="B336" s="364" t="str">
        <f>+CONCATENATE(O336,P336)</f>
        <v>As at 31 December, 2016</v>
      </c>
      <c r="C336" s="479">
        <f>+C320-C327</f>
        <v>0</v>
      </c>
      <c r="D336" s="477"/>
      <c r="E336" s="479">
        <f>+E320-E327</f>
        <v>0</v>
      </c>
      <c r="F336" s="477"/>
      <c r="G336" s="479">
        <f>+G320-G327</f>
        <v>0</v>
      </c>
      <c r="H336" s="477"/>
      <c r="I336" s="479">
        <f>+I320-I327</f>
        <v>0</v>
      </c>
      <c r="J336" s="477"/>
      <c r="K336" s="479">
        <f>SUM(C336:I336)</f>
        <v>0</v>
      </c>
      <c r="M336" s="343" t="str">
        <f>+IF(Control!D30=1,"N",(IF(Control!D32=1,"Y","N")))</f>
        <v>Y</v>
      </c>
      <c r="O336" s="311" t="s">
        <v>876</v>
      </c>
      <c r="P336" s="311" t="str">
        <f>TEXT(Control!G12, "d mmmm, yyyy")</f>
        <v>31 December, 2016</v>
      </c>
      <c r="R336" s="695">
        <f>+IF(C336=0,0,1)</f>
        <v>0</v>
      </c>
      <c r="S336" s="311">
        <f>+IF(E336=0,0,1)</f>
        <v>0</v>
      </c>
      <c r="T336" s="311">
        <f>+IF(G336=0,0,1)</f>
        <v>0</v>
      </c>
      <c r="U336" s="311">
        <f>+IF(I336=0,0,1)</f>
        <v>0</v>
      </c>
    </row>
    <row r="337" spans="1:21" ht="15.75" thickTop="1">
      <c r="M337" s="343" t="str">
        <f>+M336</f>
        <v>Y</v>
      </c>
      <c r="R337" s="311">
        <f>SUM(R320:R336)</f>
        <v>0</v>
      </c>
      <c r="S337" s="311">
        <f>SUM(S320:S336)</f>
        <v>0</v>
      </c>
      <c r="T337" s="311">
        <f>SUM(T320:T336)</f>
        <v>0</v>
      </c>
      <c r="U337" s="311">
        <f>SUM(U320:U336)</f>
        <v>0</v>
      </c>
    </row>
    <row r="338" spans="1:21">
      <c r="L338" s="312" t="str">
        <f>+IF(Control!D32=1,"table end"," ")</f>
        <v>table end</v>
      </c>
      <c r="M338" s="343" t="str">
        <f>+IF(Control!D32=1,"","N")</f>
        <v/>
      </c>
    </row>
    <row r="339" spans="1:21">
      <c r="M339" s="343" t="str">
        <f>+IF(Control!D32=1,"Y","N")</f>
        <v>Y</v>
      </c>
    </row>
    <row r="340" spans="1:21">
      <c r="A340" s="561" t="s">
        <v>1506</v>
      </c>
      <c r="M340" s="343" t="s">
        <v>1504</v>
      </c>
      <c r="O340" s="311" t="s">
        <v>1505</v>
      </c>
    </row>
    <row r="341" spans="1:21">
      <c r="M341" s="343" t="s">
        <v>1504</v>
      </c>
    </row>
    <row r="342" spans="1:21">
      <c r="A342" s="423" t="s">
        <v>1868</v>
      </c>
      <c r="B342" s="561"/>
      <c r="L342" s="312" t="s">
        <v>809</v>
      </c>
      <c r="M342" s="525" t="str">
        <f>+Section4!G13</f>
        <v>N</v>
      </c>
      <c r="N342" s="347" t="s">
        <v>1855</v>
      </c>
    </row>
    <row r="343" spans="1:21">
      <c r="B343" s="561"/>
      <c r="M343" s="525" t="str">
        <f>+M342</f>
        <v>N</v>
      </c>
    </row>
    <row r="344" spans="1:21">
      <c r="A344" s="330">
        <v>18</v>
      </c>
      <c r="B344" s="346">
        <v>180</v>
      </c>
      <c r="C344" s="346">
        <v>50</v>
      </c>
      <c r="D344" s="346">
        <v>20</v>
      </c>
      <c r="E344" s="346">
        <v>90</v>
      </c>
      <c r="F344" s="346">
        <v>20</v>
      </c>
      <c r="G344" s="346">
        <v>90</v>
      </c>
      <c r="H344" s="346">
        <v>20</v>
      </c>
      <c r="I344" s="346">
        <v>90</v>
      </c>
      <c r="L344" s="312" t="str">
        <f>+IF(M342="N","","table start")</f>
        <v/>
      </c>
      <c r="M344" s="525" t="str">
        <f>+IF(M342="N","N","14")</f>
        <v>N</v>
      </c>
    </row>
    <row r="345" spans="1:21">
      <c r="E345" s="751" t="s">
        <v>1863</v>
      </c>
      <c r="F345" s="382"/>
      <c r="G345" s="382"/>
      <c r="H345" s="382"/>
      <c r="I345" s="382"/>
      <c r="M345" s="525" t="str">
        <f>+M342</f>
        <v>N</v>
      </c>
    </row>
    <row r="346" spans="1:21">
      <c r="E346" s="752" t="s">
        <v>1864</v>
      </c>
      <c r="F346" s="382"/>
      <c r="G346" s="752" t="s">
        <v>1865</v>
      </c>
      <c r="H346" s="382"/>
      <c r="I346" s="752" t="s">
        <v>1866</v>
      </c>
      <c r="M346" s="525" t="str">
        <f>+M342</f>
        <v>N</v>
      </c>
    </row>
    <row r="347" spans="1:21">
      <c r="B347" s="423" t="s">
        <v>1857</v>
      </c>
      <c r="M347" s="525" t="str">
        <f>+M342</f>
        <v>N</v>
      </c>
    </row>
    <row r="348" spans="1:21">
      <c r="B348" s="561" t="s">
        <v>1869</v>
      </c>
      <c r="M348" s="525" t="str">
        <f>+M342</f>
        <v>N</v>
      </c>
    </row>
    <row r="349" spans="1:21">
      <c r="B349" s="561" t="s">
        <v>1858</v>
      </c>
      <c r="E349" s="690">
        <v>9117000</v>
      </c>
      <c r="F349" s="424"/>
      <c r="G349" s="690">
        <v>265000</v>
      </c>
      <c r="H349" s="424"/>
      <c r="I349" s="690">
        <f>+E349+G349</f>
        <v>9382000</v>
      </c>
      <c r="J349" s="424"/>
      <c r="M349" s="525" t="str">
        <f>+M342</f>
        <v>N</v>
      </c>
    </row>
    <row r="350" spans="1:21">
      <c r="B350" s="561"/>
      <c r="E350" s="424"/>
      <c r="F350" s="424"/>
      <c r="G350" s="424"/>
      <c r="H350" s="424"/>
      <c r="I350" s="424"/>
      <c r="J350" s="424"/>
      <c r="M350" s="525" t="str">
        <f>+M342</f>
        <v>N</v>
      </c>
    </row>
    <row r="351" spans="1:21">
      <c r="B351" s="423" t="s">
        <v>1859</v>
      </c>
      <c r="E351" s="424"/>
      <c r="F351" s="424"/>
      <c r="G351" s="424"/>
      <c r="H351" s="424"/>
      <c r="I351" s="424"/>
      <c r="J351" s="424"/>
      <c r="M351" s="525" t="str">
        <f>+M342</f>
        <v>N</v>
      </c>
    </row>
    <row r="352" spans="1:21">
      <c r="B352" s="561" t="s">
        <v>1860</v>
      </c>
      <c r="E352" s="424"/>
      <c r="F352" s="424"/>
      <c r="G352" s="424"/>
      <c r="H352" s="424"/>
      <c r="I352" s="424"/>
      <c r="J352" s="424"/>
      <c r="M352" s="525" t="str">
        <f>+M342</f>
        <v>N</v>
      </c>
    </row>
    <row r="353" spans="1:16">
      <c r="B353" s="561" t="s">
        <v>1858</v>
      </c>
      <c r="E353" s="690">
        <v>0</v>
      </c>
      <c r="F353" s="424"/>
      <c r="G353" s="690">
        <v>79500</v>
      </c>
      <c r="H353" s="424"/>
      <c r="I353" s="690">
        <f>+E353+G353</f>
        <v>79500</v>
      </c>
      <c r="J353" s="424"/>
      <c r="M353" s="525" t="str">
        <f>+M342</f>
        <v>N</v>
      </c>
    </row>
    <row r="354" spans="1:16">
      <c r="B354" s="561"/>
      <c r="E354" s="424"/>
      <c r="F354" s="424"/>
      <c r="G354" s="424"/>
      <c r="H354" s="424"/>
      <c r="I354" s="424"/>
      <c r="J354" s="424"/>
      <c r="M354" s="525" t="str">
        <f>+M342</f>
        <v>N</v>
      </c>
    </row>
    <row r="355" spans="1:16">
      <c r="B355" s="423" t="s">
        <v>1861</v>
      </c>
      <c r="E355" s="424"/>
      <c r="F355" s="424"/>
      <c r="G355" s="424"/>
      <c r="H355" s="424"/>
      <c r="I355" s="424"/>
      <c r="J355" s="424"/>
      <c r="M355" s="525" t="str">
        <f>+M342</f>
        <v>N</v>
      </c>
    </row>
    <row r="356" spans="1:16" ht="15.75" thickBot="1">
      <c r="B356" s="561" t="s">
        <v>1862</v>
      </c>
      <c r="E356" s="384">
        <f>+E349-E353</f>
        <v>9117000</v>
      </c>
      <c r="F356" s="424"/>
      <c r="G356" s="384">
        <f>+G349-G353</f>
        <v>185500</v>
      </c>
      <c r="H356" s="424"/>
      <c r="I356" s="384">
        <f>+I349-I353</f>
        <v>9302500</v>
      </c>
      <c r="J356" s="424"/>
      <c r="M356" s="525" t="str">
        <f>+M342</f>
        <v>N</v>
      </c>
    </row>
    <row r="357" spans="1:16" ht="15.75" thickTop="1">
      <c r="B357" s="561"/>
      <c r="E357" s="424"/>
      <c r="F357" s="424"/>
      <c r="G357" s="424"/>
      <c r="H357" s="424"/>
      <c r="I357" s="424"/>
      <c r="J357" s="424"/>
      <c r="L357" s="312" t="str">
        <f>+IF(M342="N","","table end")</f>
        <v/>
      </c>
      <c r="M357" s="525" t="str">
        <f>+IF(M342="N","N","")</f>
        <v>N</v>
      </c>
    </row>
    <row r="358" spans="1:16">
      <c r="B358" s="561" t="s">
        <v>1870</v>
      </c>
      <c r="E358" s="424"/>
      <c r="F358" s="424"/>
      <c r="G358" s="424"/>
      <c r="H358" s="424"/>
      <c r="I358" s="424"/>
      <c r="J358" s="424"/>
      <c r="M358" s="525" t="s">
        <v>1850</v>
      </c>
    </row>
    <row r="359" spans="1:16">
      <c r="B359" s="561"/>
      <c r="E359" s="424"/>
      <c r="F359" s="424"/>
      <c r="G359" s="424"/>
      <c r="H359" s="424"/>
      <c r="I359" s="424"/>
      <c r="J359" s="424"/>
      <c r="M359" s="525" t="s">
        <v>1867</v>
      </c>
    </row>
    <row r="360" spans="1:16">
      <c r="A360" s="423" t="str">
        <f>+UPPER(Section4!A14)</f>
        <v>INVESTMENT IN A SUBSIDIARY</v>
      </c>
      <c r="L360" s="312" t="s">
        <v>809</v>
      </c>
      <c r="M360" s="525" t="str">
        <f>+Section4!G14</f>
        <v>N</v>
      </c>
      <c r="N360" s="311" t="s">
        <v>809</v>
      </c>
    </row>
    <row r="361" spans="1:16">
      <c r="M361" s="525" t="str">
        <f>+M360</f>
        <v>N</v>
      </c>
    </row>
    <row r="362" spans="1:16">
      <c r="A362" s="330">
        <v>18</v>
      </c>
      <c r="B362" s="346">
        <v>180</v>
      </c>
      <c r="C362" s="346">
        <v>50</v>
      </c>
      <c r="D362" s="346">
        <v>20</v>
      </c>
      <c r="E362" s="346">
        <v>90</v>
      </c>
      <c r="F362" s="346">
        <v>20</v>
      </c>
      <c r="G362" s="346">
        <v>90</v>
      </c>
      <c r="L362" s="312" t="str">
        <f>+IF(M360="N","","table start")</f>
        <v/>
      </c>
      <c r="M362" s="525" t="str">
        <f>+IF(M360="N","N","14")</f>
        <v>N</v>
      </c>
    </row>
    <row r="363" spans="1:16">
      <c r="M363" s="525" t="str">
        <f>+M360</f>
        <v>N</v>
      </c>
    </row>
    <row r="364" spans="1:16">
      <c r="E364" s="418" t="str">
        <f>E506</f>
        <v>31.12.2016</v>
      </c>
      <c r="F364" s="421"/>
      <c r="G364" s="418" t="str">
        <f>G506</f>
        <v>31.12.2016</v>
      </c>
      <c r="M364" s="525" t="str">
        <f>+M360</f>
        <v>N</v>
      </c>
    </row>
    <row r="365" spans="1:16">
      <c r="M365" s="525" t="str">
        <f>+M360</f>
        <v>N</v>
      </c>
    </row>
    <row r="366" spans="1:16">
      <c r="B366" s="561" t="s">
        <v>1742</v>
      </c>
      <c r="E366" s="424">
        <v>0</v>
      </c>
      <c r="F366" s="424"/>
      <c r="G366" s="424">
        <v>0</v>
      </c>
      <c r="M366" s="525" t="str">
        <f>+M360</f>
        <v>N</v>
      </c>
    </row>
    <row r="367" spans="1:16">
      <c r="B367" s="561" t="s">
        <v>1743</v>
      </c>
      <c r="E367" s="424">
        <v>0</v>
      </c>
      <c r="F367" s="424"/>
      <c r="G367" s="424">
        <v>0</v>
      </c>
      <c r="M367" s="343" t="str">
        <f>+IF(M361="Y",IF(O367+P367=0,"N","Y"),"N")</f>
        <v>N</v>
      </c>
      <c r="O367" s="311">
        <f>+IF(E367&gt;0,1,0)</f>
        <v>0</v>
      </c>
      <c r="P367" s="311">
        <f>+IF(G367&gt;0,1,0)</f>
        <v>0</v>
      </c>
    </row>
    <row r="368" spans="1:16">
      <c r="B368" s="561" t="s">
        <v>1744</v>
      </c>
      <c r="E368" s="690">
        <v>0</v>
      </c>
      <c r="F368" s="424"/>
      <c r="G368" s="690">
        <v>0</v>
      </c>
      <c r="M368" s="343" t="str">
        <f>+IF(M361="Y",IF(O368+P368=0,"N","Y"),"N")</f>
        <v>N</v>
      </c>
      <c r="O368" s="311">
        <f>+IF(E368&gt;0,1,0)</f>
        <v>0</v>
      </c>
      <c r="P368" s="311">
        <f>+IF(G368&gt;0,1,0)</f>
        <v>0</v>
      </c>
    </row>
    <row r="369" spans="1:14" ht="15.75" thickBot="1">
      <c r="E369" s="506">
        <f>SUM(E366:E368)</f>
        <v>0</v>
      </c>
      <c r="F369" s="424"/>
      <c r="G369" s="506">
        <f>SUM(G366:G368)</f>
        <v>0</v>
      </c>
      <c r="M369" s="525" t="str">
        <f>+M360</f>
        <v>N</v>
      </c>
    </row>
    <row r="370" spans="1:14" ht="15.75" thickTop="1">
      <c r="L370" s="312" t="str">
        <f>+IF(M360="N","","table end")</f>
        <v/>
      </c>
      <c r="M370" s="343" t="str">
        <f>+IF(M360="N","N","")</f>
        <v>N</v>
      </c>
    </row>
    <row r="371" spans="1:14">
      <c r="M371" s="525" t="str">
        <f>+M360</f>
        <v>N</v>
      </c>
    </row>
    <row r="372" spans="1:14">
      <c r="B372" s="330" t="str">
        <f>+IF(N372="S","Particulars of the principal subsidiaries are as follows:","Particulars of the principal subsidiary is as follows:")</f>
        <v>Particulars of the principal subsidiary is as follows:</v>
      </c>
      <c r="M372" s="525" t="str">
        <f>+M360</f>
        <v>N</v>
      </c>
      <c r="N372" s="347" t="str">
        <f>+RIGHT(A360,1)</f>
        <v>Y</v>
      </c>
    </row>
    <row r="373" spans="1:14">
      <c r="A373" s="330">
        <v>18</v>
      </c>
      <c r="B373" s="346">
        <v>100</v>
      </c>
      <c r="C373" s="311">
        <v>100</v>
      </c>
      <c r="D373" s="330">
        <v>20</v>
      </c>
      <c r="E373" s="330">
        <v>100</v>
      </c>
      <c r="F373" s="330">
        <v>20</v>
      </c>
      <c r="G373" s="330">
        <v>100</v>
      </c>
      <c r="H373" s="330">
        <v>20</v>
      </c>
      <c r="I373" s="330">
        <v>100</v>
      </c>
      <c r="L373" s="312" t="str">
        <f>+IF(M360="N","","table start")</f>
        <v/>
      </c>
      <c r="M373" s="343" t="str">
        <f>+IF(M360="N","N","14")</f>
        <v>N</v>
      </c>
    </row>
    <row r="374" spans="1:14">
      <c r="B374" s="561"/>
      <c r="G374" s="561" t="s">
        <v>1750</v>
      </c>
      <c r="M374" s="525" t="str">
        <f>+M360</f>
        <v>N</v>
      </c>
    </row>
    <row r="375" spans="1:14">
      <c r="G375" s="691" t="s">
        <v>1785</v>
      </c>
      <c r="M375" s="525" t="str">
        <f>+M360</f>
        <v>N</v>
      </c>
    </row>
    <row r="376" spans="1:14">
      <c r="B376" s="311"/>
      <c r="C376" s="561" t="s">
        <v>1746</v>
      </c>
      <c r="E376" s="561" t="s">
        <v>1748</v>
      </c>
      <c r="G376" s="561" t="s">
        <v>1751</v>
      </c>
      <c r="I376" s="561" t="s">
        <v>1752</v>
      </c>
      <c r="M376" s="525" t="str">
        <f>+M360</f>
        <v>N</v>
      </c>
    </row>
    <row r="377" spans="1:14">
      <c r="B377" s="694" t="s">
        <v>1745</v>
      </c>
      <c r="C377" s="692" t="s">
        <v>1747</v>
      </c>
      <c r="E377" s="693" t="s">
        <v>1749</v>
      </c>
      <c r="G377" s="693" t="s">
        <v>1786</v>
      </c>
      <c r="I377" s="693" t="s">
        <v>1753</v>
      </c>
      <c r="M377" s="525" t="str">
        <f>+M360</f>
        <v>N</v>
      </c>
    </row>
    <row r="378" spans="1:14">
      <c r="M378" s="525" t="str">
        <f>+M360</f>
        <v>N</v>
      </c>
    </row>
    <row r="379" spans="1:14">
      <c r="B379" s="561" t="s">
        <v>1754</v>
      </c>
      <c r="C379" s="561" t="s">
        <v>1755</v>
      </c>
      <c r="E379" s="561" t="s">
        <v>1756</v>
      </c>
      <c r="G379" s="561" t="s">
        <v>1757</v>
      </c>
      <c r="I379" s="561" t="s">
        <v>1758</v>
      </c>
      <c r="M379" s="525" t="str">
        <f>+M360</f>
        <v>N</v>
      </c>
    </row>
    <row r="380" spans="1:14">
      <c r="L380" s="312" t="str">
        <f>+L370</f>
        <v/>
      </c>
      <c r="M380" s="525" t="str">
        <f>+M370</f>
        <v>N</v>
      </c>
    </row>
    <row r="381" spans="1:14">
      <c r="M381" s="525" t="str">
        <f>+M360</f>
        <v>N</v>
      </c>
    </row>
    <row r="382" spans="1:14">
      <c r="B382" s="561" t="s">
        <v>1784</v>
      </c>
      <c r="M382" s="525" t="s">
        <v>1283</v>
      </c>
      <c r="N382" s="347" t="s">
        <v>1783</v>
      </c>
    </row>
    <row r="383" spans="1:14">
      <c r="B383" s="561" t="s">
        <v>2058</v>
      </c>
      <c r="M383" s="525" t="s">
        <v>1283</v>
      </c>
      <c r="N383" s="347" t="s">
        <v>1783</v>
      </c>
    </row>
    <row r="384" spans="1:14">
      <c r="B384" s="561"/>
      <c r="M384" s="525" t="s">
        <v>1283</v>
      </c>
    </row>
    <row r="385" spans="1:16">
      <c r="A385" s="423" t="str">
        <f>+UPPER(Section4!A15)</f>
        <v>INVESTMENT IN AN ASSOCIATE</v>
      </c>
      <c r="L385" s="312" t="s">
        <v>809</v>
      </c>
      <c r="M385" s="525" t="str">
        <f>+Section4!G15</f>
        <v>N</v>
      </c>
      <c r="N385" s="311" t="s">
        <v>809</v>
      </c>
    </row>
    <row r="386" spans="1:16">
      <c r="M386" s="525" t="str">
        <f>+M385</f>
        <v>N</v>
      </c>
    </row>
    <row r="387" spans="1:16">
      <c r="A387" s="330">
        <v>18</v>
      </c>
      <c r="B387" s="346">
        <v>180</v>
      </c>
      <c r="C387" s="346">
        <v>50</v>
      </c>
      <c r="D387" s="346">
        <v>20</v>
      </c>
      <c r="E387" s="346">
        <v>90</v>
      </c>
      <c r="F387" s="346">
        <v>20</v>
      </c>
      <c r="G387" s="346">
        <v>90</v>
      </c>
      <c r="L387" s="312" t="str">
        <f>+IF(M385="N","","table start")</f>
        <v/>
      </c>
      <c r="M387" s="525" t="str">
        <f>+IF(M385="N","N","14")</f>
        <v>N</v>
      </c>
    </row>
    <row r="388" spans="1:16">
      <c r="M388" s="525" t="str">
        <f>+M385</f>
        <v>N</v>
      </c>
    </row>
    <row r="389" spans="1:16">
      <c r="E389" s="418" t="str">
        <f>E506</f>
        <v>31.12.2016</v>
      </c>
      <c r="F389" s="421"/>
      <c r="G389" s="418" t="str">
        <f>G506</f>
        <v>31.12.2016</v>
      </c>
      <c r="M389" s="525" t="str">
        <f>+M385</f>
        <v>N</v>
      </c>
    </row>
    <row r="390" spans="1:16">
      <c r="M390" s="525" t="str">
        <f>+M385</f>
        <v>N</v>
      </c>
    </row>
    <row r="391" spans="1:16">
      <c r="B391" s="561" t="s">
        <v>1742</v>
      </c>
      <c r="E391" s="424">
        <v>0</v>
      </c>
      <c r="F391" s="424"/>
      <c r="G391" s="424">
        <v>0</v>
      </c>
      <c r="M391" s="525" t="str">
        <f>+M385</f>
        <v>N</v>
      </c>
    </row>
    <row r="392" spans="1:16">
      <c r="B392" s="561" t="s">
        <v>1743</v>
      </c>
      <c r="E392" s="424">
        <v>0</v>
      </c>
      <c r="F392" s="424"/>
      <c r="G392" s="424">
        <v>0</v>
      </c>
      <c r="M392" s="343" t="str">
        <f>+IF(M386="Y",IF(O392+P392=0,"N","Y"),"N")</f>
        <v>N</v>
      </c>
      <c r="O392" s="311">
        <f>+IF(E392&gt;0,1,0)</f>
        <v>0</v>
      </c>
      <c r="P392" s="311">
        <f>+IF(G392&gt;0,1,0)</f>
        <v>0</v>
      </c>
    </row>
    <row r="393" spans="1:16">
      <c r="B393" s="561" t="s">
        <v>1744</v>
      </c>
      <c r="E393" s="690">
        <v>0</v>
      </c>
      <c r="F393" s="424"/>
      <c r="G393" s="690">
        <v>0</v>
      </c>
      <c r="M393" s="343" t="str">
        <f>+IF(M386="Y",IF(O393+P393=0,"N","Y"),"N")</f>
        <v>N</v>
      </c>
      <c r="O393" s="311">
        <f>+IF(E393&gt;0,1,0)</f>
        <v>0</v>
      </c>
      <c r="P393" s="311">
        <f>+IF(G393&gt;0,1,0)</f>
        <v>0</v>
      </c>
    </row>
    <row r="394" spans="1:16" ht="15.75" thickBot="1">
      <c r="E394" s="506">
        <f>SUM(E391:E393)</f>
        <v>0</v>
      </c>
      <c r="F394" s="424"/>
      <c r="G394" s="506">
        <f>SUM(G391:G393)</f>
        <v>0</v>
      </c>
      <c r="M394" s="525" t="str">
        <f>+M385</f>
        <v>N</v>
      </c>
    </row>
    <row r="395" spans="1:16" ht="15.75" thickTop="1">
      <c r="L395" s="312" t="str">
        <f>+IF(M385="N","","table end")</f>
        <v/>
      </c>
      <c r="M395" s="343" t="str">
        <f>+IF(M385="N","N","")</f>
        <v>N</v>
      </c>
    </row>
    <row r="396" spans="1:16">
      <c r="M396" s="525" t="str">
        <f>+M385</f>
        <v>N</v>
      </c>
    </row>
    <row r="397" spans="1:16">
      <c r="B397" s="330" t="str">
        <f>+IF(N397="S","Particulars of the principal associates are as follows:","Particulars of the principal associate is as follows:")</f>
        <v>Particulars of the principal associate is as follows:</v>
      </c>
      <c r="M397" s="525" t="str">
        <f>+M385</f>
        <v>N</v>
      </c>
      <c r="N397" s="347" t="str">
        <f>+RIGHT(A385,1)</f>
        <v>E</v>
      </c>
    </row>
    <row r="398" spans="1:16">
      <c r="A398" s="330">
        <v>18</v>
      </c>
      <c r="B398" s="346">
        <v>100</v>
      </c>
      <c r="C398" s="311">
        <v>100</v>
      </c>
      <c r="D398" s="330">
        <v>20</v>
      </c>
      <c r="E398" s="330">
        <v>100</v>
      </c>
      <c r="F398" s="330">
        <v>20</v>
      </c>
      <c r="G398" s="330">
        <v>100</v>
      </c>
      <c r="H398" s="330">
        <v>20</v>
      </c>
      <c r="I398" s="330">
        <v>100</v>
      </c>
      <c r="L398" s="312" t="str">
        <f>+IF(M385="N","","table start")</f>
        <v/>
      </c>
      <c r="M398" s="343" t="str">
        <f>+IF(M385="N","N","14")</f>
        <v>N</v>
      </c>
    </row>
    <row r="399" spans="1:16">
      <c r="B399" s="561"/>
      <c r="G399" s="561" t="s">
        <v>1750</v>
      </c>
      <c r="M399" s="525" t="str">
        <f>+M385</f>
        <v>N</v>
      </c>
    </row>
    <row r="400" spans="1:16">
      <c r="G400" s="691" t="s">
        <v>1785</v>
      </c>
      <c r="M400" s="525" t="str">
        <f>+M385</f>
        <v>N</v>
      </c>
    </row>
    <row r="401" spans="1:15">
      <c r="B401" s="311"/>
      <c r="C401" s="561" t="s">
        <v>1746</v>
      </c>
      <c r="E401" s="561" t="s">
        <v>1748</v>
      </c>
      <c r="G401" s="561" t="s">
        <v>1751</v>
      </c>
      <c r="I401" s="561" t="s">
        <v>1752</v>
      </c>
      <c r="M401" s="525" t="str">
        <f>+M385</f>
        <v>N</v>
      </c>
    </row>
    <row r="402" spans="1:15">
      <c r="B402" s="694" t="s">
        <v>1745</v>
      </c>
      <c r="C402" s="692" t="s">
        <v>1747</v>
      </c>
      <c r="E402" s="693" t="s">
        <v>1749</v>
      </c>
      <c r="G402" s="693" t="s">
        <v>1786</v>
      </c>
      <c r="I402" s="693" t="s">
        <v>1753</v>
      </c>
      <c r="M402" s="525" t="str">
        <f>+M385</f>
        <v>N</v>
      </c>
    </row>
    <row r="403" spans="1:15">
      <c r="M403" s="525" t="str">
        <f>+M385</f>
        <v>N</v>
      </c>
    </row>
    <row r="404" spans="1:15">
      <c r="B404" s="561" t="s">
        <v>1754</v>
      </c>
      <c r="C404" s="561" t="s">
        <v>1755</v>
      </c>
      <c r="E404" s="561" t="s">
        <v>1756</v>
      </c>
      <c r="G404" s="561" t="s">
        <v>1757</v>
      </c>
      <c r="I404" s="561" t="s">
        <v>1758</v>
      </c>
      <c r="M404" s="525" t="str">
        <f>+M385</f>
        <v>N</v>
      </c>
    </row>
    <row r="405" spans="1:15">
      <c r="L405" s="312" t="str">
        <f>+L395</f>
        <v/>
      </c>
      <c r="M405" s="525" t="str">
        <f>+M395</f>
        <v>N</v>
      </c>
    </row>
    <row r="406" spans="1:15">
      <c r="M406" s="525" t="str">
        <f>+M385</f>
        <v>N</v>
      </c>
    </row>
    <row r="407" spans="1:15">
      <c r="B407" s="561" t="s">
        <v>1784</v>
      </c>
      <c r="M407" s="525" t="s">
        <v>1782</v>
      </c>
      <c r="N407" s="347" t="s">
        <v>1783</v>
      </c>
    </row>
    <row r="408" spans="1:15">
      <c r="B408" s="561"/>
      <c r="M408" s="525" t="s">
        <v>1852</v>
      </c>
    </row>
    <row r="409" spans="1:15">
      <c r="A409" s="423" t="str">
        <f>+UPPER(Section4!J20)</f>
        <v>INVESTMENT ON TRUSTS</v>
      </c>
      <c r="L409" s="312" t="s">
        <v>809</v>
      </c>
      <c r="M409" s="343" t="str">
        <f>+IF(Section4!C20+Section4!E20&gt;0,"Y","N")</f>
        <v>N</v>
      </c>
    </row>
    <row r="410" spans="1:15">
      <c r="M410" s="343" t="str">
        <f>+M409</f>
        <v>N</v>
      </c>
    </row>
    <row r="411" spans="1:15">
      <c r="A411" s="330" t="s">
        <v>1173</v>
      </c>
      <c r="M411" s="343" t="str">
        <f>+M409</f>
        <v>N</v>
      </c>
    </row>
    <row r="412" spans="1:15">
      <c r="A412" s="561" t="s">
        <v>1514</v>
      </c>
      <c r="M412" s="343" t="str">
        <f>+M409</f>
        <v>N</v>
      </c>
      <c r="O412" s="311" t="s">
        <v>1515</v>
      </c>
    </row>
    <row r="413" spans="1:15">
      <c r="M413" s="343" t="str">
        <f>+M409</f>
        <v>N</v>
      </c>
    </row>
    <row r="414" spans="1:15">
      <c r="A414" s="423" t="str">
        <f>+UPPER(Section4!A26)</f>
        <v>AMOUNT DUE FROM AN IMMEDIATE HOLDING COMPANY</v>
      </c>
      <c r="L414" s="312" t="s">
        <v>809</v>
      </c>
      <c r="M414" s="406" t="str">
        <f>+Section4!G26</f>
        <v>N</v>
      </c>
    </row>
    <row r="415" spans="1:15">
      <c r="M415" s="406" t="str">
        <f>M414</f>
        <v>N</v>
      </c>
    </row>
    <row r="416" spans="1:15">
      <c r="A416" s="330" t="s">
        <v>887</v>
      </c>
      <c r="M416" s="312" t="str">
        <f>M415</f>
        <v>N</v>
      </c>
    </row>
    <row r="417" spans="1:19">
      <c r="M417" s="312" t="str">
        <f>M416</f>
        <v>N</v>
      </c>
    </row>
    <row r="418" spans="1:19">
      <c r="M418" s="312" t="str">
        <f>M417</f>
        <v>N</v>
      </c>
    </row>
    <row r="419" spans="1:19">
      <c r="A419" s="331" t="str">
        <f>+UPPER(Section4!A27)</f>
        <v>AMOUNT DUE FROM A DIRECTOR</v>
      </c>
      <c r="L419" s="312" t="s">
        <v>809</v>
      </c>
      <c r="M419" s="406" t="str">
        <f>+Section4!G27</f>
        <v>N</v>
      </c>
      <c r="N419" s="755" t="s">
        <v>1891</v>
      </c>
      <c r="O419" s="400">
        <v>41701</v>
      </c>
      <c r="P419" s="400">
        <f>+Control!D11</f>
        <v>41700</v>
      </c>
      <c r="Q419" s="401">
        <f>+P419-O419</f>
        <v>-1</v>
      </c>
    </row>
    <row r="420" spans="1:19">
      <c r="A420" s="331"/>
      <c r="M420" s="406" t="str">
        <f>+M419</f>
        <v>N</v>
      </c>
    </row>
    <row r="421" spans="1:19">
      <c r="A421" s="330" t="str">
        <f>+CONCATENATE(O421,P421,Q421,R421,S421)</f>
        <v>Particulars of the amount due from a director disclosed pursuant to Section 161B of the Companies Ordinance is as follows:</v>
      </c>
      <c r="M421" s="406" t="str">
        <f>+M419</f>
        <v>N</v>
      </c>
      <c r="N421" s="755" t="s">
        <v>1892</v>
      </c>
      <c r="O421" s="311" t="s">
        <v>880</v>
      </c>
      <c r="P421" s="311" t="str">
        <f>+LOWER(A419)</f>
        <v>amount due from a director</v>
      </c>
      <c r="Q421" s="311" t="s">
        <v>881</v>
      </c>
      <c r="R421" s="311" t="str">
        <f>+IF(Q419&lt;0,"161B","383")</f>
        <v>161B</v>
      </c>
      <c r="S421" s="311" t="s">
        <v>882</v>
      </c>
    </row>
    <row r="422" spans="1:19">
      <c r="M422" s="406" t="str">
        <f>+M419</f>
        <v>N</v>
      </c>
      <c r="N422" s="755" t="s">
        <v>1893</v>
      </c>
      <c r="O422" s="311" t="s">
        <v>1116</v>
      </c>
    </row>
    <row r="423" spans="1:19">
      <c r="A423" s="330">
        <v>18</v>
      </c>
      <c r="B423" s="330">
        <v>110</v>
      </c>
      <c r="C423" s="330">
        <v>10</v>
      </c>
      <c r="D423" s="330">
        <v>15</v>
      </c>
      <c r="E423" s="330">
        <v>80</v>
      </c>
      <c r="F423" s="330">
        <v>15</v>
      </c>
      <c r="G423" s="330">
        <v>80</v>
      </c>
      <c r="H423" s="330">
        <v>15</v>
      </c>
      <c r="I423" s="330">
        <v>100</v>
      </c>
      <c r="L423" s="312" t="str">
        <f>+IF(M419="N","","table start")</f>
        <v/>
      </c>
      <c r="M423" s="312" t="str">
        <f>+IF(M419="N","N","14")</f>
        <v>N</v>
      </c>
      <c r="O423" s="311" t="s">
        <v>1117</v>
      </c>
    </row>
    <row r="424" spans="1:19">
      <c r="I424" s="382" t="s">
        <v>1123</v>
      </c>
      <c r="M424" s="406" t="str">
        <f>+M419</f>
        <v>N</v>
      </c>
      <c r="N424" s="755" t="s">
        <v>1894</v>
      </c>
      <c r="O424" s="311" t="s">
        <v>1114</v>
      </c>
    </row>
    <row r="425" spans="1:19">
      <c r="E425" s="382" t="str">
        <f>IF(Control!D30=0,"Balance as at","")</f>
        <v>Balance as at</v>
      </c>
      <c r="F425" s="382"/>
      <c r="G425" s="382" t="s">
        <v>883</v>
      </c>
      <c r="I425" s="382" t="s">
        <v>884</v>
      </c>
      <c r="M425" s="406" t="str">
        <f>+M419</f>
        <v>N</v>
      </c>
      <c r="N425" s="755" t="s">
        <v>1892</v>
      </c>
      <c r="O425" s="311" t="s">
        <v>1115</v>
      </c>
    </row>
    <row r="426" spans="1:19">
      <c r="B426" s="405" t="s">
        <v>885</v>
      </c>
      <c r="E426" s="418" t="str">
        <f>IF(Control!D30=0,TEXT(Control!D12,"dd.mm.yyyy"),"")</f>
        <v>31.12.2016</v>
      </c>
      <c r="F426" s="421"/>
      <c r="G426" s="422" t="str">
        <f>IF(Control!D30=0,TEXT(Control!D11,"dd.mm.yyyy"),TEXT(Control!D12,"dd.mm.yyyy"))</f>
        <v>02.03.2014</v>
      </c>
      <c r="I426" s="383" t="str">
        <f>+CONCATENATE(O426,P426)</f>
        <v>during the period</v>
      </c>
      <c r="M426" s="406" t="str">
        <f>+M419</f>
        <v>N</v>
      </c>
      <c r="N426" s="755" t="s">
        <v>1892</v>
      </c>
      <c r="O426" s="311" t="s">
        <v>886</v>
      </c>
      <c r="P426" s="311" t="str">
        <f>+LOWER(Control!D9)</f>
        <v>period</v>
      </c>
    </row>
    <row r="427" spans="1:19">
      <c r="M427" s="406" t="str">
        <f>+M419</f>
        <v>N</v>
      </c>
      <c r="N427" s="755" t="s">
        <v>1892</v>
      </c>
    </row>
    <row r="428" spans="1:19">
      <c r="B428" s="404" t="str">
        <f>+'Dir info'!C4</f>
        <v>Zhou Qianwei</v>
      </c>
      <c r="E428" s="402">
        <f>+'Dir info'!K4</f>
        <v>-316165</v>
      </c>
      <c r="F428" s="503"/>
      <c r="G428" s="504">
        <f>+IF(Control!D30=1,'Dir info'!K4,IF(Section4!E27=0,-Section4!E44,Section4!E27))</f>
        <v>-316165</v>
      </c>
      <c r="H428" s="503"/>
      <c r="I428" s="402">
        <f t="shared" ref="I428:I433" si="1">MAX(E428,G428)</f>
        <v>-316165</v>
      </c>
      <c r="M428" s="406" t="str">
        <f>+M419</f>
        <v>N</v>
      </c>
      <c r="N428" s="755" t="s">
        <v>1892</v>
      </c>
    </row>
    <row r="429" spans="1:19">
      <c r="B429" s="404">
        <f>+'Dir info'!C5</f>
        <v>0</v>
      </c>
      <c r="E429" s="402">
        <f>+'Dir info'!K5</f>
        <v>0</v>
      </c>
      <c r="F429" s="503"/>
      <c r="G429" s="504">
        <f>+IF(Control!D30=1,'Dir info'!K5,0)</f>
        <v>0</v>
      </c>
      <c r="H429" s="503"/>
      <c r="I429" s="402">
        <f t="shared" si="1"/>
        <v>0</v>
      </c>
      <c r="M429" s="406" t="str">
        <f>+IF(M419="N","N",IF(E429+G429=0,"N","Y"))</f>
        <v>N</v>
      </c>
      <c r="N429" s="755" t="s">
        <v>1895</v>
      </c>
    </row>
    <row r="430" spans="1:19">
      <c r="B430" s="404">
        <f>+'Dir info'!C6</f>
        <v>0</v>
      </c>
      <c r="E430" s="402">
        <f>+'Dir info'!K6</f>
        <v>0</v>
      </c>
      <c r="F430" s="503"/>
      <c r="G430" s="504"/>
      <c r="H430" s="503"/>
      <c r="I430" s="402">
        <f t="shared" si="1"/>
        <v>0</v>
      </c>
      <c r="M430" s="406" t="str">
        <f>+IF(M420="N","N",IF(E430+G430=0,"N","Y"))</f>
        <v>N</v>
      </c>
    </row>
    <row r="431" spans="1:19">
      <c r="B431" s="404">
        <f>+'Dir info'!C7</f>
        <v>0</v>
      </c>
      <c r="E431" s="402">
        <f>+'Dir info'!K7</f>
        <v>0</v>
      </c>
      <c r="F431" s="503"/>
      <c r="G431" s="504"/>
      <c r="H431" s="503"/>
      <c r="I431" s="402">
        <f t="shared" si="1"/>
        <v>0</v>
      </c>
      <c r="M431" s="406" t="str">
        <f>+IF(M421="N","N",IF(E431+G431=0,"N","Y"))</f>
        <v>N</v>
      </c>
    </row>
    <row r="432" spans="1:19">
      <c r="B432" s="404">
        <f>+'Dir info'!C8</f>
        <v>0</v>
      </c>
      <c r="E432" s="402">
        <f>+'Dir info'!K8</f>
        <v>0</v>
      </c>
      <c r="F432" s="503"/>
      <c r="G432" s="504"/>
      <c r="H432" s="503"/>
      <c r="I432" s="402">
        <f t="shared" si="1"/>
        <v>0</v>
      </c>
      <c r="M432" s="406" t="str">
        <f>+IF(M422="N","N",IF(E432+G432=0,"N","Y"))</f>
        <v>N</v>
      </c>
    </row>
    <row r="433" spans="1:14">
      <c r="B433" s="404">
        <f>+'Dir info'!C9</f>
        <v>0</v>
      </c>
      <c r="E433" s="402">
        <f>+'Dir info'!K9</f>
        <v>0</v>
      </c>
      <c r="F433" s="385"/>
      <c r="G433" s="504"/>
      <c r="H433" s="385"/>
      <c r="I433" s="402">
        <f t="shared" si="1"/>
        <v>0</v>
      </c>
      <c r="M433" s="406" t="str">
        <f>+IF(M423="N","N",IF(E433+G433=0,"N","Y"))</f>
        <v>N</v>
      </c>
    </row>
    <row r="434" spans="1:14">
      <c r="B434" s="404"/>
      <c r="E434" s="402"/>
      <c r="F434" s="385"/>
      <c r="G434" s="505"/>
      <c r="H434" s="385"/>
      <c r="I434" s="402"/>
      <c r="M434" s="406" t="str">
        <f>+M419</f>
        <v>N</v>
      </c>
    </row>
    <row r="435" spans="1:14" ht="15.75" thickBot="1">
      <c r="B435" s="404"/>
      <c r="E435" s="506">
        <f>SUM(E428:E433)</f>
        <v>-316165</v>
      </c>
      <c r="F435" s="385"/>
      <c r="G435" s="506">
        <f>SUM(G428:G433)</f>
        <v>-316165</v>
      </c>
      <c r="H435" s="385"/>
      <c r="I435" s="506">
        <f>SUM(I428:I433)</f>
        <v>-316165</v>
      </c>
      <c r="M435" s="406" t="str">
        <f>+M419</f>
        <v>N</v>
      </c>
      <c r="N435" s="755" t="s">
        <v>1892</v>
      </c>
    </row>
    <row r="436" spans="1:14" ht="15.75" thickTop="1">
      <c r="B436" s="404"/>
      <c r="E436" s="402"/>
      <c r="F436" s="385"/>
      <c r="G436" s="505"/>
      <c r="H436" s="385"/>
      <c r="I436" s="402"/>
      <c r="L436" s="312" t="str">
        <f>+IF(M419="N","","table end")</f>
        <v/>
      </c>
      <c r="M436" s="406" t="str">
        <f>+IF(M419="N","N","")</f>
        <v>N</v>
      </c>
      <c r="N436" s="755" t="s">
        <v>1896</v>
      </c>
    </row>
    <row r="437" spans="1:14">
      <c r="M437" s="406" t="str">
        <f>+M419</f>
        <v>N</v>
      </c>
      <c r="N437" s="755" t="s">
        <v>1892</v>
      </c>
    </row>
    <row r="438" spans="1:14">
      <c r="A438" s="330" t="s">
        <v>1098</v>
      </c>
      <c r="M438" s="406" t="str">
        <f>+M419</f>
        <v>N</v>
      </c>
      <c r="N438" s="755" t="s">
        <v>1891</v>
      </c>
    </row>
    <row r="439" spans="1:14">
      <c r="M439" s="406" t="str">
        <f>+M419</f>
        <v>N</v>
      </c>
      <c r="N439" s="755" t="s">
        <v>1891</v>
      </c>
    </row>
    <row r="440" spans="1:14">
      <c r="M440" s="406" t="str">
        <f>+M419</f>
        <v>N</v>
      </c>
      <c r="N440" s="755" t="s">
        <v>1897</v>
      </c>
    </row>
    <row r="441" spans="1:14">
      <c r="A441" s="423" t="str">
        <f>+UPPER(Section4!A28)</f>
        <v>AMOUNT DUE FROM A SHAREHOLDER</v>
      </c>
      <c r="L441" s="312" t="s">
        <v>809</v>
      </c>
      <c r="M441" s="406" t="str">
        <f>+Section4!G28</f>
        <v>N</v>
      </c>
    </row>
    <row r="442" spans="1:14">
      <c r="M442" s="406" t="str">
        <f>+M441</f>
        <v>N</v>
      </c>
    </row>
    <row r="443" spans="1:14">
      <c r="A443" s="330" t="s">
        <v>887</v>
      </c>
      <c r="M443" s="406" t="str">
        <f>+M441</f>
        <v>N</v>
      </c>
    </row>
    <row r="444" spans="1:14">
      <c r="M444" s="406" t="str">
        <f>+M441</f>
        <v>N</v>
      </c>
    </row>
    <row r="445" spans="1:14">
      <c r="M445" s="406" t="str">
        <f>+M441</f>
        <v>N</v>
      </c>
    </row>
    <row r="446" spans="1:14">
      <c r="A446" s="423" t="str">
        <f>UPPER(Section4!A39)</f>
        <v>BANK LOAN</v>
      </c>
      <c r="L446" s="312" t="s">
        <v>809</v>
      </c>
      <c r="M446" s="525" t="str">
        <f>Section4!G39</f>
        <v>N</v>
      </c>
    </row>
    <row r="447" spans="1:14">
      <c r="A447" s="423"/>
      <c r="M447" s="525" t="str">
        <f>M446</f>
        <v>N</v>
      </c>
    </row>
    <row r="448" spans="1:14">
      <c r="A448" s="330">
        <v>18</v>
      </c>
      <c r="B448" s="346">
        <v>180</v>
      </c>
      <c r="C448" s="346">
        <v>50</v>
      </c>
      <c r="D448" s="346">
        <v>20</v>
      </c>
      <c r="E448" s="346">
        <v>90</v>
      </c>
      <c r="F448" s="346">
        <v>20</v>
      </c>
      <c r="G448" s="346">
        <v>90</v>
      </c>
      <c r="L448" s="312" t="str">
        <f>+IF(M446="N","","table start")</f>
        <v/>
      </c>
      <c r="M448" s="525" t="str">
        <f>+IF(M446="N","N","14")</f>
        <v>N</v>
      </c>
    </row>
    <row r="449" spans="1:15">
      <c r="E449" s="418" t="str">
        <f>E506</f>
        <v>31.12.2016</v>
      </c>
      <c r="F449" s="421"/>
      <c r="G449" s="418" t="str">
        <f>G506</f>
        <v>31.12.2016</v>
      </c>
      <c r="M449" s="525" t="str">
        <f>M446</f>
        <v>N</v>
      </c>
    </row>
    <row r="450" spans="1:15">
      <c r="E450" s="418"/>
      <c r="F450" s="421"/>
      <c r="G450" s="422"/>
      <c r="M450" s="525" t="str">
        <f>M446</f>
        <v>N</v>
      </c>
    </row>
    <row r="451" spans="1:15">
      <c r="B451" s="330" t="s">
        <v>1318</v>
      </c>
      <c r="E451" s="402"/>
      <c r="F451" s="402"/>
      <c r="G451" s="402"/>
      <c r="M451" s="525" t="str">
        <f>M446</f>
        <v>N</v>
      </c>
    </row>
    <row r="452" spans="1:15">
      <c r="B452" s="526" t="s">
        <v>1319</v>
      </c>
      <c r="E452" s="402">
        <v>0</v>
      </c>
      <c r="F452" s="402"/>
      <c r="G452" s="402">
        <v>228328</v>
      </c>
      <c r="M452" s="525" t="str">
        <f>M446</f>
        <v>N</v>
      </c>
      <c r="O452" s="311" t="s">
        <v>1507</v>
      </c>
    </row>
    <row r="453" spans="1:15">
      <c r="B453" s="526"/>
      <c r="E453" s="402"/>
      <c r="F453" s="402"/>
      <c r="G453" s="402"/>
      <c r="M453" s="525" t="str">
        <f>M446</f>
        <v>N</v>
      </c>
      <c r="O453" s="311" t="s">
        <v>1500</v>
      </c>
    </row>
    <row r="454" spans="1:15">
      <c r="B454" s="526" t="s">
        <v>1320</v>
      </c>
      <c r="E454" s="402"/>
      <c r="F454" s="402"/>
      <c r="G454" s="402"/>
      <c r="M454" s="525" t="str">
        <f>M446</f>
        <v>N</v>
      </c>
      <c r="O454" s="311" t="s">
        <v>1433</v>
      </c>
    </row>
    <row r="455" spans="1:15">
      <c r="B455" s="526" t="s">
        <v>1321</v>
      </c>
      <c r="E455" s="402">
        <v>949297</v>
      </c>
      <c r="F455" s="402"/>
      <c r="G455" s="402"/>
      <c r="H455" s="311"/>
      <c r="M455" s="525" t="str">
        <f>M446</f>
        <v>N</v>
      </c>
      <c r="O455" s="311" t="s">
        <v>1432</v>
      </c>
    </row>
    <row r="456" spans="1:15" ht="15.75" thickBot="1">
      <c r="B456" s="526"/>
      <c r="E456" s="506">
        <f>SUM(E452:E455)</f>
        <v>949297</v>
      </c>
      <c r="F456" s="402"/>
      <c r="G456" s="506">
        <f>SUM(G452:G455)</f>
        <v>228328</v>
      </c>
      <c r="H456" s="311"/>
      <c r="M456" s="525" t="str">
        <f>M446</f>
        <v>N</v>
      </c>
      <c r="O456" s="311" t="s">
        <v>1429</v>
      </c>
    </row>
    <row r="457" spans="1:15" ht="15.75" thickTop="1">
      <c r="B457" s="526"/>
      <c r="E457" s="402"/>
      <c r="F457" s="402"/>
      <c r="G457" s="402"/>
      <c r="H457" s="311"/>
      <c r="L457" s="312" t="str">
        <f>+IF(M446="N","","table end")</f>
        <v/>
      </c>
      <c r="M457" s="525" t="str">
        <f>+IF(M446="N","N","")</f>
        <v>N</v>
      </c>
      <c r="O457" s="311" t="s">
        <v>1430</v>
      </c>
    </row>
    <row r="458" spans="1:15">
      <c r="A458" s="561" t="s">
        <v>1322</v>
      </c>
      <c r="M458" s="525" t="str">
        <f>M446</f>
        <v>N</v>
      </c>
      <c r="O458" s="311" t="s">
        <v>1431</v>
      </c>
    </row>
    <row r="459" spans="1:15">
      <c r="A459" s="561" t="s">
        <v>1939</v>
      </c>
      <c r="M459" s="525" t="str">
        <f>M446</f>
        <v>N</v>
      </c>
      <c r="O459" s="311" t="s">
        <v>1428</v>
      </c>
    </row>
    <row r="460" spans="1:15">
      <c r="A460" s="423" t="str">
        <f>+UPPER(Section4!A41)</f>
        <v>AMOUNT DUE TO A SUBSIDIARY</v>
      </c>
      <c r="L460" s="312" t="s">
        <v>809</v>
      </c>
      <c r="M460" s="406" t="str">
        <f>+Section4!G41</f>
        <v>N</v>
      </c>
    </row>
    <row r="461" spans="1:15">
      <c r="M461" s="406" t="str">
        <f>M460</f>
        <v>N</v>
      </c>
    </row>
    <row r="462" spans="1:15">
      <c r="A462" s="330" t="s">
        <v>887</v>
      </c>
      <c r="M462" s="312" t="str">
        <f>M461</f>
        <v>N</v>
      </c>
    </row>
    <row r="463" spans="1:15">
      <c r="M463" s="312" t="str">
        <f>M462</f>
        <v>N</v>
      </c>
    </row>
    <row r="464" spans="1:15">
      <c r="M464" s="312" t="str">
        <f>M463</f>
        <v>N</v>
      </c>
    </row>
    <row r="465" spans="1:14">
      <c r="A465" s="423" t="str">
        <f>+UPPER(Section4!A42)</f>
        <v>AMOUNT DUE TO SHAREHOLDERS</v>
      </c>
      <c r="L465" s="312" t="s">
        <v>809</v>
      </c>
      <c r="M465" s="406" t="str">
        <f>+Section4!G42</f>
        <v>N</v>
      </c>
    </row>
    <row r="466" spans="1:14">
      <c r="M466" s="406" t="str">
        <f>M465</f>
        <v>N</v>
      </c>
    </row>
    <row r="467" spans="1:14">
      <c r="A467" s="330" t="s">
        <v>887</v>
      </c>
      <c r="M467" s="312" t="str">
        <f>M466</f>
        <v>N</v>
      </c>
    </row>
    <row r="468" spans="1:14">
      <c r="M468" s="312" t="str">
        <f>M467</f>
        <v>N</v>
      </c>
    </row>
    <row r="469" spans="1:14">
      <c r="M469" s="312" t="str">
        <f>M468</f>
        <v>N</v>
      </c>
    </row>
    <row r="470" spans="1:14" s="345" customFormat="1">
      <c r="A470" s="574" t="s">
        <v>1871</v>
      </c>
      <c r="B470" s="568"/>
      <c r="C470" s="568"/>
      <c r="D470" s="568"/>
      <c r="E470" s="568"/>
      <c r="F470" s="568"/>
      <c r="G470" s="568"/>
      <c r="H470" s="568"/>
      <c r="I470" s="568"/>
      <c r="J470" s="568"/>
      <c r="K470" s="568"/>
      <c r="L470" s="312" t="s">
        <v>809</v>
      </c>
      <c r="M470" s="406" t="str">
        <f>+Section4!G43</f>
        <v>N</v>
      </c>
      <c r="N470" s="312"/>
    </row>
    <row r="471" spans="1:14" s="345" customFormat="1">
      <c r="A471" s="574"/>
      <c r="B471" s="568"/>
      <c r="C471" s="568"/>
      <c r="D471" s="568"/>
      <c r="E471" s="568"/>
      <c r="F471" s="568"/>
      <c r="G471" s="568"/>
      <c r="H471" s="568"/>
      <c r="I471" s="568"/>
      <c r="J471" s="568"/>
      <c r="K471" s="568"/>
      <c r="L471" s="312"/>
      <c r="M471" s="406" t="str">
        <f>+M470</f>
        <v>N</v>
      </c>
      <c r="N471" s="312"/>
    </row>
    <row r="472" spans="1:14" s="345" customFormat="1">
      <c r="A472" s="575" t="s">
        <v>1789</v>
      </c>
      <c r="B472" s="568"/>
      <c r="C472" s="568"/>
      <c r="D472" s="568"/>
      <c r="E472" s="568"/>
      <c r="F472" s="568"/>
      <c r="G472" s="568"/>
      <c r="H472" s="568"/>
      <c r="I472" s="568"/>
      <c r="J472" s="568"/>
      <c r="K472" s="568"/>
      <c r="L472" s="312"/>
      <c r="M472" s="406" t="str">
        <f>+M470</f>
        <v>N</v>
      </c>
      <c r="N472" s="312"/>
    </row>
    <row r="473" spans="1:14" s="345" customFormat="1">
      <c r="A473" s="345">
        <v>18</v>
      </c>
      <c r="B473" s="568">
        <v>180</v>
      </c>
      <c r="C473" s="568">
        <v>50</v>
      </c>
      <c r="D473" s="568">
        <v>20</v>
      </c>
      <c r="E473" s="568">
        <v>90</v>
      </c>
      <c r="F473" s="568">
        <v>20</v>
      </c>
      <c r="G473" s="568">
        <v>90</v>
      </c>
      <c r="H473" s="568"/>
      <c r="I473" s="568"/>
      <c r="J473" s="568"/>
      <c r="K473" s="568"/>
      <c r="L473" s="312" t="str">
        <f>+IF(M470="N","","table start")</f>
        <v/>
      </c>
      <c r="M473" s="406" t="str">
        <f>+IF(M470="N","N","14")</f>
        <v>N</v>
      </c>
      <c r="N473" s="312"/>
    </row>
    <row r="474" spans="1:14" s="345" customFormat="1">
      <c r="B474" s="568"/>
      <c r="C474" s="568"/>
      <c r="D474" s="568"/>
      <c r="E474" s="576" t="str">
        <f>+Section4!C8</f>
        <v>31.12.2016</v>
      </c>
      <c r="F474" s="577"/>
      <c r="G474" s="576" t="str">
        <f>+Section4!E8</f>
        <v>31.12.2016</v>
      </c>
      <c r="H474" s="568"/>
      <c r="I474" s="568"/>
      <c r="J474" s="568"/>
      <c r="K474" s="568"/>
      <c r="L474" s="312"/>
      <c r="M474" s="406" t="str">
        <f>+M470</f>
        <v>N</v>
      </c>
      <c r="N474" s="312"/>
    </row>
    <row r="475" spans="1:14" s="345" customFormat="1">
      <c r="B475" s="568"/>
      <c r="C475" s="568"/>
      <c r="D475" s="568"/>
      <c r="E475" s="576"/>
      <c r="F475" s="577"/>
      <c r="G475" s="578"/>
      <c r="H475" s="568"/>
      <c r="I475" s="568"/>
      <c r="J475" s="568"/>
      <c r="K475" s="568"/>
      <c r="L475" s="312"/>
      <c r="M475" s="406" t="str">
        <f>+M470</f>
        <v>N</v>
      </c>
      <c r="N475" s="312"/>
    </row>
    <row r="476" spans="1:14" s="345" customFormat="1">
      <c r="B476" s="568" t="s">
        <v>1315</v>
      </c>
      <c r="C476" s="568"/>
      <c r="D476" s="568"/>
      <c r="E476" s="579">
        <v>256851</v>
      </c>
      <c r="F476" s="579"/>
      <c r="G476" s="579">
        <v>187464</v>
      </c>
      <c r="H476" s="568"/>
      <c r="I476" s="568"/>
      <c r="J476" s="568"/>
      <c r="K476" s="568"/>
      <c r="L476" s="312"/>
      <c r="M476" s="406" t="str">
        <f>+M470</f>
        <v>N</v>
      </c>
      <c r="N476" s="312"/>
    </row>
    <row r="477" spans="1:14" s="345" customFormat="1">
      <c r="B477" s="580" t="s">
        <v>1316</v>
      </c>
      <c r="C477" s="568"/>
      <c r="D477" s="568"/>
      <c r="E477" s="579">
        <v>521948</v>
      </c>
      <c r="F477" s="579"/>
      <c r="G477" s="579">
        <v>444644</v>
      </c>
      <c r="H477" s="568"/>
      <c r="I477" s="568"/>
      <c r="J477" s="568"/>
      <c r="K477" s="568"/>
      <c r="L477" s="312"/>
      <c r="M477" s="406" t="str">
        <f>+M470</f>
        <v>N</v>
      </c>
      <c r="N477" s="312"/>
    </row>
    <row r="478" spans="1:14" s="345" customFormat="1" ht="15.75" thickBot="1">
      <c r="B478" s="580"/>
      <c r="C478" s="568"/>
      <c r="D478" s="568"/>
      <c r="E478" s="581">
        <f>+E476+E477</f>
        <v>778799</v>
      </c>
      <c r="F478" s="579"/>
      <c r="G478" s="581">
        <f>+G476+G477</f>
        <v>632108</v>
      </c>
      <c r="H478" s="568"/>
      <c r="I478" s="568"/>
      <c r="J478" s="568"/>
      <c r="K478" s="568"/>
      <c r="L478" s="312"/>
      <c r="M478" s="406" t="str">
        <f>+M470</f>
        <v>N</v>
      </c>
      <c r="N478" s="312"/>
    </row>
    <row r="479" spans="1:14" s="345" customFormat="1" ht="15.75" thickTop="1">
      <c r="A479" s="580"/>
      <c r="B479" s="568"/>
      <c r="C479" s="568"/>
      <c r="D479" s="568"/>
      <c r="E479" s="568"/>
      <c r="F479" s="568"/>
      <c r="G479" s="568"/>
      <c r="H479" s="568"/>
      <c r="I479" s="568"/>
      <c r="J479" s="568"/>
      <c r="K479" s="568"/>
      <c r="L479" s="312" t="str">
        <f>+IF(M470="N","","table end")</f>
        <v/>
      </c>
      <c r="M479" s="406" t="str">
        <f>+IF(M470="N","N","")</f>
        <v>N</v>
      </c>
      <c r="N479" s="312" t="s">
        <v>29</v>
      </c>
    </row>
    <row r="480" spans="1:14" s="345" customFormat="1">
      <c r="A480" s="580"/>
      <c r="B480" s="568"/>
      <c r="C480" s="568"/>
      <c r="D480" s="568"/>
      <c r="E480" s="568"/>
      <c r="F480" s="568"/>
      <c r="G480" s="568"/>
      <c r="H480" s="568"/>
      <c r="I480" s="568"/>
      <c r="J480" s="568"/>
      <c r="K480" s="568"/>
      <c r="L480" s="312"/>
      <c r="M480" s="406" t="str">
        <f>+M470</f>
        <v>N</v>
      </c>
      <c r="N480" s="312"/>
    </row>
    <row r="481" spans="1:17">
      <c r="A481" s="580" t="s">
        <v>1513</v>
      </c>
      <c r="M481" s="312" t="s">
        <v>1499</v>
      </c>
    </row>
    <row r="482" spans="1:17">
      <c r="A482" s="423" t="str">
        <f>+UPPER(Section4!A44)</f>
        <v>AMOUNT DUE TO A DIRECTOR</v>
      </c>
      <c r="L482" s="312" t="s">
        <v>809</v>
      </c>
      <c r="M482" s="406" t="str">
        <f>+Section4!G44</f>
        <v>Y</v>
      </c>
    </row>
    <row r="483" spans="1:17">
      <c r="M483" s="406" t="str">
        <f>M482</f>
        <v>Y</v>
      </c>
    </row>
    <row r="484" spans="1:17">
      <c r="A484" s="330" t="s">
        <v>887</v>
      </c>
      <c r="M484" s="312" t="str">
        <f>M483</f>
        <v>Y</v>
      </c>
    </row>
    <row r="485" spans="1:17">
      <c r="M485" s="312" t="str">
        <f>M484</f>
        <v>Y</v>
      </c>
    </row>
    <row r="486" spans="1:17">
      <c r="M486" s="312" t="str">
        <f>M485</f>
        <v>Y</v>
      </c>
    </row>
    <row r="487" spans="1:17">
      <c r="A487" s="331" t="s">
        <v>703</v>
      </c>
      <c r="L487" s="312" t="s">
        <v>809</v>
      </c>
      <c r="M487" s="312" t="s">
        <v>3</v>
      </c>
    </row>
    <row r="488" spans="1:17">
      <c r="M488" s="312" t="s">
        <v>3</v>
      </c>
      <c r="O488" s="400">
        <f>+Control!D11-P488</f>
        <v>-1</v>
      </c>
      <c r="P488" s="400">
        <v>41701</v>
      </c>
    </row>
    <row r="489" spans="1:17">
      <c r="A489" s="330">
        <v>18</v>
      </c>
      <c r="B489" s="330">
        <v>210</v>
      </c>
      <c r="C489" s="330">
        <v>90</v>
      </c>
      <c r="D489" s="330">
        <v>20</v>
      </c>
      <c r="E489" s="330">
        <v>90</v>
      </c>
      <c r="L489" s="312" t="s">
        <v>888</v>
      </c>
      <c r="M489" s="312">
        <v>14</v>
      </c>
    </row>
    <row r="490" spans="1:17">
      <c r="C490" s="363" t="str">
        <f>+Section4!C8</f>
        <v>31.12.2016</v>
      </c>
      <c r="D490" s="332"/>
      <c r="E490" s="363" t="str">
        <f>+Section4!E8</f>
        <v>31.12.2016</v>
      </c>
      <c r="M490" s="312" t="s">
        <v>3</v>
      </c>
    </row>
    <row r="491" spans="1:17">
      <c r="B491" s="341" t="s">
        <v>889</v>
      </c>
      <c r="C491" s="332"/>
      <c r="D491" s="332"/>
      <c r="E491" s="332"/>
      <c r="M491" s="312" t="str">
        <f>+IF(O488&lt;0,"Y","N")</f>
        <v>Y</v>
      </c>
      <c r="O491" s="345" t="s">
        <v>890</v>
      </c>
      <c r="P491" s="345"/>
      <c r="Q491" s="345"/>
    </row>
    <row r="492" spans="1:17" ht="15.75" thickBot="1">
      <c r="B492" s="349" t="str">
        <f>IF(Control!D30=0,CONCATENATE(TEXT(C492,"###,###,###,###,###,###,###,###"),N492),CONCATENATE(TEXT(E492,"###,###,###,###,###,###,###,###"),O492,P492,Q492))</f>
        <v xml:space="preserve"> ordinary shares of HK$1.00 each </v>
      </c>
      <c r="C492" s="350">
        <f>+C495</f>
        <v>0</v>
      </c>
      <c r="D492" s="369"/>
      <c r="E492" s="350">
        <f>+E495</f>
        <v>1291</v>
      </c>
      <c r="M492" s="312" t="str">
        <f>+IF(O488&lt;0,"Y","N")</f>
        <v>Y</v>
      </c>
      <c r="N492" s="347" t="str">
        <f>+CONCATENATE(O492,P492,Q492)</f>
        <v xml:space="preserve"> ordinary shares of HK$1.00 each </v>
      </c>
      <c r="O492" s="311" t="s">
        <v>1135</v>
      </c>
      <c r="P492" s="311" t="str">
        <f>+IF(C492+E492&lt;=2,"share","shares")</f>
        <v>shares</v>
      </c>
      <c r="Q492" s="311" t="s">
        <v>1136</v>
      </c>
    </row>
    <row r="493" spans="1:17" ht="15.75" thickTop="1">
      <c r="B493" s="365"/>
      <c r="C493" s="367"/>
      <c r="D493" s="366"/>
      <c r="E493" s="367"/>
      <c r="M493" s="312" t="str">
        <f>+IF(O488&lt;0,"Y","N")</f>
        <v>Y</v>
      </c>
    </row>
    <row r="494" spans="1:17">
      <c r="B494" s="365" t="s">
        <v>891</v>
      </c>
      <c r="C494" s="366"/>
      <c r="D494" s="366"/>
      <c r="E494" s="366"/>
      <c r="M494" s="312" t="str">
        <f>+M493</f>
        <v>Y</v>
      </c>
    </row>
    <row r="495" spans="1:17" ht="15.75" thickBot="1">
      <c r="B495" s="365" t="str">
        <f>IF(Control!D30=0,CONCATENATE(TEXT(C495,"###,###,###,###,###,###,###,###"),N495),CONCATENATE(TEXT(E495,"###,###,###,###,###,###,###,###"),O495,P495,Q495))</f>
        <v xml:space="preserve"> ordinary shares of HK$1.00 each </v>
      </c>
      <c r="C495" s="368">
        <f>+Section4!C58</f>
        <v>0</v>
      </c>
      <c r="D495" s="366"/>
      <c r="E495" s="368">
        <f>+Section4!E58</f>
        <v>1291</v>
      </c>
      <c r="M495" s="312" t="str">
        <f>+M494</f>
        <v>Y</v>
      </c>
      <c r="N495" s="347" t="str">
        <f>+CONCATENATE(O495,P495,Q495)</f>
        <v xml:space="preserve"> ordinary shares of HK$1.00 each </v>
      </c>
      <c r="O495" s="311" t="s">
        <v>1135</v>
      </c>
      <c r="P495" s="311" t="str">
        <f>+IF(C495+E495&lt;=2,"share","shares")</f>
        <v>shares</v>
      </c>
      <c r="Q495" s="311" t="s">
        <v>1136</v>
      </c>
    </row>
    <row r="496" spans="1:17" ht="15.75" thickTop="1">
      <c r="B496" s="365"/>
      <c r="C496" s="367"/>
      <c r="D496" s="366"/>
      <c r="E496" s="367"/>
      <c r="M496" s="312" t="str">
        <f>+IF(M495="N","Y","N")</f>
        <v>N</v>
      </c>
      <c r="N496" s="347" t="str">
        <f>+CONCATENATE(O495,P495)</f>
        <v xml:space="preserve"> ordinary shares</v>
      </c>
    </row>
    <row r="497" spans="1:17">
      <c r="B497" s="365" t="s">
        <v>891</v>
      </c>
      <c r="C497" s="366"/>
      <c r="D497" s="366"/>
      <c r="E497" s="366"/>
      <c r="M497" s="312" t="str">
        <f>+M496</f>
        <v>N</v>
      </c>
    </row>
    <row r="498" spans="1:17" ht="15.75" thickBot="1">
      <c r="B498" s="365" t="str">
        <f>IF(Control!D30=0,CONCATENATE(TEXT(C495,"###,###,###,###,###,###,###,###"),N496),CONCATENATE(TEXT(E495,"###,###,###,###,###,###,###,###"),N496))</f>
        <v xml:space="preserve"> ordinary shares</v>
      </c>
      <c r="C498" s="368">
        <f>+Section4!C58</f>
        <v>0</v>
      </c>
      <c r="D498" s="366"/>
      <c r="E498" s="368">
        <f>+Section4!E58</f>
        <v>1291</v>
      </c>
      <c r="M498" s="312" t="str">
        <f>+M497</f>
        <v>N</v>
      </c>
      <c r="N498" s="348" t="s">
        <v>1840</v>
      </c>
      <c r="O498" s="434"/>
      <c r="P498" s="434"/>
      <c r="Q498" s="434"/>
    </row>
    <row r="499" spans="1:17" ht="15.75" thickTop="1">
      <c r="B499" s="365"/>
      <c r="C499" s="367"/>
      <c r="D499" s="366"/>
      <c r="E499" s="367"/>
      <c r="L499" s="312" t="s">
        <v>29</v>
      </c>
      <c r="N499" s="348" t="s">
        <v>1841</v>
      </c>
      <c r="O499" s="434"/>
      <c r="P499" s="434"/>
      <c r="Q499" s="434"/>
    </row>
    <row r="500" spans="1:17">
      <c r="M500" s="312" t="s">
        <v>3</v>
      </c>
      <c r="N500" s="348"/>
      <c r="O500" s="434"/>
      <c r="P500" s="434"/>
      <c r="Q500" s="434"/>
    </row>
    <row r="501" spans="1:17" s="370" customFormat="1">
      <c r="A501" s="416" t="s">
        <v>892</v>
      </c>
      <c r="B501" s="346"/>
      <c r="C501" s="346"/>
      <c r="D501" s="346"/>
      <c r="E501" s="346"/>
      <c r="F501" s="346"/>
      <c r="G501" s="346"/>
      <c r="H501" s="346"/>
      <c r="I501" s="346"/>
      <c r="J501" s="346"/>
      <c r="K501" s="346"/>
      <c r="L501" s="312" t="s">
        <v>809</v>
      </c>
      <c r="M501" s="347" t="str">
        <f>+IF(Control!D34=1,"Y","N")</f>
        <v>N</v>
      </c>
      <c r="N501" s="348" t="s">
        <v>1842</v>
      </c>
      <c r="O501" s="434"/>
      <c r="P501" s="434"/>
      <c r="Q501" s="434"/>
    </row>
    <row r="502" spans="1:17" s="370" customFormat="1">
      <c r="A502" s="346"/>
      <c r="B502" s="346"/>
      <c r="C502" s="346"/>
      <c r="D502" s="346"/>
      <c r="E502" s="346"/>
      <c r="F502" s="346"/>
      <c r="G502" s="346"/>
      <c r="H502" s="346"/>
      <c r="I502" s="346"/>
      <c r="J502" s="346"/>
      <c r="K502" s="346"/>
      <c r="L502" s="347"/>
      <c r="M502" s="347" t="str">
        <f>+IF(Control!D34=1,"Y","N")</f>
        <v>N</v>
      </c>
      <c r="N502" s="348"/>
      <c r="O502" s="434"/>
      <c r="P502" s="434"/>
      <c r="Q502" s="434"/>
    </row>
    <row r="503" spans="1:17" s="370" customFormat="1">
      <c r="A503" s="346" t="s">
        <v>893</v>
      </c>
      <c r="B503" s="346"/>
      <c r="C503" s="346"/>
      <c r="D503" s="346"/>
      <c r="E503" s="346"/>
      <c r="F503" s="346"/>
      <c r="G503" s="346"/>
      <c r="H503" s="346"/>
      <c r="I503" s="346"/>
      <c r="J503" s="346"/>
      <c r="K503" s="346"/>
      <c r="L503" s="347"/>
      <c r="M503" s="347" t="str">
        <f>+IF(Control!D34=1,"Y","N")</f>
        <v>N</v>
      </c>
      <c r="N503" s="348" t="s">
        <v>1872</v>
      </c>
      <c r="O503" s="434"/>
      <c r="P503" s="434"/>
      <c r="Q503" s="434"/>
    </row>
    <row r="504" spans="1:17" s="370" customFormat="1">
      <c r="A504" s="346"/>
      <c r="B504" s="346"/>
      <c r="C504" s="346"/>
      <c r="D504" s="346"/>
      <c r="E504" s="346"/>
      <c r="F504" s="346"/>
      <c r="G504" s="346"/>
      <c r="H504" s="346"/>
      <c r="I504" s="346"/>
      <c r="J504" s="346"/>
      <c r="K504" s="346"/>
      <c r="L504" s="347"/>
      <c r="M504" s="347" t="str">
        <f>+IF(Control!D34=1,"Y","N")</f>
        <v>N</v>
      </c>
      <c r="N504" s="347"/>
    </row>
    <row r="505" spans="1:17" s="370" customFormat="1">
      <c r="A505" s="330">
        <v>18</v>
      </c>
      <c r="B505" s="346">
        <v>180</v>
      </c>
      <c r="C505" s="346">
        <v>100</v>
      </c>
      <c r="D505" s="346">
        <v>20</v>
      </c>
      <c r="E505" s="346">
        <v>90</v>
      </c>
      <c r="F505" s="346">
        <v>20</v>
      </c>
      <c r="G505" s="346">
        <v>90</v>
      </c>
      <c r="H505" s="346"/>
      <c r="I505" s="346"/>
      <c r="J505" s="346"/>
      <c r="K505" s="346"/>
      <c r="L505" s="347" t="str">
        <f>+IF(Control!D34=1,"table start","")</f>
        <v/>
      </c>
      <c r="M505" s="347" t="str">
        <f>+IF(Control!D34=1,"14","N")</f>
        <v>N</v>
      </c>
      <c r="N505" s="347"/>
    </row>
    <row r="506" spans="1:17" s="370" customFormat="1">
      <c r="B506" s="417" t="s">
        <v>894</v>
      </c>
      <c r="C506" s="417" t="s">
        <v>1285</v>
      </c>
      <c r="D506" s="346"/>
      <c r="E506" s="418" t="str">
        <f>+Section4!C8</f>
        <v>31.12.2016</v>
      </c>
      <c r="F506" s="346"/>
      <c r="G506" s="418" t="str">
        <f>+Section4!E8</f>
        <v>31.12.2016</v>
      </c>
      <c r="H506" s="346"/>
      <c r="I506" s="346"/>
      <c r="J506" s="346"/>
      <c r="K506" s="346"/>
      <c r="L506" s="347"/>
      <c r="M506" s="347" t="str">
        <f>+IF(Control!D34=1,"Y","N")</f>
        <v>N</v>
      </c>
      <c r="N506" s="347"/>
    </row>
    <row r="507" spans="1:17" s="370" customFormat="1">
      <c r="B507" s="346"/>
      <c r="C507" s="346"/>
      <c r="D507" s="346"/>
      <c r="E507" s="346"/>
      <c r="F507" s="346"/>
      <c r="G507" s="346"/>
      <c r="H507" s="346"/>
      <c r="I507" s="346"/>
      <c r="J507" s="346"/>
      <c r="K507" s="346"/>
      <c r="L507" s="347"/>
      <c r="M507" s="347" t="str">
        <f>+IF(Control!D34=1,"Y","N")</f>
        <v>N</v>
      </c>
      <c r="N507" s="347"/>
    </row>
    <row r="508" spans="1:17" s="370" customFormat="1" ht="30.75" thickBot="1">
      <c r="B508" s="523" t="s">
        <v>1287</v>
      </c>
      <c r="C508" s="523" t="s">
        <v>1286</v>
      </c>
      <c r="D508" s="346"/>
      <c r="E508" s="415">
        <f>1800+700+300+305</f>
        <v>3105</v>
      </c>
      <c r="F508" s="346"/>
      <c r="G508" s="522">
        <v>7600</v>
      </c>
      <c r="H508" s="346"/>
      <c r="I508" s="346"/>
      <c r="J508" s="346"/>
      <c r="K508" s="346"/>
      <c r="L508" s="347"/>
      <c r="M508" s="347" t="str">
        <f>+IF(Control!D34=1,"Y","N")</f>
        <v>N</v>
      </c>
      <c r="N508" s="347"/>
    </row>
    <row r="509" spans="1:17" s="370" customFormat="1" ht="15.75" thickTop="1">
      <c r="B509" s="346"/>
      <c r="C509" s="346"/>
      <c r="D509" s="346"/>
      <c r="E509" s="419"/>
      <c r="F509" s="346"/>
      <c r="G509" s="420"/>
      <c r="H509" s="346"/>
      <c r="I509" s="346"/>
      <c r="J509" s="346"/>
      <c r="K509" s="346"/>
      <c r="L509" s="347"/>
      <c r="M509" s="347" t="str">
        <f>+M502</f>
        <v>N</v>
      </c>
      <c r="N509" s="347"/>
    </row>
    <row r="510" spans="1:17" s="370" customFormat="1" ht="30.75" thickBot="1">
      <c r="B510" s="523" t="s">
        <v>1288</v>
      </c>
      <c r="C510" s="523" t="s">
        <v>1289</v>
      </c>
      <c r="D510" s="346"/>
      <c r="E510" s="415">
        <v>90000</v>
      </c>
      <c r="F510" s="346"/>
      <c r="G510" s="522">
        <v>0</v>
      </c>
      <c r="H510" s="346"/>
      <c r="I510" s="346"/>
      <c r="J510" s="346"/>
      <c r="K510" s="346"/>
      <c r="L510" s="347"/>
      <c r="M510" s="347" t="str">
        <f>IF(AND(M501="Y",N510="Y"),"Y","N")</f>
        <v>N</v>
      </c>
      <c r="N510" s="347" t="str">
        <f>+IF(E510+G510=0,"N","Y")</f>
        <v>Y</v>
      </c>
    </row>
    <row r="511" spans="1:17" s="370" customFormat="1" ht="15.75" thickTop="1">
      <c r="B511" s="346"/>
      <c r="C511" s="346"/>
      <c r="D511" s="346"/>
      <c r="E511" s="419"/>
      <c r="F511" s="346"/>
      <c r="G511" s="420"/>
      <c r="H511" s="346"/>
      <c r="I511" s="346"/>
      <c r="J511" s="346"/>
      <c r="K511" s="346"/>
      <c r="L511" s="347"/>
      <c r="M511" s="347" t="str">
        <f>+M510</f>
        <v>N</v>
      </c>
      <c r="N511" s="347"/>
    </row>
    <row r="512" spans="1:17" s="370" customFormat="1" ht="30.75" thickBot="1">
      <c r="B512" s="523" t="s">
        <v>1290</v>
      </c>
      <c r="C512" s="523" t="s">
        <v>1291</v>
      </c>
      <c r="D512" s="346"/>
      <c r="E512" s="415">
        <v>0</v>
      </c>
      <c r="F512" s="346"/>
      <c r="G512" s="522">
        <v>1800</v>
      </c>
      <c r="H512" s="346"/>
      <c r="I512" s="346"/>
      <c r="J512" s="346"/>
      <c r="K512" s="346"/>
      <c r="L512" s="347"/>
      <c r="M512" s="347" t="str">
        <f>IF(AND(M501="Y",N512="Y"),"Y","N")</f>
        <v>N</v>
      </c>
      <c r="N512" s="347" t="str">
        <f>+IF(E512+G512=0,"N","Y")</f>
        <v>Y</v>
      </c>
    </row>
    <row r="513" spans="1:14" s="370" customFormat="1" ht="15.75" thickTop="1">
      <c r="B513" s="346"/>
      <c r="C513" s="346"/>
      <c r="D513" s="346"/>
      <c r="E513" s="419"/>
      <c r="F513" s="346"/>
      <c r="G513" s="420"/>
      <c r="H513" s="346"/>
      <c r="I513" s="346"/>
      <c r="J513" s="346"/>
      <c r="K513" s="346"/>
      <c r="L513" s="347" t="str">
        <f>+IF(Control!D34=1,"table end","")</f>
        <v/>
      </c>
      <c r="M513" s="347" t="str">
        <f>+M502</f>
        <v>N</v>
      </c>
      <c r="N513" s="347"/>
    </row>
    <row r="514" spans="1:14" s="370" customFormat="1">
      <c r="B514" s="414"/>
      <c r="C514" s="346"/>
      <c r="D514" s="346"/>
      <c r="E514" s="346"/>
      <c r="F514" s="346"/>
      <c r="G514" s="346"/>
      <c r="H514" s="346"/>
      <c r="I514" s="346"/>
      <c r="J514" s="346"/>
      <c r="K514" s="346"/>
      <c r="L514" s="347"/>
      <c r="M514" s="347" t="str">
        <f>+IF(Control!D34=1,"","N")</f>
        <v>N</v>
      </c>
      <c r="N514" s="347"/>
    </row>
    <row r="515" spans="1:14" s="370" customFormat="1">
      <c r="A515" s="562" t="s">
        <v>1471</v>
      </c>
      <c r="B515" s="346"/>
      <c r="C515" s="346"/>
      <c r="D515" s="346"/>
      <c r="E515" s="346"/>
      <c r="F515" s="346"/>
      <c r="G515" s="346"/>
      <c r="H515" s="346"/>
      <c r="I515" s="346"/>
      <c r="J515" s="346"/>
      <c r="K515" s="346"/>
      <c r="L515" s="347"/>
      <c r="M515" s="347" t="s">
        <v>1472</v>
      </c>
      <c r="N515" s="347" t="s">
        <v>1473</v>
      </c>
    </row>
    <row r="516" spans="1:14" s="370" customFormat="1">
      <c r="A516" s="370" t="s">
        <v>1484</v>
      </c>
      <c r="B516" s="346"/>
      <c r="C516" s="346"/>
      <c r="D516" s="346"/>
      <c r="E516" s="346"/>
      <c r="F516" s="346"/>
      <c r="G516" s="346"/>
      <c r="H516" s="346"/>
      <c r="I516" s="346"/>
      <c r="J516" s="346"/>
      <c r="K516" s="346"/>
      <c r="L516" s="347"/>
      <c r="M516" s="347" t="s">
        <v>1283</v>
      </c>
      <c r="N516" s="347"/>
    </row>
    <row r="517" spans="1:14" s="370" customFormat="1">
      <c r="A517" s="347" t="s">
        <v>1512</v>
      </c>
      <c r="B517" s="346"/>
      <c r="C517" s="346"/>
      <c r="D517" s="346"/>
      <c r="E517" s="346"/>
      <c r="F517" s="346"/>
      <c r="G517" s="346"/>
      <c r="H517" s="346"/>
      <c r="I517" s="346"/>
      <c r="J517" s="346"/>
      <c r="K517" s="346"/>
      <c r="L517" s="347"/>
      <c r="M517" s="347" t="str">
        <f>+IF(Control!D35=1,"Y","N")</f>
        <v>N</v>
      </c>
    </row>
    <row r="518" spans="1:14" s="370" customFormat="1">
      <c r="A518" s="347" t="s">
        <v>1542</v>
      </c>
      <c r="B518" s="346"/>
      <c r="C518" s="346"/>
      <c r="D518" s="346"/>
      <c r="E518" s="346"/>
      <c r="F518" s="346"/>
      <c r="G518" s="346"/>
      <c r="H518" s="346"/>
      <c r="I518" s="346"/>
      <c r="J518" s="346"/>
      <c r="K518" s="346"/>
      <c r="L518" s="347"/>
      <c r="M518" s="347" t="s">
        <v>1543</v>
      </c>
      <c r="N518" s="347"/>
    </row>
    <row r="519" spans="1:14" s="370" customFormat="1">
      <c r="A519" s="347"/>
      <c r="B519" s="346"/>
      <c r="C519" s="346"/>
      <c r="D519" s="346"/>
      <c r="E519" s="346"/>
      <c r="F519" s="346"/>
      <c r="G519" s="346"/>
      <c r="H519" s="346"/>
      <c r="I519" s="346"/>
      <c r="J519" s="346"/>
      <c r="K519" s="346"/>
      <c r="L519" s="347"/>
      <c r="M519" s="347" t="s">
        <v>1543</v>
      </c>
      <c r="N519" s="347"/>
    </row>
    <row r="520" spans="1:14" s="370" customFormat="1">
      <c r="A520" s="331" t="s">
        <v>1940</v>
      </c>
      <c r="B520" s="346"/>
      <c r="C520" s="346"/>
      <c r="D520" s="346"/>
      <c r="E520" s="346"/>
      <c r="F520" s="346"/>
      <c r="G520" s="346"/>
      <c r="H520" s="346"/>
      <c r="I520" s="346"/>
      <c r="J520" s="346"/>
      <c r="K520" s="346"/>
      <c r="L520" s="347" t="s">
        <v>1314</v>
      </c>
      <c r="M520" s="347" t="str">
        <f>+IF(Control!D36=1,"Y","N")</f>
        <v>N</v>
      </c>
      <c r="N520" s="347"/>
    </row>
    <row r="521" spans="1:14" s="370" customFormat="1">
      <c r="A521" s="346"/>
      <c r="B521" s="346"/>
      <c r="C521" s="346"/>
      <c r="D521" s="346"/>
      <c r="E521" s="346"/>
      <c r="F521" s="346"/>
      <c r="G521" s="346"/>
      <c r="H521" s="346"/>
      <c r="I521" s="346"/>
      <c r="J521" s="346"/>
      <c r="K521" s="346"/>
      <c r="L521" s="347"/>
      <c r="M521" s="347" t="str">
        <f>+M520</f>
        <v>N</v>
      </c>
      <c r="N521" s="347"/>
    </row>
    <row r="522" spans="1:14" s="370" customFormat="1">
      <c r="A522" s="562" t="s">
        <v>1941</v>
      </c>
      <c r="B522" s="346"/>
      <c r="C522" s="346"/>
      <c r="D522" s="346"/>
      <c r="E522" s="346"/>
      <c r="F522" s="346"/>
      <c r="G522" s="346"/>
      <c r="H522" s="346"/>
      <c r="I522" s="346"/>
      <c r="J522" s="346"/>
      <c r="K522" s="346"/>
      <c r="L522" s="347"/>
      <c r="M522" s="347" t="str">
        <f>+M520</f>
        <v>N</v>
      </c>
      <c r="N522" s="347"/>
    </row>
    <row r="523" spans="1:14" s="370" customFormat="1">
      <c r="A523" s="346"/>
      <c r="B523" s="346"/>
      <c r="C523" s="346"/>
      <c r="D523" s="346"/>
      <c r="E523" s="346"/>
      <c r="F523" s="346"/>
      <c r="G523" s="346"/>
      <c r="H523" s="346"/>
      <c r="I523" s="346"/>
      <c r="J523" s="346"/>
      <c r="K523" s="346"/>
      <c r="L523" s="347"/>
      <c r="M523" s="347" t="str">
        <f>+M520</f>
        <v>N</v>
      </c>
      <c r="N523" s="347"/>
    </row>
    <row r="524" spans="1:14" s="370" customFormat="1">
      <c r="A524" s="330">
        <v>18</v>
      </c>
      <c r="B524" s="346">
        <v>180</v>
      </c>
      <c r="C524" s="346">
        <v>50</v>
      </c>
      <c r="D524" s="346">
        <v>20</v>
      </c>
      <c r="E524" s="346">
        <v>90</v>
      </c>
      <c r="F524" s="346">
        <v>20</v>
      </c>
      <c r="G524" s="346">
        <v>90</v>
      </c>
      <c r="H524" s="346"/>
      <c r="I524" s="346"/>
      <c r="J524" s="346"/>
      <c r="K524" s="346"/>
      <c r="L524" s="347" t="str">
        <f>+IF(Control!D36=1,"table start","")</f>
        <v/>
      </c>
      <c r="M524" s="347" t="str">
        <f>+IF(Control!D36=1,"14","N")</f>
        <v>N</v>
      </c>
      <c r="N524" s="347"/>
    </row>
    <row r="525" spans="1:14" s="370" customFormat="1">
      <c r="B525" s="346"/>
      <c r="C525" s="346"/>
      <c r="D525" s="346"/>
      <c r="E525" s="418" t="str">
        <f>E506</f>
        <v>31.12.2016</v>
      </c>
      <c r="F525" s="346"/>
      <c r="G525" s="418" t="str">
        <f>G506</f>
        <v>31.12.2016</v>
      </c>
      <c r="H525" s="346"/>
      <c r="I525" s="346"/>
      <c r="J525" s="346"/>
      <c r="K525" s="346"/>
      <c r="L525" s="347"/>
      <c r="M525" s="347" t="str">
        <f>+M520</f>
        <v>N</v>
      </c>
      <c r="N525" s="347"/>
    </row>
    <row r="526" spans="1:14" s="370" customFormat="1">
      <c r="B526" s="346"/>
      <c r="C526" s="346"/>
      <c r="D526" s="346"/>
      <c r="E526" s="346"/>
      <c r="F526" s="346"/>
      <c r="G526" s="346"/>
      <c r="H526" s="346"/>
      <c r="I526" s="346"/>
      <c r="J526" s="346"/>
      <c r="K526" s="346"/>
      <c r="L526" s="347"/>
      <c r="M526" s="347" t="str">
        <f>+M520</f>
        <v>N</v>
      </c>
      <c r="N526" s="347"/>
    </row>
    <row r="527" spans="1:14" s="370" customFormat="1">
      <c r="B527" s="346" t="s">
        <v>1315</v>
      </c>
      <c r="C527" s="346"/>
      <c r="D527" s="346"/>
      <c r="E527" s="551">
        <v>156000</v>
      </c>
      <c r="F527" s="551"/>
      <c r="G527" s="551">
        <v>149500</v>
      </c>
      <c r="H527" s="346"/>
      <c r="I527" s="346"/>
      <c r="J527" s="346"/>
      <c r="K527" s="346"/>
      <c r="L527" s="347"/>
      <c r="M527" s="347" t="str">
        <f>+M520</f>
        <v>N</v>
      </c>
      <c r="N527" s="347"/>
    </row>
    <row r="528" spans="1:14" s="370" customFormat="1">
      <c r="B528" s="346" t="s">
        <v>1316</v>
      </c>
      <c r="C528" s="346"/>
      <c r="D528" s="346"/>
      <c r="E528" s="551">
        <v>104000</v>
      </c>
      <c r="F528" s="551"/>
      <c r="G528" s="551">
        <v>0</v>
      </c>
      <c r="H528" s="346"/>
      <c r="I528" s="346"/>
      <c r="J528" s="346"/>
      <c r="K528" s="346"/>
      <c r="L528" s="347"/>
      <c r="M528" s="347" t="str">
        <f>+M520</f>
        <v>N</v>
      </c>
      <c r="N528" s="347"/>
    </row>
    <row r="529" spans="1:14" s="370" customFormat="1" ht="15.75" thickBot="1">
      <c r="B529" s="346"/>
      <c r="C529" s="346"/>
      <c r="D529" s="346"/>
      <c r="E529" s="569">
        <f>SUM(E526:E528)</f>
        <v>260000</v>
      </c>
      <c r="F529" s="551"/>
      <c r="G529" s="569">
        <f>SUM(G526:G528)</f>
        <v>149500</v>
      </c>
      <c r="H529" s="346"/>
      <c r="I529" s="346"/>
      <c r="J529" s="346"/>
      <c r="K529" s="346"/>
      <c r="L529" s="347"/>
      <c r="M529" s="347" t="str">
        <f>+M520</f>
        <v>N</v>
      </c>
      <c r="N529" s="347"/>
    </row>
    <row r="530" spans="1:14" s="370" customFormat="1" ht="15.75" thickTop="1">
      <c r="B530" s="346"/>
      <c r="C530" s="346"/>
      <c r="D530" s="346"/>
      <c r="E530" s="346"/>
      <c r="F530" s="346"/>
      <c r="G530" s="346"/>
      <c r="H530" s="346"/>
      <c r="I530" s="346"/>
      <c r="J530" s="346"/>
      <c r="K530" s="346"/>
      <c r="L530" s="347" t="str">
        <f>+IF(Control!D36=1,"table end","")</f>
        <v/>
      </c>
      <c r="M530" s="347" t="str">
        <f>+IF(Control!D36=1,"","N")</f>
        <v>N</v>
      </c>
      <c r="N530" s="347"/>
    </row>
    <row r="531" spans="1:14" s="370" customFormat="1">
      <c r="A531" s="346"/>
      <c r="B531" s="346"/>
      <c r="C531" s="346"/>
      <c r="D531" s="346"/>
      <c r="E531" s="346"/>
      <c r="F531" s="346"/>
      <c r="G531" s="346"/>
      <c r="H531" s="346"/>
      <c r="I531" s="346"/>
      <c r="J531" s="346"/>
      <c r="K531" s="346"/>
      <c r="L531" s="347"/>
      <c r="M531" s="347" t="str">
        <f>+M520</f>
        <v>N</v>
      </c>
      <c r="N531" s="347"/>
    </row>
    <row r="532" spans="1:14" s="370" customFormat="1">
      <c r="A532" s="562" t="s">
        <v>1474</v>
      </c>
      <c r="B532" s="346"/>
      <c r="C532" s="346"/>
      <c r="D532" s="346"/>
      <c r="E532" s="346"/>
      <c r="F532" s="346"/>
      <c r="G532" s="346"/>
      <c r="H532" s="346"/>
      <c r="I532" s="346"/>
      <c r="J532" s="346"/>
      <c r="K532" s="346"/>
      <c r="L532" s="347"/>
      <c r="M532" s="347" t="s">
        <v>1436</v>
      </c>
      <c r="N532" s="347" t="s">
        <v>1473</v>
      </c>
    </row>
    <row r="533" spans="1:14" s="370" customFormat="1">
      <c r="A533" s="346"/>
      <c r="B533" s="346"/>
      <c r="C533" s="346"/>
      <c r="D533" s="346"/>
      <c r="E533" s="346"/>
      <c r="F533" s="346"/>
      <c r="G533" s="346"/>
      <c r="H533" s="346"/>
      <c r="I533" s="346"/>
      <c r="J533" s="346"/>
      <c r="K533" s="346"/>
      <c r="L533" s="347"/>
      <c r="M533" s="347" t="s">
        <v>1436</v>
      </c>
      <c r="N533" s="347"/>
    </row>
    <row r="534" spans="1:14" s="370" customFormat="1">
      <c r="A534" s="423" t="s">
        <v>1437</v>
      </c>
      <c r="B534" s="346"/>
      <c r="C534" s="346"/>
      <c r="D534" s="346"/>
      <c r="E534" s="346"/>
      <c r="F534" s="346"/>
      <c r="G534" s="346"/>
      <c r="H534" s="346"/>
      <c r="I534" s="346"/>
      <c r="J534" s="346"/>
      <c r="K534" s="346"/>
      <c r="L534" s="347" t="s">
        <v>1435</v>
      </c>
      <c r="M534" s="347" t="s">
        <v>1436</v>
      </c>
      <c r="N534" s="347"/>
    </row>
    <row r="535" spans="1:14" s="370" customFormat="1">
      <c r="A535" s="346"/>
      <c r="B535" s="346"/>
      <c r="C535" s="346"/>
      <c r="D535" s="346"/>
      <c r="E535" s="346"/>
      <c r="F535" s="346"/>
      <c r="G535" s="346"/>
      <c r="H535" s="346"/>
      <c r="I535" s="346"/>
      <c r="J535" s="346"/>
      <c r="K535" s="346"/>
      <c r="L535" s="347"/>
      <c r="M535" s="347" t="s">
        <v>1436</v>
      </c>
      <c r="N535" s="347"/>
    </row>
    <row r="536" spans="1:14" s="370" customFormat="1">
      <c r="A536" s="562" t="s">
        <v>1438</v>
      </c>
      <c r="B536" s="346"/>
      <c r="C536" s="346"/>
      <c r="D536" s="346"/>
      <c r="E536" s="346"/>
      <c r="F536" s="346"/>
      <c r="G536" s="346"/>
      <c r="H536" s="346"/>
      <c r="I536" s="346"/>
      <c r="J536" s="346"/>
      <c r="K536" s="346"/>
      <c r="L536" s="347"/>
      <c r="M536" s="347" t="s">
        <v>1436</v>
      </c>
      <c r="N536" s="347"/>
    </row>
    <row r="537" spans="1:14" s="370" customFormat="1">
      <c r="A537" s="346"/>
      <c r="B537" s="346"/>
      <c r="C537" s="346"/>
      <c r="D537" s="346"/>
      <c r="E537" s="346"/>
      <c r="F537" s="346"/>
      <c r="G537" s="346"/>
      <c r="H537" s="346"/>
      <c r="I537" s="346"/>
      <c r="J537" s="346"/>
      <c r="K537" s="346"/>
      <c r="L537" s="347"/>
      <c r="M537" s="347" t="s">
        <v>1436</v>
      </c>
      <c r="N537" s="347"/>
    </row>
    <row r="538" spans="1:14" s="370" customFormat="1">
      <c r="A538" s="562" t="s">
        <v>1434</v>
      </c>
      <c r="B538" s="346"/>
      <c r="C538" s="346"/>
      <c r="D538" s="346"/>
      <c r="E538" s="346"/>
      <c r="F538" s="346"/>
      <c r="G538" s="346"/>
      <c r="H538" s="346"/>
      <c r="I538" s="346"/>
      <c r="J538" s="346"/>
      <c r="K538" s="346"/>
      <c r="L538" s="347"/>
      <c r="M538" s="347" t="s">
        <v>1436</v>
      </c>
      <c r="N538" s="347"/>
    </row>
    <row r="539" spans="1:14" s="370" customFormat="1">
      <c r="A539" s="562"/>
      <c r="B539" s="346"/>
      <c r="C539" s="346"/>
      <c r="D539" s="346"/>
      <c r="E539" s="346"/>
      <c r="F539" s="346"/>
      <c r="G539" s="346"/>
      <c r="H539" s="346"/>
      <c r="I539" s="346"/>
      <c r="J539" s="346"/>
      <c r="K539" s="346"/>
      <c r="L539" s="347"/>
      <c r="M539" s="347" t="s">
        <v>1436</v>
      </c>
      <c r="N539" s="347"/>
    </row>
    <row r="540" spans="1:14" s="370" customFormat="1">
      <c r="A540" s="562" t="s">
        <v>1439</v>
      </c>
      <c r="B540" s="346"/>
      <c r="C540" s="346"/>
      <c r="D540" s="346"/>
      <c r="E540" s="346"/>
      <c r="F540" s="346"/>
      <c r="G540" s="346"/>
      <c r="H540" s="346"/>
      <c r="I540" s="346"/>
      <c r="J540" s="346"/>
      <c r="K540" s="346"/>
      <c r="L540" s="347"/>
      <c r="M540" s="347" t="s">
        <v>1436</v>
      </c>
      <c r="N540" s="347"/>
    </row>
    <row r="541" spans="1:14" s="370" customFormat="1">
      <c r="A541" s="346"/>
      <c r="B541" s="346"/>
      <c r="C541" s="346"/>
      <c r="D541" s="346"/>
      <c r="E541" s="346"/>
      <c r="F541" s="346"/>
      <c r="G541" s="346"/>
      <c r="H541" s="346"/>
      <c r="I541" s="346"/>
      <c r="J541" s="346"/>
      <c r="K541" s="346"/>
      <c r="L541" s="347"/>
      <c r="M541" s="347" t="s">
        <v>1436</v>
      </c>
      <c r="N541" s="347"/>
    </row>
    <row r="542" spans="1:14">
      <c r="A542" s="331" t="s">
        <v>896</v>
      </c>
      <c r="L542" s="312" t="s">
        <v>809</v>
      </c>
      <c r="M542" s="312" t="str">
        <f>+IF(Control!D30=1,"Y","N")</f>
        <v>N</v>
      </c>
    </row>
    <row r="543" spans="1:14">
      <c r="M543" s="312" t="str">
        <f>+IF(Control!D30=1,"Y","N")</f>
        <v>N</v>
      </c>
    </row>
    <row r="544" spans="1:14">
      <c r="A544" s="330" t="s">
        <v>897</v>
      </c>
      <c r="M544" s="312" t="str">
        <f>+IF(Control!D30=1,"Y","N")</f>
        <v>N</v>
      </c>
    </row>
    <row r="545" spans="1:14">
      <c r="M545" s="312" t="s">
        <v>3</v>
      </c>
    </row>
    <row r="546" spans="1:14">
      <c r="A546" s="331" t="s">
        <v>896</v>
      </c>
      <c r="M546" s="312" t="s">
        <v>1532</v>
      </c>
    </row>
    <row r="547" spans="1:14">
      <c r="M547" s="312" t="str">
        <f>+M546</f>
        <v>N</v>
      </c>
    </row>
    <row r="548" spans="1:14">
      <c r="A548" s="561" t="s">
        <v>1937</v>
      </c>
      <c r="M548" s="312" t="str">
        <f>+M547</f>
        <v>N</v>
      </c>
    </row>
    <row r="549" spans="1:14">
      <c r="A549" s="561"/>
      <c r="M549" s="312" t="str">
        <f>+M548</f>
        <v>N</v>
      </c>
    </row>
    <row r="550" spans="1:14">
      <c r="A550" s="423" t="s">
        <v>1915</v>
      </c>
      <c r="M550" s="312" t="s">
        <v>1917</v>
      </c>
      <c r="N550" s="347" t="s">
        <v>1918</v>
      </c>
    </row>
    <row r="551" spans="1:14">
      <c r="A551" s="561"/>
      <c r="M551" s="312" t="str">
        <f>+M550</f>
        <v>N</v>
      </c>
      <c r="N551" s="347" t="s">
        <v>1918</v>
      </c>
    </row>
    <row r="552" spans="1:14">
      <c r="A552" s="561" t="s">
        <v>1916</v>
      </c>
      <c r="M552" s="312" t="str">
        <f>+M550</f>
        <v>N</v>
      </c>
      <c r="N552" s="347" t="s">
        <v>1918</v>
      </c>
    </row>
    <row r="553" spans="1:14">
      <c r="A553" s="561"/>
      <c r="M553" s="312" t="str">
        <f>+M550</f>
        <v>N</v>
      </c>
      <c r="N553" s="347" t="s">
        <v>1918</v>
      </c>
    </row>
    <row r="554" spans="1:14">
      <c r="A554" s="423" t="s">
        <v>1919</v>
      </c>
      <c r="M554" s="312" t="s">
        <v>1917</v>
      </c>
    </row>
    <row r="555" spans="1:14">
      <c r="A555" s="561"/>
      <c r="M555" s="312" t="str">
        <f>+M554</f>
        <v>N</v>
      </c>
    </row>
    <row r="556" spans="1:14">
      <c r="A556" s="561" t="s">
        <v>1920</v>
      </c>
      <c r="M556" s="312" t="str">
        <f>+M554</f>
        <v>N</v>
      </c>
    </row>
    <row r="557" spans="1:14">
      <c r="A557" s="561"/>
      <c r="M557" s="312" t="str">
        <f>+M554</f>
        <v>N</v>
      </c>
    </row>
    <row r="558" spans="1:14">
      <c r="L558" s="312" t="s">
        <v>11</v>
      </c>
    </row>
    <row r="561" spans="1:1">
      <c r="A561" s="561" t="s">
        <v>1935</v>
      </c>
    </row>
    <row r="563" spans="1:1">
      <c r="A563" s="561" t="s">
        <v>1936</v>
      </c>
    </row>
  </sheetData>
  <phoneticPr fontId="13" type="noConversion"/>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4">
    <pageSetUpPr fitToPage="1"/>
  </sheetPr>
  <dimension ref="A1:X73"/>
  <sheetViews>
    <sheetView workbookViewId="0">
      <selection activeCell="M1" sqref="M1:X1048576"/>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24" width="9" style="594" collapsed="1"/>
    <col min="25" max="16384" width="9" style="1" collapsed="1"/>
  </cols>
  <sheetData>
    <row r="1" spans="1:24" ht="22.5">
      <c r="A1" s="899" t="str">
        <f>+CONCATENATE(Control!D136,M1,Control!D138)</f>
        <v>Matthew S.H. Law 羅城熙執業會計師</v>
      </c>
      <c r="B1" s="899"/>
      <c r="C1" s="899"/>
      <c r="D1" s="899"/>
      <c r="E1" s="899"/>
      <c r="F1" s="899"/>
      <c r="G1" s="899"/>
      <c r="H1" s="899"/>
      <c r="I1" s="899"/>
      <c r="J1" s="899"/>
      <c r="K1" s="899"/>
      <c r="L1" s="899"/>
      <c r="M1" s="594" t="s">
        <v>172</v>
      </c>
    </row>
    <row r="2" spans="1:24">
      <c r="A2" s="278"/>
    </row>
    <row r="3" spans="1:24" s="130" customFormat="1">
      <c r="A3" s="274"/>
      <c r="B3" s="274"/>
      <c r="C3" s="274"/>
      <c r="M3" s="734"/>
      <c r="N3" s="734"/>
      <c r="O3" s="734"/>
      <c r="P3" s="734"/>
      <c r="Q3" s="734"/>
      <c r="R3" s="734"/>
      <c r="S3" s="734"/>
      <c r="T3" s="734"/>
      <c r="U3" s="734"/>
      <c r="V3" s="734"/>
      <c r="W3" s="734"/>
      <c r="X3" s="734"/>
    </row>
    <row r="4" spans="1:24" s="130" customFormat="1">
      <c r="A4" s="279"/>
      <c r="B4" s="274"/>
      <c r="C4" s="274"/>
      <c r="M4" s="734"/>
      <c r="N4" s="734"/>
      <c r="O4" s="734"/>
      <c r="P4" s="734"/>
      <c r="Q4" s="734"/>
      <c r="R4" s="734"/>
      <c r="S4" s="734"/>
      <c r="T4" s="734"/>
      <c r="U4" s="734"/>
      <c r="V4" s="734"/>
      <c r="W4" s="734"/>
      <c r="X4" s="734"/>
    </row>
    <row r="5" spans="1:24" s="282" customFormat="1" ht="19.5">
      <c r="A5" s="281"/>
      <c r="B5" s="281" t="s">
        <v>930</v>
      </c>
      <c r="C5" s="281"/>
      <c r="D5" s="286"/>
      <c r="M5" s="735"/>
      <c r="N5" s="735"/>
      <c r="O5" s="735"/>
      <c r="P5" s="735"/>
      <c r="Q5" s="735"/>
      <c r="R5" s="735"/>
      <c r="S5" s="735"/>
      <c r="T5" s="735"/>
      <c r="U5" s="735"/>
      <c r="V5" s="735"/>
      <c r="W5" s="735"/>
      <c r="X5" s="735"/>
    </row>
    <row r="6" spans="1:24" s="282" customFormat="1" ht="18.75">
      <c r="A6" s="281"/>
      <c r="B6" s="281"/>
      <c r="C6" s="281"/>
      <c r="M6" s="735"/>
      <c r="N6" s="735"/>
      <c r="O6" s="735"/>
      <c r="P6" s="735"/>
      <c r="Q6" s="735"/>
      <c r="R6" s="735"/>
      <c r="S6" s="735"/>
      <c r="T6" s="735"/>
      <c r="U6" s="735"/>
      <c r="V6" s="735"/>
      <c r="W6" s="735"/>
      <c r="X6" s="735"/>
    </row>
    <row r="7" spans="1:24" s="282" customFormat="1" ht="18.75">
      <c r="A7" s="281"/>
      <c r="B7" s="281"/>
      <c r="C7" s="281"/>
      <c r="M7" s="736"/>
      <c r="N7" s="737"/>
      <c r="O7" s="735"/>
      <c r="P7" s="735"/>
      <c r="Q7" s="735"/>
      <c r="R7" s="735"/>
      <c r="S7" s="735"/>
      <c r="T7" s="735"/>
      <c r="U7" s="735"/>
      <c r="V7" s="735"/>
      <c r="W7" s="735"/>
      <c r="X7" s="735"/>
    </row>
    <row r="8" spans="1:24" s="282" customFormat="1" ht="19.5">
      <c r="A8" s="281"/>
      <c r="B8" s="281" t="str">
        <f>+CONCATENATE(+M8,N8)</f>
        <v>致: 匯新興業有限公司</v>
      </c>
      <c r="C8" s="281"/>
      <c r="M8" s="735" t="s">
        <v>1787</v>
      </c>
      <c r="N8" s="735" t="str">
        <f>+Control!D4</f>
        <v>匯新興業有限公司</v>
      </c>
      <c r="O8" s="735"/>
      <c r="P8" s="735"/>
      <c r="Q8" s="735"/>
      <c r="R8" s="735"/>
      <c r="S8" s="735"/>
      <c r="T8" s="735"/>
      <c r="U8" s="735"/>
      <c r="V8" s="735"/>
      <c r="W8" s="735"/>
      <c r="X8" s="735"/>
    </row>
    <row r="9" spans="1:24" s="282" customFormat="1" ht="18.75">
      <c r="A9" s="281"/>
      <c r="B9" s="281"/>
      <c r="C9" s="281"/>
      <c r="M9" s="735"/>
      <c r="N9" s="735"/>
      <c r="O9" s="735"/>
      <c r="P9" s="735"/>
      <c r="Q9" s="735"/>
      <c r="R9" s="735"/>
      <c r="S9" s="735"/>
      <c r="T9" s="735"/>
      <c r="U9" s="735"/>
      <c r="V9" s="735"/>
      <c r="W9" s="735"/>
      <c r="X9" s="735"/>
    </row>
    <row r="10" spans="1:24" s="282" customFormat="1" ht="18.75">
      <c r="A10" s="281"/>
      <c r="B10" s="281"/>
      <c r="C10" s="281"/>
      <c r="M10" s="735"/>
      <c r="N10" s="735"/>
      <c r="O10" s="735"/>
      <c r="P10" s="735"/>
      <c r="Q10" s="735"/>
      <c r="R10" s="735"/>
      <c r="S10" s="735"/>
      <c r="T10" s="735"/>
      <c r="U10" s="735"/>
      <c r="V10" s="735"/>
      <c r="W10" s="735"/>
      <c r="X10" s="735"/>
    </row>
    <row r="11" spans="1:24" s="282" customFormat="1" ht="19.5">
      <c r="A11" s="281"/>
      <c r="B11" s="290" t="str">
        <f>+CONCATENATE(M11,N11,O11)</f>
        <v>關於: 截至2016年12月31日日的審計及報稅服務</v>
      </c>
      <c r="C11" s="281"/>
      <c r="M11" s="737" t="s">
        <v>1788</v>
      </c>
      <c r="N11" s="735" t="str">
        <f>TEXT(Control!D12,"yyyy年m月d日")</f>
        <v>2016年12月31日</v>
      </c>
      <c r="O11" s="738" t="s">
        <v>931</v>
      </c>
      <c r="P11" s="735"/>
      <c r="Q11" s="735"/>
      <c r="R11" s="735"/>
      <c r="S11" s="735"/>
      <c r="T11" s="735"/>
      <c r="U11" s="735"/>
      <c r="V11" s="735"/>
      <c r="W11" s="735"/>
      <c r="X11" s="735"/>
    </row>
    <row r="12" spans="1:24" s="282" customFormat="1" ht="18.75">
      <c r="A12" s="283"/>
      <c r="B12" s="281"/>
      <c r="C12" s="281"/>
      <c r="M12" s="735"/>
      <c r="N12" s="735"/>
      <c r="O12" s="735"/>
      <c r="P12" s="735"/>
      <c r="Q12" s="735"/>
      <c r="R12" s="735"/>
      <c r="S12" s="735"/>
      <c r="T12" s="735"/>
      <c r="U12" s="735"/>
      <c r="V12" s="735"/>
      <c r="W12" s="735"/>
      <c r="X12" s="735"/>
    </row>
    <row r="13" spans="1:24" s="282" customFormat="1" ht="16.5" customHeight="1">
      <c r="A13" s="281"/>
      <c r="B13" s="281"/>
      <c r="C13" s="281"/>
      <c r="D13" s="281"/>
      <c r="E13" s="281"/>
      <c r="F13" s="281"/>
      <c r="G13" s="281"/>
      <c r="H13" s="281"/>
      <c r="I13" s="281"/>
      <c r="J13" s="281"/>
      <c r="K13" s="281"/>
      <c r="L13" s="281"/>
      <c r="M13" s="735"/>
      <c r="N13" s="735"/>
      <c r="O13" s="735"/>
      <c r="P13" s="735"/>
      <c r="Q13" s="735"/>
      <c r="R13" s="735"/>
      <c r="S13" s="735"/>
      <c r="T13" s="735"/>
      <c r="U13" s="735"/>
      <c r="V13" s="735"/>
      <c r="W13" s="735"/>
      <c r="X13" s="735"/>
    </row>
    <row r="14" spans="1:24" s="282" customFormat="1" ht="19.5" customHeight="1">
      <c r="A14" s="281"/>
      <c r="B14" s="1051" t="s">
        <v>932</v>
      </c>
      <c r="C14" s="1051"/>
      <c r="D14" s="1051"/>
      <c r="E14" s="1051"/>
      <c r="F14" s="1051"/>
      <c r="G14" s="1051"/>
      <c r="H14" s="1051"/>
      <c r="I14" s="1051"/>
      <c r="J14" s="1051"/>
      <c r="K14" s="1051"/>
      <c r="L14" s="281"/>
      <c r="M14" s="735"/>
      <c r="N14" s="735"/>
      <c r="O14" s="735"/>
      <c r="P14" s="735"/>
      <c r="Q14" s="735"/>
      <c r="R14" s="735"/>
      <c r="S14" s="735"/>
      <c r="T14" s="735"/>
      <c r="U14" s="735"/>
      <c r="V14" s="735"/>
      <c r="W14" s="735"/>
      <c r="X14" s="735"/>
    </row>
    <row r="15" spans="1:24" s="282" customFormat="1" ht="18.75">
      <c r="A15" s="281"/>
      <c r="B15" s="1051"/>
      <c r="C15" s="1051"/>
      <c r="D15" s="1051"/>
      <c r="E15" s="1051"/>
      <c r="F15" s="1051"/>
      <c r="G15" s="1051"/>
      <c r="H15" s="1051"/>
      <c r="I15" s="1051"/>
      <c r="J15" s="1051"/>
      <c r="K15" s="1051"/>
      <c r="L15" s="281"/>
      <c r="M15" s="736"/>
      <c r="N15" s="735"/>
      <c r="O15" s="735"/>
      <c r="P15" s="735"/>
      <c r="Q15" s="735"/>
      <c r="R15" s="735"/>
      <c r="S15" s="735"/>
      <c r="T15" s="735"/>
      <c r="U15" s="735"/>
      <c r="V15" s="735"/>
      <c r="W15" s="735"/>
      <c r="X15" s="735"/>
    </row>
    <row r="16" spans="1:24" s="282" customFormat="1" ht="18.75">
      <c r="A16" s="281"/>
      <c r="B16" s="281"/>
      <c r="C16" s="281"/>
      <c r="M16" s="735"/>
      <c r="N16" s="735"/>
      <c r="O16" s="735"/>
      <c r="P16" s="735"/>
      <c r="Q16" s="735"/>
      <c r="R16" s="735"/>
      <c r="S16" s="735"/>
      <c r="T16" s="735"/>
      <c r="U16" s="735"/>
      <c r="V16" s="735"/>
      <c r="W16" s="735"/>
      <c r="X16" s="735"/>
    </row>
    <row r="17" spans="1:24" s="282" customFormat="1" ht="19.5">
      <c r="A17" s="284"/>
      <c r="B17" s="1051" t="s">
        <v>933</v>
      </c>
      <c r="C17" s="1051"/>
      <c r="D17" s="1051"/>
      <c r="E17" s="1051"/>
      <c r="F17" s="1051"/>
      <c r="G17" s="1051"/>
      <c r="H17" s="1051"/>
      <c r="I17" s="1051"/>
      <c r="J17" s="1051"/>
      <c r="K17" s="1051"/>
      <c r="L17" s="285"/>
      <c r="M17" s="735"/>
      <c r="N17" s="735"/>
      <c r="O17" s="735"/>
      <c r="P17" s="735"/>
      <c r="Q17" s="735"/>
      <c r="R17" s="735"/>
      <c r="S17" s="735"/>
      <c r="T17" s="735"/>
      <c r="U17" s="735"/>
      <c r="V17" s="735"/>
      <c r="W17" s="735"/>
      <c r="X17" s="735"/>
    </row>
    <row r="18" spans="1:24" s="282" customFormat="1" ht="25.5" customHeight="1">
      <c r="A18" s="281"/>
      <c r="B18" s="1051"/>
      <c r="C18" s="1051"/>
      <c r="D18" s="1051"/>
      <c r="E18" s="1051"/>
      <c r="F18" s="1051"/>
      <c r="G18" s="1051"/>
      <c r="H18" s="1051"/>
      <c r="I18" s="1051"/>
      <c r="J18" s="1051"/>
      <c r="K18" s="1051"/>
      <c r="M18" s="735"/>
      <c r="N18" s="735"/>
      <c r="O18" s="735"/>
      <c r="P18" s="735"/>
      <c r="Q18" s="735"/>
      <c r="R18" s="735"/>
      <c r="S18" s="735"/>
      <c r="T18" s="735"/>
      <c r="U18" s="735"/>
      <c r="V18" s="735"/>
      <c r="W18" s="735"/>
      <c r="X18" s="735"/>
    </row>
    <row r="19" spans="1:24" s="282" customFormat="1" ht="18.75">
      <c r="A19" s="281"/>
      <c r="B19" s="281"/>
      <c r="C19" s="1050"/>
      <c r="D19" s="1050"/>
      <c r="E19" s="1050"/>
      <c r="F19" s="1050"/>
      <c r="G19" s="1050"/>
      <c r="H19" s="1050"/>
      <c r="I19" s="1050"/>
      <c r="J19" s="1050"/>
      <c r="K19" s="1050"/>
      <c r="L19" s="1050"/>
      <c r="M19" s="735"/>
      <c r="N19" s="735"/>
      <c r="O19" s="735"/>
      <c r="P19" s="735"/>
      <c r="Q19" s="735"/>
      <c r="R19" s="735"/>
      <c r="S19" s="735"/>
      <c r="T19" s="735"/>
      <c r="U19" s="735"/>
      <c r="V19" s="735"/>
      <c r="W19" s="735"/>
      <c r="X19" s="735"/>
    </row>
    <row r="20" spans="1:24" s="282" customFormat="1" ht="19.5">
      <c r="A20" s="284"/>
      <c r="B20" s="284" t="s">
        <v>934</v>
      </c>
      <c r="C20" s="281"/>
      <c r="M20" s="735"/>
      <c r="N20" s="735"/>
      <c r="O20" s="735"/>
      <c r="P20" s="735"/>
      <c r="Q20" s="735"/>
      <c r="R20" s="735"/>
      <c r="S20" s="735"/>
      <c r="T20" s="735"/>
      <c r="U20" s="735"/>
      <c r="V20" s="735"/>
      <c r="W20" s="735"/>
      <c r="X20" s="735"/>
    </row>
    <row r="21" spans="1:24" s="282" customFormat="1" ht="18.75">
      <c r="A21" s="281"/>
      <c r="B21" s="281"/>
      <c r="C21" s="1050"/>
      <c r="D21" s="1050"/>
      <c r="E21" s="1050"/>
      <c r="F21" s="1050"/>
      <c r="G21" s="1050"/>
      <c r="H21" s="1050"/>
      <c r="I21" s="1050"/>
      <c r="J21" s="1050"/>
      <c r="K21" s="1050"/>
      <c r="L21" s="1050"/>
      <c r="M21" s="735"/>
      <c r="N21" s="735"/>
      <c r="O21" s="735"/>
      <c r="P21" s="735"/>
      <c r="Q21" s="735"/>
      <c r="R21" s="735"/>
      <c r="S21" s="735"/>
      <c r="T21" s="735"/>
      <c r="U21" s="735"/>
      <c r="V21" s="735"/>
      <c r="W21" s="735"/>
      <c r="X21" s="735"/>
    </row>
    <row r="22" spans="1:24" s="282" customFormat="1" ht="19.5">
      <c r="A22" s="284"/>
      <c r="B22" s="284" t="s">
        <v>935</v>
      </c>
      <c r="C22" s="281"/>
      <c r="M22" s="735"/>
      <c r="N22" s="735"/>
      <c r="O22" s="735"/>
      <c r="P22" s="735"/>
      <c r="Q22" s="735"/>
      <c r="R22" s="735"/>
      <c r="S22" s="735"/>
      <c r="T22" s="735"/>
      <c r="U22" s="735"/>
      <c r="V22" s="735"/>
      <c r="W22" s="735"/>
      <c r="X22" s="735"/>
    </row>
    <row r="23" spans="1:24" s="282" customFormat="1" ht="18.75">
      <c r="A23" s="281"/>
      <c r="B23" s="281"/>
      <c r="C23" s="1050"/>
      <c r="D23" s="1050"/>
      <c r="E23" s="1050"/>
      <c r="F23" s="1050"/>
      <c r="G23" s="1050"/>
      <c r="H23" s="1050"/>
      <c r="I23" s="1050"/>
      <c r="J23" s="1050"/>
      <c r="K23" s="1050"/>
      <c r="L23" s="1050"/>
      <c r="M23" s="735"/>
      <c r="N23" s="735"/>
      <c r="O23" s="735"/>
      <c r="P23" s="735"/>
      <c r="Q23" s="735"/>
      <c r="R23" s="735"/>
      <c r="S23" s="735"/>
      <c r="T23" s="735"/>
      <c r="U23" s="735"/>
      <c r="V23" s="735"/>
      <c r="W23" s="735"/>
      <c r="X23" s="735"/>
    </row>
    <row r="24" spans="1:24" s="282" customFormat="1" ht="18.75">
      <c r="A24" s="281"/>
      <c r="B24" s="281"/>
      <c r="C24" s="281"/>
      <c r="M24" s="735"/>
      <c r="N24" s="735"/>
      <c r="O24" s="735"/>
      <c r="P24" s="735"/>
      <c r="Q24" s="735"/>
      <c r="R24" s="735"/>
      <c r="S24" s="735"/>
      <c r="T24" s="735"/>
      <c r="U24" s="735"/>
      <c r="V24" s="735"/>
      <c r="W24" s="735"/>
      <c r="X24" s="735"/>
    </row>
    <row r="25" spans="1:24" s="282" customFormat="1" ht="18.75">
      <c r="A25" s="281"/>
      <c r="B25" s="281"/>
      <c r="C25" s="281"/>
      <c r="M25" s="735"/>
      <c r="N25" s="735"/>
      <c r="O25" s="735"/>
      <c r="P25" s="735"/>
      <c r="Q25" s="735"/>
      <c r="R25" s="735"/>
      <c r="S25" s="735"/>
      <c r="T25" s="735"/>
      <c r="U25" s="735"/>
      <c r="V25" s="735"/>
      <c r="W25" s="735"/>
      <c r="X25" s="735"/>
    </row>
    <row r="26" spans="1:24" s="282" customFormat="1" ht="18.75">
      <c r="A26" s="281"/>
      <c r="B26" s="281"/>
      <c r="C26" s="281"/>
      <c r="M26" s="735"/>
      <c r="N26" s="735"/>
      <c r="O26" s="735"/>
      <c r="P26" s="735"/>
      <c r="Q26" s="735"/>
      <c r="R26" s="735"/>
      <c r="S26" s="735"/>
      <c r="T26" s="735"/>
      <c r="U26" s="735"/>
      <c r="V26" s="735"/>
      <c r="W26" s="735"/>
      <c r="X26" s="735"/>
    </row>
    <row r="27" spans="1:24" s="282" customFormat="1" ht="18.75">
      <c r="A27" s="281"/>
      <c r="B27" s="281"/>
      <c r="C27" s="281"/>
      <c r="D27" s="1052"/>
      <c r="E27" s="1052"/>
      <c r="F27" s="1052"/>
      <c r="G27" s="1052"/>
      <c r="H27" s="1052"/>
      <c r="I27" s="1052"/>
      <c r="J27" s="1052"/>
      <c r="K27" s="1052"/>
      <c r="L27" s="1052"/>
      <c r="M27" s="739"/>
      <c r="N27" s="735"/>
      <c r="O27" s="735"/>
      <c r="P27" s="735"/>
      <c r="Q27" s="735"/>
      <c r="R27" s="735"/>
      <c r="S27" s="735"/>
      <c r="T27" s="735"/>
      <c r="U27" s="735"/>
      <c r="V27" s="735"/>
      <c r="W27" s="735"/>
      <c r="X27" s="735"/>
    </row>
    <row r="28" spans="1:24" s="282" customFormat="1" ht="19.5">
      <c r="A28" s="284"/>
      <c r="B28" s="284" t="s">
        <v>125</v>
      </c>
      <c r="C28" s="281"/>
      <c r="M28" s="735"/>
      <c r="N28" s="735"/>
      <c r="O28" s="735"/>
      <c r="P28" s="735"/>
      <c r="Q28" s="735"/>
      <c r="R28" s="735"/>
      <c r="S28" s="735"/>
      <c r="T28" s="735"/>
      <c r="U28" s="735"/>
      <c r="V28" s="735"/>
      <c r="W28" s="735"/>
      <c r="X28" s="735"/>
    </row>
    <row r="29" spans="1:24" s="282" customFormat="1" ht="18.75">
      <c r="A29" s="281"/>
      <c r="B29" s="281"/>
      <c r="C29" s="281"/>
      <c r="M29" s="735"/>
      <c r="N29" s="735"/>
      <c r="O29" s="735"/>
      <c r="P29" s="735"/>
      <c r="Q29" s="735"/>
      <c r="R29" s="735"/>
      <c r="S29" s="735"/>
      <c r="T29" s="735"/>
      <c r="U29" s="735"/>
      <c r="V29" s="735"/>
      <c r="W29" s="735"/>
      <c r="X29" s="735"/>
    </row>
    <row r="30" spans="1:24" s="282" customFormat="1" ht="18.75">
      <c r="A30" s="281"/>
      <c r="B30" s="281"/>
      <c r="C30" s="281"/>
      <c r="M30" s="735"/>
      <c r="N30" s="735"/>
      <c r="O30" s="735"/>
      <c r="P30" s="735"/>
      <c r="Q30" s="735"/>
      <c r="R30" s="735"/>
      <c r="S30" s="735"/>
      <c r="T30" s="735"/>
      <c r="U30" s="735"/>
      <c r="V30" s="735"/>
      <c r="W30" s="735"/>
      <c r="X30" s="735"/>
    </row>
    <row r="31" spans="1:24" s="282" customFormat="1" ht="18.75">
      <c r="A31" s="281"/>
      <c r="B31" s="281"/>
      <c r="C31" s="281"/>
      <c r="D31" s="1052"/>
      <c r="E31" s="1052"/>
      <c r="F31" s="1052"/>
      <c r="G31" s="1052"/>
      <c r="H31" s="1052"/>
      <c r="I31" s="1052"/>
      <c r="J31" s="1052"/>
      <c r="K31" s="1052"/>
      <c r="L31" s="1052"/>
      <c r="M31" s="735"/>
      <c r="N31" s="735"/>
      <c r="O31" s="735"/>
      <c r="P31" s="735"/>
      <c r="Q31" s="735"/>
      <c r="R31" s="735"/>
      <c r="S31" s="735"/>
      <c r="T31" s="735"/>
      <c r="U31" s="735"/>
      <c r="V31" s="735"/>
      <c r="W31" s="735"/>
      <c r="X31" s="735"/>
    </row>
    <row r="32" spans="1:24" s="282" customFormat="1" ht="18.75">
      <c r="A32" s="281"/>
      <c r="B32" s="281"/>
      <c r="C32" s="281"/>
      <c r="M32" s="735"/>
      <c r="N32" s="735"/>
      <c r="O32" s="735"/>
      <c r="P32" s="735"/>
      <c r="Q32" s="735"/>
      <c r="R32" s="735"/>
      <c r="S32" s="735"/>
      <c r="T32" s="735"/>
      <c r="U32" s="735"/>
      <c r="V32" s="735"/>
      <c r="W32" s="735"/>
      <c r="X32" s="735"/>
    </row>
    <row r="33" spans="1:24" s="282" customFormat="1" ht="18.75">
      <c r="A33" s="281"/>
      <c r="B33" s="281"/>
      <c r="C33" s="1050"/>
      <c r="D33" s="1050"/>
      <c r="E33" s="1050"/>
      <c r="F33" s="1050"/>
      <c r="G33" s="1050"/>
      <c r="H33" s="1050"/>
      <c r="I33" s="1050"/>
      <c r="J33" s="1050"/>
      <c r="K33" s="1050"/>
      <c r="L33" s="1050"/>
      <c r="M33" s="735"/>
      <c r="N33" s="735"/>
      <c r="O33" s="735"/>
      <c r="P33" s="735"/>
      <c r="Q33" s="735"/>
      <c r="R33" s="735"/>
      <c r="S33" s="735"/>
      <c r="T33" s="735"/>
      <c r="U33" s="735"/>
      <c r="V33" s="735"/>
      <c r="W33" s="735"/>
      <c r="X33" s="735"/>
    </row>
    <row r="34" spans="1:24" s="130" customFormat="1">
      <c r="A34" s="274"/>
      <c r="B34" s="274"/>
      <c r="C34" s="274"/>
      <c r="M34" s="734"/>
      <c r="N34" s="734"/>
      <c r="O34" s="734"/>
      <c r="P34" s="734"/>
      <c r="Q34" s="734"/>
      <c r="R34" s="734"/>
      <c r="S34" s="734"/>
      <c r="T34" s="734"/>
      <c r="U34" s="734"/>
      <c r="V34" s="734"/>
      <c r="W34" s="734"/>
      <c r="X34" s="734"/>
    </row>
    <row r="35" spans="1:24" s="130" customFormat="1">
      <c r="A35" s="274"/>
      <c r="B35" s="274"/>
      <c r="C35" s="274"/>
      <c r="M35" s="734"/>
      <c r="N35" s="734"/>
      <c r="O35" s="734"/>
      <c r="P35" s="734"/>
      <c r="Q35" s="734"/>
      <c r="R35" s="734"/>
      <c r="S35" s="734"/>
      <c r="T35" s="734"/>
      <c r="U35" s="734"/>
      <c r="V35" s="734"/>
      <c r="W35" s="734"/>
      <c r="X35" s="734"/>
    </row>
    <row r="36" spans="1:24" s="130" customFormat="1">
      <c r="A36" s="280"/>
      <c r="B36" s="274"/>
      <c r="C36" s="274"/>
      <c r="M36" s="734"/>
      <c r="N36" s="734"/>
      <c r="O36" s="734"/>
      <c r="P36" s="734"/>
      <c r="Q36" s="734"/>
      <c r="R36" s="734"/>
      <c r="S36" s="734"/>
      <c r="T36" s="734"/>
      <c r="U36" s="734"/>
      <c r="V36" s="734"/>
      <c r="W36" s="734"/>
      <c r="X36" s="734"/>
    </row>
    <row r="37" spans="1:24" s="130" customFormat="1">
      <c r="A37" s="274"/>
      <c r="B37" s="274"/>
      <c r="C37" s="274"/>
      <c r="M37" s="734"/>
      <c r="N37" s="734"/>
      <c r="O37" s="734"/>
      <c r="P37" s="734"/>
      <c r="Q37" s="734"/>
      <c r="R37" s="734"/>
      <c r="S37" s="734"/>
      <c r="T37" s="734"/>
      <c r="U37" s="734"/>
      <c r="V37" s="734"/>
      <c r="W37" s="734"/>
      <c r="X37" s="734"/>
    </row>
    <row r="38" spans="1:24" s="130" customFormat="1">
      <c r="A38" s="276"/>
      <c r="B38" s="273"/>
      <c r="C38" s="273"/>
      <c r="D38" s="275"/>
      <c r="E38" s="275"/>
      <c r="F38" s="275"/>
      <c r="G38" s="275"/>
      <c r="H38" s="275"/>
      <c r="I38" s="275"/>
      <c r="J38" s="275"/>
      <c r="K38" s="275"/>
      <c r="L38" s="275"/>
      <c r="M38" s="734"/>
      <c r="N38" s="734"/>
      <c r="O38" s="734"/>
      <c r="P38" s="734"/>
      <c r="Q38" s="734"/>
      <c r="R38" s="734"/>
      <c r="S38" s="734"/>
      <c r="T38" s="734"/>
      <c r="U38" s="734"/>
      <c r="V38" s="734"/>
      <c r="W38" s="734"/>
      <c r="X38" s="734"/>
    </row>
    <row r="39" spans="1:24" s="130" customFormat="1">
      <c r="A39" s="274"/>
      <c r="B39" s="274"/>
      <c r="C39" s="274"/>
      <c r="L39" s="277"/>
      <c r="M39" s="734"/>
      <c r="N39" s="734"/>
      <c r="O39" s="734"/>
      <c r="P39" s="734"/>
      <c r="Q39" s="734"/>
      <c r="R39" s="734"/>
      <c r="S39" s="734"/>
      <c r="T39" s="734"/>
      <c r="U39" s="734"/>
      <c r="V39" s="734"/>
      <c r="W39" s="734"/>
      <c r="X39" s="734"/>
    </row>
    <row r="40" spans="1:24" s="130" customFormat="1">
      <c r="A40" s="1054"/>
      <c r="B40" s="1054"/>
      <c r="C40" s="1054"/>
      <c r="D40" s="1054"/>
      <c r="E40" s="1054"/>
      <c r="F40" s="1054"/>
      <c r="G40" s="1054"/>
      <c r="H40" s="1054"/>
      <c r="I40" s="1054"/>
      <c r="J40" s="1054"/>
      <c r="K40" s="1054"/>
      <c r="L40" s="1054"/>
      <c r="M40" s="734"/>
      <c r="N40" s="734"/>
      <c r="O40" s="734"/>
      <c r="P40" s="734"/>
      <c r="Q40" s="734"/>
      <c r="R40" s="734"/>
      <c r="S40" s="734"/>
      <c r="T40" s="734"/>
      <c r="U40" s="734"/>
      <c r="V40" s="734"/>
      <c r="W40" s="734"/>
      <c r="X40" s="734"/>
    </row>
    <row r="41" spans="1:24" ht="22.5">
      <c r="A41" s="899" t="str">
        <f>+CONCATENATE(Control!D136,M1,Control!D138)</f>
        <v>Matthew S.H. Law 羅城熙執業會計師</v>
      </c>
      <c r="B41" s="899"/>
      <c r="C41" s="899"/>
      <c r="D41" s="899"/>
      <c r="E41" s="899"/>
      <c r="F41" s="899"/>
      <c r="G41" s="899"/>
      <c r="H41" s="899"/>
      <c r="I41" s="899"/>
      <c r="J41" s="899"/>
      <c r="K41" s="899"/>
      <c r="L41" s="899"/>
    </row>
    <row r="43" spans="1:24" s="39" customFormat="1" ht="15">
      <c r="A43" s="272"/>
      <c r="B43" s="263"/>
      <c r="C43" s="263"/>
      <c r="M43" s="722"/>
      <c r="N43" s="722"/>
      <c r="O43" s="722"/>
      <c r="P43" s="722"/>
      <c r="Q43" s="722"/>
      <c r="R43" s="722"/>
      <c r="S43" s="722"/>
      <c r="T43" s="722"/>
      <c r="U43" s="722"/>
      <c r="V43" s="722"/>
      <c r="W43" s="722"/>
      <c r="X43" s="722"/>
    </row>
    <row r="44" spans="1:24" s="39" customFormat="1" ht="15">
      <c r="A44" s="263"/>
      <c r="B44" s="263"/>
      <c r="C44" s="263"/>
      <c r="M44" s="722"/>
      <c r="N44" s="722"/>
      <c r="O44" s="722"/>
      <c r="P44" s="722"/>
      <c r="Q44" s="722"/>
      <c r="R44" s="722"/>
      <c r="S44" s="722"/>
      <c r="T44" s="722"/>
      <c r="U44" s="722"/>
      <c r="V44" s="722"/>
      <c r="W44" s="722"/>
      <c r="X44" s="722"/>
    </row>
    <row r="46" spans="1:24" s="288" customFormat="1" ht="18.75">
      <c r="A46" s="287"/>
      <c r="B46" s="287" t="s">
        <v>456</v>
      </c>
      <c r="C46" s="287"/>
      <c r="M46" s="740"/>
      <c r="N46" s="740"/>
      <c r="O46" s="740"/>
      <c r="P46" s="740"/>
      <c r="Q46" s="740"/>
      <c r="R46" s="740"/>
      <c r="S46" s="740"/>
      <c r="T46" s="740"/>
      <c r="U46" s="740"/>
      <c r="V46" s="740"/>
      <c r="W46" s="740"/>
      <c r="X46" s="740"/>
    </row>
    <row r="47" spans="1:24" s="288" customFormat="1" ht="18.75">
      <c r="A47" s="287"/>
      <c r="B47" s="287"/>
      <c r="C47" s="287"/>
      <c r="M47" s="740"/>
      <c r="N47" s="740"/>
      <c r="O47" s="740"/>
      <c r="P47" s="740"/>
      <c r="Q47" s="740"/>
      <c r="R47" s="740"/>
      <c r="S47" s="740"/>
      <c r="T47" s="740"/>
      <c r="U47" s="740"/>
      <c r="V47" s="740"/>
      <c r="W47" s="740"/>
      <c r="X47" s="740"/>
    </row>
    <row r="48" spans="1:24" s="288" customFormat="1" ht="18.75">
      <c r="A48" s="287"/>
      <c r="B48" s="287"/>
      <c r="C48" s="287"/>
      <c r="M48" s="740"/>
      <c r="N48" s="740"/>
      <c r="O48" s="740"/>
      <c r="P48" s="740"/>
      <c r="Q48" s="740"/>
      <c r="R48" s="740"/>
      <c r="S48" s="740"/>
      <c r="T48" s="740"/>
      <c r="U48" s="740"/>
      <c r="V48" s="740"/>
      <c r="W48" s="740"/>
      <c r="X48" s="740"/>
    </row>
    <row r="49" spans="1:24" s="288" customFormat="1" ht="18.75">
      <c r="A49" s="287"/>
      <c r="B49" s="287" t="str">
        <f>+CONCATENATE(M49,N49)</f>
        <v>TO: MIC INCORPORATION LIMITED </v>
      </c>
      <c r="C49" s="287"/>
      <c r="M49" s="740" t="s">
        <v>936</v>
      </c>
      <c r="N49" s="740" t="str">
        <f>+Control!D3</f>
        <v>MIC INCORPORATION LIMITED </v>
      </c>
      <c r="O49" s="740"/>
      <c r="P49" s="740"/>
      <c r="Q49" s="740"/>
      <c r="R49" s="740"/>
      <c r="S49" s="740"/>
      <c r="T49" s="740"/>
      <c r="U49" s="740"/>
      <c r="V49" s="740"/>
      <c r="W49" s="740"/>
      <c r="X49" s="740"/>
    </row>
    <row r="50" spans="1:24" s="288" customFormat="1" ht="18.75">
      <c r="A50" s="287"/>
      <c r="B50" s="287"/>
      <c r="C50" s="287"/>
      <c r="M50" s="740"/>
      <c r="N50" s="740"/>
      <c r="O50" s="740"/>
      <c r="P50" s="740"/>
      <c r="Q50" s="740"/>
      <c r="R50" s="740"/>
      <c r="S50" s="740"/>
      <c r="T50" s="740"/>
      <c r="U50" s="740"/>
      <c r="V50" s="740"/>
      <c r="W50" s="740"/>
      <c r="X50" s="740"/>
    </row>
    <row r="51" spans="1:24" s="288" customFormat="1" ht="18.75">
      <c r="A51" s="287"/>
      <c r="B51" s="287"/>
      <c r="C51" s="287"/>
      <c r="M51" s="740"/>
      <c r="N51" s="740"/>
      <c r="O51" s="740"/>
      <c r="P51" s="740"/>
      <c r="Q51" s="740"/>
      <c r="R51" s="740"/>
      <c r="S51" s="740"/>
      <c r="T51" s="740"/>
      <c r="U51" s="740"/>
      <c r="V51" s="740"/>
      <c r="W51" s="740"/>
      <c r="X51" s="740"/>
    </row>
    <row r="52" spans="1:24" s="288" customFormat="1" ht="18.75">
      <c r="A52" s="287"/>
      <c r="B52" s="289" t="str">
        <f>+CONCATENATE(M52,N52,O52,P52)</f>
        <v>Re: Audit and taxation services for the period ended 31 December, 2016</v>
      </c>
      <c r="C52" s="287"/>
      <c r="M52" s="740" t="s">
        <v>937</v>
      </c>
      <c r="N52" s="740" t="str">
        <f>+Control!E8</f>
        <v>period</v>
      </c>
      <c r="O52" s="740" t="s">
        <v>660</v>
      </c>
      <c r="P52" s="740" t="str">
        <f>+Control!D6</f>
        <v>31 December, 2016</v>
      </c>
      <c r="Q52" s="740"/>
      <c r="R52" s="740"/>
      <c r="S52" s="740"/>
      <c r="T52" s="740"/>
      <c r="U52" s="740"/>
      <c r="V52" s="740"/>
      <c r="W52" s="740"/>
      <c r="X52" s="740"/>
    </row>
    <row r="53" spans="1:24" s="288" customFormat="1" ht="18.75">
      <c r="A53" s="287"/>
      <c r="B53" s="287"/>
      <c r="C53" s="287"/>
      <c r="M53" s="740"/>
      <c r="N53" s="740"/>
      <c r="O53" s="740"/>
      <c r="P53" s="740"/>
      <c r="Q53" s="740"/>
      <c r="R53" s="740"/>
      <c r="S53" s="740"/>
      <c r="T53" s="740"/>
      <c r="U53" s="740"/>
      <c r="V53" s="740"/>
      <c r="W53" s="740"/>
      <c r="X53" s="740"/>
    </row>
    <row r="54" spans="1:24" s="288" customFormat="1" ht="18.75">
      <c r="A54" s="287"/>
      <c r="B54" s="287"/>
      <c r="C54" s="287"/>
      <c r="M54" s="740"/>
      <c r="N54" s="740"/>
      <c r="O54" s="740"/>
      <c r="P54" s="740"/>
      <c r="Q54" s="740"/>
      <c r="R54" s="740"/>
      <c r="S54" s="740"/>
      <c r="T54" s="740"/>
      <c r="U54" s="740"/>
      <c r="V54" s="740"/>
      <c r="W54" s="740"/>
      <c r="X54" s="740"/>
    </row>
    <row r="55" spans="1:24" s="288" customFormat="1" ht="18.75">
      <c r="A55" s="287"/>
      <c r="B55" s="1052" t="s">
        <v>938</v>
      </c>
      <c r="C55" s="1052"/>
      <c r="D55" s="1052"/>
      <c r="E55" s="1052"/>
      <c r="F55" s="1052"/>
      <c r="G55" s="1052"/>
      <c r="H55" s="1052"/>
      <c r="I55" s="1052"/>
      <c r="J55" s="1052"/>
      <c r="K55" s="1052"/>
      <c r="M55" s="740"/>
      <c r="N55" s="740"/>
      <c r="O55" s="740"/>
      <c r="P55" s="740"/>
      <c r="Q55" s="740"/>
      <c r="R55" s="740"/>
      <c r="S55" s="740"/>
      <c r="T55" s="740"/>
      <c r="U55" s="740"/>
      <c r="V55" s="740"/>
      <c r="W55" s="740"/>
      <c r="X55" s="740"/>
    </row>
    <row r="56" spans="1:24" s="288" customFormat="1" ht="33.75" customHeight="1">
      <c r="A56" s="287"/>
      <c r="B56" s="1052"/>
      <c r="C56" s="1052"/>
      <c r="D56" s="1052"/>
      <c r="E56" s="1052"/>
      <c r="F56" s="1052"/>
      <c r="G56" s="1052"/>
      <c r="H56" s="1052"/>
      <c r="I56" s="1052"/>
      <c r="J56" s="1052"/>
      <c r="K56" s="1052"/>
      <c r="M56" s="740"/>
      <c r="N56" s="740"/>
      <c r="O56" s="740"/>
      <c r="P56" s="740"/>
      <c r="Q56" s="740"/>
      <c r="R56" s="740"/>
      <c r="S56" s="740"/>
      <c r="T56" s="740"/>
      <c r="U56" s="740"/>
      <c r="V56" s="740"/>
      <c r="W56" s="740"/>
      <c r="X56" s="740"/>
    </row>
    <row r="57" spans="1:24" s="288" customFormat="1" ht="18.75">
      <c r="A57" s="287"/>
      <c r="B57" s="287"/>
      <c r="C57" s="287"/>
      <c r="M57" s="740"/>
      <c r="N57" s="740"/>
      <c r="O57" s="740"/>
      <c r="P57" s="740"/>
      <c r="Q57" s="740"/>
      <c r="R57" s="740"/>
      <c r="S57" s="740"/>
      <c r="T57" s="740"/>
      <c r="U57" s="740"/>
      <c r="V57" s="740"/>
      <c r="W57" s="740"/>
      <c r="X57" s="740"/>
    </row>
    <row r="58" spans="1:24" s="288" customFormat="1" ht="16.5" customHeight="1">
      <c r="A58" s="287"/>
      <c r="B58" s="1053" t="s">
        <v>939</v>
      </c>
      <c r="C58" s="1053"/>
      <c r="D58" s="1053"/>
      <c r="E58" s="1053"/>
      <c r="F58" s="1053"/>
      <c r="G58" s="1053"/>
      <c r="H58" s="1053"/>
      <c r="I58" s="1053"/>
      <c r="J58" s="1053"/>
      <c r="K58" s="1053"/>
      <c r="M58" s="740"/>
      <c r="N58" s="740"/>
      <c r="O58" s="740"/>
      <c r="P58" s="740"/>
      <c r="Q58" s="740"/>
      <c r="R58" s="740"/>
      <c r="S58" s="740"/>
      <c r="T58" s="740"/>
      <c r="U58" s="740"/>
      <c r="V58" s="740"/>
      <c r="W58" s="740"/>
      <c r="X58" s="740"/>
    </row>
    <row r="59" spans="1:24" s="288" customFormat="1" ht="18.75">
      <c r="A59" s="287"/>
      <c r="B59" s="1053"/>
      <c r="C59" s="1053"/>
      <c r="D59" s="1053"/>
      <c r="E59" s="1053"/>
      <c r="F59" s="1053"/>
      <c r="G59" s="1053"/>
      <c r="H59" s="1053"/>
      <c r="I59" s="1053"/>
      <c r="J59" s="1053"/>
      <c r="K59" s="1053"/>
      <c r="M59" s="740"/>
      <c r="N59" s="740"/>
      <c r="O59" s="740"/>
      <c r="P59" s="740"/>
      <c r="Q59" s="740"/>
      <c r="R59" s="740"/>
      <c r="S59" s="740"/>
      <c r="T59" s="740"/>
      <c r="U59" s="740"/>
      <c r="V59" s="740"/>
      <c r="W59" s="740"/>
      <c r="X59" s="740"/>
    </row>
    <row r="60" spans="1:24" s="288" customFormat="1" ht="21.75" customHeight="1">
      <c r="A60" s="287"/>
      <c r="B60" s="1053"/>
      <c r="C60" s="1053"/>
      <c r="D60" s="1053"/>
      <c r="E60" s="1053"/>
      <c r="F60" s="1053"/>
      <c r="G60" s="1053"/>
      <c r="H60" s="1053"/>
      <c r="I60" s="1053"/>
      <c r="J60" s="1053"/>
      <c r="K60" s="1053"/>
      <c r="M60" s="740"/>
      <c r="N60" s="740"/>
      <c r="O60" s="740"/>
      <c r="P60" s="740"/>
      <c r="Q60" s="740"/>
      <c r="R60" s="740"/>
      <c r="S60" s="740"/>
      <c r="T60" s="740"/>
      <c r="U60" s="740"/>
      <c r="V60" s="740"/>
      <c r="W60" s="740"/>
      <c r="X60" s="740"/>
    </row>
    <row r="61" spans="1:24" s="288" customFormat="1" ht="24.75" customHeight="1">
      <c r="A61" s="287"/>
      <c r="B61" s="1053"/>
      <c r="C61" s="1053"/>
      <c r="D61" s="1053"/>
      <c r="E61" s="1053"/>
      <c r="F61" s="1053"/>
      <c r="G61" s="1053"/>
      <c r="H61" s="1053"/>
      <c r="I61" s="1053"/>
      <c r="J61" s="1053"/>
      <c r="K61" s="1053"/>
      <c r="M61" s="740"/>
      <c r="N61" s="740"/>
      <c r="O61" s="740"/>
      <c r="P61" s="740"/>
      <c r="Q61" s="740"/>
      <c r="R61" s="740"/>
      <c r="S61" s="740"/>
      <c r="T61" s="740"/>
      <c r="U61" s="740"/>
      <c r="V61" s="740"/>
      <c r="W61" s="740"/>
      <c r="X61" s="740"/>
    </row>
    <row r="62" spans="1:24" s="288" customFormat="1" ht="18.75">
      <c r="A62" s="287"/>
      <c r="B62" s="287"/>
      <c r="C62" s="287"/>
      <c r="M62" s="740"/>
      <c r="N62" s="740"/>
      <c r="O62" s="740"/>
      <c r="P62" s="740"/>
      <c r="Q62" s="740"/>
      <c r="R62" s="740"/>
      <c r="S62" s="740"/>
      <c r="T62" s="740"/>
      <c r="U62" s="740"/>
      <c r="V62" s="740"/>
      <c r="W62" s="740"/>
      <c r="X62" s="740"/>
    </row>
    <row r="63" spans="1:24" s="288" customFormat="1" ht="18.75">
      <c r="A63" s="287"/>
      <c r="B63" s="287"/>
      <c r="C63" s="287"/>
      <c r="M63" s="740"/>
      <c r="N63" s="740"/>
      <c r="O63" s="740"/>
      <c r="P63" s="740"/>
      <c r="Q63" s="740"/>
      <c r="R63" s="740"/>
      <c r="S63" s="740"/>
      <c r="T63" s="740"/>
      <c r="U63" s="740"/>
      <c r="V63" s="740"/>
      <c r="W63" s="740"/>
      <c r="X63" s="740"/>
    </row>
    <row r="64" spans="1:24" s="288" customFormat="1" ht="18.75">
      <c r="A64" s="287"/>
      <c r="B64" s="287" t="s">
        <v>940</v>
      </c>
      <c r="C64" s="287"/>
      <c r="M64" s="740"/>
      <c r="N64" s="740"/>
      <c r="O64" s="740"/>
      <c r="P64" s="740"/>
      <c r="Q64" s="740"/>
      <c r="R64" s="740"/>
      <c r="S64" s="740"/>
      <c r="T64" s="740"/>
      <c r="U64" s="740"/>
      <c r="V64" s="740"/>
      <c r="W64" s="740"/>
      <c r="X64" s="740"/>
    </row>
    <row r="65" spans="1:24" s="288" customFormat="1" ht="18.75">
      <c r="A65" s="287"/>
      <c r="B65" s="287"/>
      <c r="C65" s="287"/>
      <c r="M65" s="740"/>
      <c r="N65" s="740"/>
      <c r="O65" s="740"/>
      <c r="P65" s="740"/>
      <c r="Q65" s="740"/>
      <c r="R65" s="740"/>
      <c r="S65" s="740"/>
      <c r="T65" s="740"/>
      <c r="U65" s="740"/>
      <c r="V65" s="740"/>
      <c r="W65" s="740"/>
      <c r="X65" s="740"/>
    </row>
    <row r="66" spans="1:24" s="288" customFormat="1" ht="18.75">
      <c r="A66" s="287"/>
      <c r="B66" s="287" t="s">
        <v>941</v>
      </c>
      <c r="C66" s="287"/>
      <c r="M66" s="740"/>
      <c r="N66" s="740"/>
      <c r="O66" s="740"/>
      <c r="P66" s="740"/>
      <c r="Q66" s="740"/>
      <c r="R66" s="740"/>
      <c r="S66" s="740"/>
      <c r="T66" s="740"/>
      <c r="U66" s="740"/>
      <c r="V66" s="740"/>
      <c r="W66" s="740"/>
      <c r="X66" s="740"/>
    </row>
    <row r="67" spans="1:24" s="288" customFormat="1" ht="18.75">
      <c r="A67" s="287"/>
      <c r="B67" s="287"/>
      <c r="C67" s="287"/>
      <c r="M67" s="740"/>
      <c r="N67" s="740"/>
      <c r="O67" s="740"/>
      <c r="P67" s="740"/>
      <c r="Q67" s="740"/>
      <c r="R67" s="740"/>
      <c r="S67" s="740"/>
      <c r="T67" s="740"/>
      <c r="U67" s="740"/>
      <c r="V67" s="740"/>
      <c r="W67" s="740"/>
      <c r="X67" s="740"/>
    </row>
    <row r="68" spans="1:24" s="288" customFormat="1" ht="18.75">
      <c r="A68" s="287"/>
      <c r="B68" s="287"/>
      <c r="C68" s="287"/>
      <c r="M68" s="740"/>
      <c r="N68" s="740"/>
      <c r="O68" s="740"/>
      <c r="P68" s="740"/>
      <c r="Q68" s="740"/>
      <c r="R68" s="740"/>
      <c r="S68" s="740"/>
      <c r="T68" s="740"/>
      <c r="U68" s="740"/>
      <c r="V68" s="740"/>
      <c r="W68" s="740"/>
      <c r="X68" s="740"/>
    </row>
    <row r="69" spans="1:24" s="288" customFormat="1" ht="18.75">
      <c r="A69" s="287"/>
      <c r="B69" s="287"/>
      <c r="C69" s="287"/>
      <c r="M69" s="740"/>
      <c r="N69" s="740"/>
      <c r="O69" s="740"/>
      <c r="P69" s="740"/>
      <c r="Q69" s="740"/>
      <c r="R69" s="740"/>
      <c r="S69" s="740"/>
      <c r="T69" s="740"/>
      <c r="U69" s="740"/>
      <c r="V69" s="740"/>
      <c r="W69" s="740"/>
      <c r="X69" s="740"/>
    </row>
    <row r="70" spans="1:24" s="288" customFormat="1" ht="18.75">
      <c r="A70" s="287"/>
      <c r="B70" s="287"/>
      <c r="C70" s="287"/>
      <c r="M70" s="740"/>
      <c r="N70" s="740"/>
      <c r="O70" s="740"/>
      <c r="P70" s="740"/>
      <c r="Q70" s="740"/>
      <c r="R70" s="740"/>
      <c r="S70" s="740"/>
      <c r="T70" s="740"/>
      <c r="U70" s="740"/>
      <c r="V70" s="740"/>
      <c r="W70" s="740"/>
      <c r="X70" s="740"/>
    </row>
    <row r="71" spans="1:24" s="288" customFormat="1" ht="18.75">
      <c r="A71" s="287"/>
      <c r="B71" s="287"/>
      <c r="C71" s="287"/>
      <c r="M71" s="740"/>
      <c r="N71" s="740"/>
      <c r="O71" s="740"/>
      <c r="P71" s="740"/>
      <c r="Q71" s="740"/>
      <c r="R71" s="740"/>
      <c r="S71" s="740"/>
      <c r="T71" s="740"/>
      <c r="U71" s="740"/>
      <c r="V71" s="740"/>
      <c r="W71" s="740"/>
      <c r="X71" s="740"/>
    </row>
    <row r="72" spans="1:24" s="288" customFormat="1" ht="18.75">
      <c r="A72" s="287"/>
      <c r="B72" s="287" t="s">
        <v>124</v>
      </c>
      <c r="C72" s="287"/>
      <c r="M72" s="740"/>
      <c r="N72" s="740"/>
      <c r="O72" s="740"/>
      <c r="P72" s="740"/>
      <c r="Q72" s="740"/>
      <c r="R72" s="740"/>
      <c r="S72" s="740"/>
      <c r="T72" s="740"/>
      <c r="U72" s="740"/>
      <c r="V72" s="740"/>
      <c r="W72" s="740"/>
      <c r="X72" s="740"/>
    </row>
    <row r="73" spans="1:24" s="288" customFormat="1" ht="18.75">
      <c r="A73" s="287"/>
      <c r="B73" s="287"/>
      <c r="C73" s="287"/>
      <c r="M73" s="740"/>
      <c r="N73" s="740"/>
      <c r="O73" s="740"/>
      <c r="P73" s="740"/>
      <c r="Q73" s="740"/>
      <c r="R73" s="740"/>
      <c r="S73" s="740"/>
      <c r="T73" s="740"/>
      <c r="U73" s="740"/>
      <c r="V73" s="740"/>
      <c r="W73" s="740"/>
      <c r="X73" s="740"/>
    </row>
  </sheetData>
  <mergeCells count="13">
    <mergeCell ref="B58:K61"/>
    <mergeCell ref="A41:L41"/>
    <mergeCell ref="C21:L21"/>
    <mergeCell ref="C23:L23"/>
    <mergeCell ref="D27:L27"/>
    <mergeCell ref="D31:L31"/>
    <mergeCell ref="C33:L33"/>
    <mergeCell ref="A40:L40"/>
    <mergeCell ref="A1:L1"/>
    <mergeCell ref="C19:L19"/>
    <mergeCell ref="B17:K18"/>
    <mergeCell ref="B14:K15"/>
    <mergeCell ref="B55:K56"/>
  </mergeCells>
  <phoneticPr fontId="13" type="noConversion"/>
  <pageMargins left="0.51181102362204722" right="0.31496062992125984" top="0.74803149606299213" bottom="0.31496062992125984" header="0.31496062992125984" footer="0.31496062992125984"/>
  <pageSetup paperSize="9" scale="88" fitToHeight="0" orientation="portrait" r:id="rId1"/>
  <rowBreaks count="1" manualBreakCount="1">
    <brk id="40"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0">
    <pageSetUpPr fitToPage="1"/>
  </sheetPr>
  <dimension ref="A1:V49"/>
  <sheetViews>
    <sheetView topLeftCell="A10" workbookViewId="0">
      <selection activeCell="N30" sqref="N30"/>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15" width="9" style="594" collapsed="1"/>
    <col min="16" max="16" width="12.5" style="594" bestFit="1" customWidth="1" collapsed="1"/>
    <col min="17" max="22" width="9" style="594" collapsed="1"/>
    <col min="23" max="16384" width="9" style="1" collapsed="1"/>
  </cols>
  <sheetData>
    <row r="1" spans="1:22" ht="22.5">
      <c r="A1" s="899" t="str">
        <f>+CONCATENATE(Control!D136," ",Control!D137)</f>
        <v>Matthew S.H. Law Certified Public Accountant (Practising)</v>
      </c>
      <c r="B1" s="899"/>
      <c r="C1" s="899"/>
      <c r="D1" s="899"/>
      <c r="E1" s="899"/>
      <c r="F1" s="899"/>
      <c r="G1" s="899"/>
      <c r="H1" s="899"/>
      <c r="I1" s="899"/>
      <c r="J1" s="899"/>
      <c r="K1" s="899"/>
      <c r="L1" s="899"/>
    </row>
    <row r="3" spans="1:22" s="39" customFormat="1" ht="15">
      <c r="A3" s="272"/>
      <c r="B3" s="263"/>
      <c r="C3" s="263"/>
      <c r="M3" s="722"/>
      <c r="N3" s="722"/>
      <c r="O3" s="722"/>
      <c r="P3" s="722"/>
      <c r="Q3" s="722"/>
      <c r="R3" s="722"/>
      <c r="S3" s="722"/>
      <c r="T3" s="722"/>
      <c r="U3" s="722"/>
      <c r="V3" s="722"/>
    </row>
    <row r="4" spans="1:22" s="39" customFormat="1" ht="15">
      <c r="A4" s="263"/>
      <c r="B4" s="263"/>
      <c r="C4" s="263"/>
      <c r="M4" s="722"/>
      <c r="N4" s="722"/>
      <c r="O4" s="722"/>
      <c r="P4" s="722"/>
      <c r="Q4" s="722"/>
      <c r="R4" s="722"/>
      <c r="S4" s="722"/>
      <c r="T4" s="722"/>
      <c r="U4" s="722"/>
      <c r="V4" s="722"/>
    </row>
    <row r="6" spans="1:22" s="288" customFormat="1" ht="18.75">
      <c r="A6" s="287"/>
      <c r="B6" s="287" t="s">
        <v>456</v>
      </c>
      <c r="C6" s="287"/>
      <c r="F6" s="376"/>
      <c r="M6" s="740"/>
      <c r="N6" s="740"/>
      <c r="O6" s="740"/>
      <c r="P6" s="740"/>
      <c r="Q6" s="740"/>
      <c r="R6" s="740"/>
      <c r="S6" s="740"/>
      <c r="T6" s="740"/>
      <c r="U6" s="740"/>
      <c r="V6" s="740"/>
    </row>
    <row r="7" spans="1:22" s="288" customFormat="1" ht="18.75">
      <c r="A7" s="287"/>
      <c r="B7" s="287"/>
      <c r="C7" s="287"/>
      <c r="M7" s="740"/>
      <c r="N7" s="740"/>
      <c r="O7" s="740"/>
      <c r="P7" s="740"/>
      <c r="Q7" s="740"/>
      <c r="R7" s="740"/>
      <c r="S7" s="740"/>
      <c r="T7" s="740"/>
      <c r="U7" s="740"/>
      <c r="V7" s="740"/>
    </row>
    <row r="8" spans="1:22" s="288" customFormat="1" ht="18.75">
      <c r="A8" s="287"/>
      <c r="B8" s="287"/>
      <c r="C8" s="287"/>
      <c r="M8" s="740"/>
      <c r="N8" s="740"/>
      <c r="O8" s="740"/>
      <c r="P8" s="740"/>
      <c r="Q8" s="740"/>
      <c r="R8" s="740"/>
      <c r="S8" s="740"/>
      <c r="T8" s="740"/>
      <c r="U8" s="740"/>
      <c r="V8" s="740"/>
    </row>
    <row r="9" spans="1:22" s="288" customFormat="1" ht="18.75">
      <c r="A9" s="287"/>
      <c r="B9" s="287" t="s">
        <v>942</v>
      </c>
      <c r="C9" s="287"/>
      <c r="M9" s="740"/>
      <c r="N9" s="740"/>
      <c r="O9" s="740"/>
      <c r="P9" s="740"/>
      <c r="Q9" s="740"/>
      <c r="R9" s="740"/>
      <c r="S9" s="740"/>
      <c r="T9" s="740"/>
      <c r="U9" s="740"/>
      <c r="V9" s="740"/>
    </row>
    <row r="10" spans="1:22" s="288" customFormat="1" ht="18.75">
      <c r="A10" s="287"/>
      <c r="B10" s="287" t="s">
        <v>943</v>
      </c>
      <c r="C10" s="287"/>
      <c r="M10" s="740"/>
      <c r="N10" s="740"/>
      <c r="O10" s="740"/>
      <c r="P10" s="740"/>
      <c r="Q10" s="740"/>
      <c r="R10" s="740"/>
      <c r="S10" s="740"/>
      <c r="T10" s="740"/>
      <c r="U10" s="740"/>
      <c r="V10" s="740"/>
    </row>
    <row r="11" spans="1:22" s="288" customFormat="1" ht="18.75">
      <c r="A11" s="287"/>
      <c r="B11" s="287" t="s">
        <v>944</v>
      </c>
      <c r="C11" s="287"/>
      <c r="H11" s="376"/>
      <c r="M11" s="740"/>
      <c r="N11" s="740"/>
      <c r="O11" s="740"/>
      <c r="P11" s="740"/>
      <c r="Q11" s="740"/>
      <c r="R11" s="740"/>
      <c r="S11" s="740"/>
      <c r="T11" s="740"/>
      <c r="U11" s="740"/>
      <c r="V11" s="740"/>
    </row>
    <row r="12" spans="1:22" s="288" customFormat="1" ht="18.75">
      <c r="A12" s="287"/>
      <c r="B12" s="287" t="s">
        <v>945</v>
      </c>
      <c r="C12" s="287"/>
      <c r="M12" s="740"/>
      <c r="N12" s="740"/>
      <c r="O12" s="740"/>
      <c r="P12" s="740"/>
      <c r="Q12" s="740"/>
      <c r="R12" s="740"/>
      <c r="S12" s="740"/>
      <c r="T12" s="740"/>
      <c r="U12" s="740"/>
      <c r="V12" s="740"/>
    </row>
    <row r="13" spans="1:22" s="288" customFormat="1" ht="18.75">
      <c r="A13" s="287"/>
      <c r="B13" s="287" t="s">
        <v>946</v>
      </c>
      <c r="C13" s="287"/>
      <c r="M13" s="740"/>
      <c r="N13" s="740"/>
      <c r="O13" s="740"/>
      <c r="P13" s="740"/>
      <c r="Q13" s="740"/>
      <c r="R13" s="740"/>
      <c r="S13" s="740"/>
      <c r="T13" s="740"/>
      <c r="U13" s="740"/>
      <c r="V13" s="740"/>
    </row>
    <row r="14" spans="1:22" s="288" customFormat="1" ht="18.75">
      <c r="A14" s="287"/>
      <c r="B14" s="287"/>
      <c r="C14" s="287"/>
      <c r="M14" s="740"/>
      <c r="N14" s="740"/>
      <c r="O14" s="740"/>
      <c r="P14" s="740"/>
      <c r="Q14" s="740"/>
      <c r="R14" s="740"/>
      <c r="S14" s="740"/>
      <c r="T14" s="740"/>
      <c r="U14" s="740"/>
      <c r="V14" s="740"/>
    </row>
    <row r="15" spans="1:22" s="288" customFormat="1" ht="18.75">
      <c r="A15" s="287"/>
      <c r="B15" s="287" t="s">
        <v>395</v>
      </c>
      <c r="C15" s="287"/>
      <c r="M15" s="740"/>
      <c r="N15" s="740"/>
      <c r="O15" s="740"/>
      <c r="P15" s="740"/>
      <c r="Q15" s="740"/>
      <c r="R15" s="740"/>
      <c r="S15" s="740"/>
      <c r="T15" s="740"/>
      <c r="U15" s="740"/>
      <c r="V15" s="740"/>
    </row>
    <row r="16" spans="1:22" s="288" customFormat="1" ht="18.75">
      <c r="A16" s="287"/>
      <c r="B16" s="287"/>
      <c r="C16" s="287"/>
      <c r="M16" s="740"/>
      <c r="N16" s="740"/>
      <c r="O16" s="740"/>
      <c r="P16" s="740"/>
      <c r="Q16" s="740"/>
      <c r="R16" s="740"/>
      <c r="S16" s="740"/>
      <c r="T16" s="740"/>
      <c r="U16" s="740"/>
      <c r="V16" s="740"/>
    </row>
    <row r="17" spans="1:22" s="288" customFormat="1" ht="18.75">
      <c r="A17" s="287"/>
      <c r="B17" s="287" t="s">
        <v>947</v>
      </c>
      <c r="C17" s="287"/>
      <c r="M17" s="740"/>
      <c r="N17" s="740"/>
      <c r="O17" s="740"/>
      <c r="P17" s="740"/>
      <c r="Q17" s="740"/>
      <c r="R17" s="740"/>
      <c r="S17" s="740"/>
      <c r="T17" s="740"/>
      <c r="U17" s="740"/>
      <c r="V17" s="740"/>
    </row>
    <row r="18" spans="1:22" s="288" customFormat="1" ht="18.75">
      <c r="A18" s="287"/>
      <c r="B18" s="287" t="str">
        <f>+CONCATENATE(M18,N18)</f>
        <v>Year of Assessment 2016/17</v>
      </c>
      <c r="C18" s="287"/>
      <c r="M18" s="740" t="s">
        <v>948</v>
      </c>
      <c r="N18" s="740" t="str">
        <f>+Control!D120</f>
        <v>2016/17</v>
      </c>
      <c r="O18" s="740"/>
      <c r="P18" s="740"/>
      <c r="Q18" s="740"/>
      <c r="R18" s="740"/>
      <c r="S18" s="740"/>
      <c r="T18" s="740"/>
      <c r="U18" s="740"/>
      <c r="V18" s="740"/>
    </row>
    <row r="19" spans="1:22" s="288" customFormat="1" ht="18.75">
      <c r="A19" s="287"/>
      <c r="B19" s="287" t="str">
        <f>+Control!D3</f>
        <v>MIC INCORPORATION LIMITED </v>
      </c>
      <c r="C19" s="287"/>
      <c r="M19" s="740"/>
      <c r="N19" s="740"/>
      <c r="O19" s="740"/>
      <c r="P19" s="740"/>
      <c r="Q19" s="740"/>
      <c r="R19" s="740"/>
      <c r="S19" s="740"/>
      <c r="T19" s="740"/>
      <c r="U19" s="740"/>
      <c r="V19" s="740"/>
    </row>
    <row r="20" spans="1:22" s="288" customFormat="1" ht="18.75">
      <c r="A20" s="287"/>
      <c r="B20" s="377" t="str">
        <f>+CONCATENATE(M20,N20)</f>
        <v>BR NO.: 65476707-000</v>
      </c>
      <c r="C20" s="377"/>
      <c r="D20" s="378"/>
      <c r="E20" s="378"/>
      <c r="F20" s="378"/>
      <c r="G20" s="378"/>
      <c r="H20" s="378"/>
      <c r="M20" s="740" t="s">
        <v>949</v>
      </c>
      <c r="N20" s="740" t="str">
        <f>+Control!D75</f>
        <v>65476707-000</v>
      </c>
      <c r="O20" s="740"/>
      <c r="P20" s="740"/>
      <c r="Q20" s="740"/>
      <c r="R20" s="740"/>
      <c r="S20" s="740"/>
      <c r="T20" s="740"/>
      <c r="U20" s="740"/>
      <c r="V20" s="740"/>
    </row>
    <row r="21" spans="1:22" s="288" customFormat="1" ht="18.75">
      <c r="A21" s="287"/>
      <c r="B21" s="287"/>
      <c r="C21" s="287"/>
      <c r="M21" s="740"/>
      <c r="N21" s="740"/>
      <c r="O21" s="740"/>
      <c r="P21" s="740"/>
      <c r="Q21" s="740"/>
      <c r="R21" s="740"/>
      <c r="S21" s="740"/>
      <c r="T21" s="740"/>
      <c r="U21" s="740"/>
      <c r="V21" s="740"/>
    </row>
    <row r="22" spans="1:22" s="288" customFormat="1" ht="18.75">
      <c r="A22" s="287"/>
      <c r="B22" s="287"/>
      <c r="C22" s="287"/>
      <c r="M22" s="740"/>
      <c r="N22" s="740"/>
      <c r="O22" s="740"/>
      <c r="P22" s="740"/>
      <c r="Q22" s="740"/>
      <c r="R22" s="740"/>
      <c r="S22" s="740"/>
      <c r="T22" s="740"/>
      <c r="U22" s="740"/>
      <c r="V22" s="740"/>
    </row>
    <row r="23" spans="1:22" s="288" customFormat="1" ht="18.75">
      <c r="A23" s="287"/>
      <c r="B23" s="1052" t="str">
        <f>+CONCATENATE(M23,N23,O23,P23,Q23)</f>
        <v>The audited financial statements for the period ended 31 December, 2016 are now enclosed for your reference.</v>
      </c>
      <c r="C23" s="1052"/>
      <c r="D23" s="1052"/>
      <c r="E23" s="1052"/>
      <c r="F23" s="1052"/>
      <c r="G23" s="1052"/>
      <c r="H23" s="1052"/>
      <c r="I23" s="1052"/>
      <c r="J23" s="1052"/>
      <c r="K23" s="1052"/>
      <c r="M23" s="740" t="s">
        <v>950</v>
      </c>
      <c r="N23" s="740" t="str">
        <f>+LOWER(Control!D9)</f>
        <v>period</v>
      </c>
      <c r="O23" s="740" t="s">
        <v>660</v>
      </c>
      <c r="P23" s="741" t="str">
        <f>+Control!D6</f>
        <v>31 December, 2016</v>
      </c>
      <c r="Q23" s="740" t="s">
        <v>951</v>
      </c>
      <c r="R23" s="740"/>
      <c r="S23" s="740"/>
      <c r="T23" s="740"/>
      <c r="U23" s="740"/>
      <c r="V23" s="740"/>
    </row>
    <row r="24" spans="1:22" s="288" customFormat="1" ht="50.1" customHeight="1">
      <c r="A24" s="287"/>
      <c r="B24" s="1052"/>
      <c r="C24" s="1052"/>
      <c r="D24" s="1052"/>
      <c r="E24" s="1052"/>
      <c r="F24" s="1052"/>
      <c r="G24" s="1052"/>
      <c r="H24" s="1052"/>
      <c r="I24" s="1052"/>
      <c r="J24" s="1052"/>
      <c r="K24" s="1052"/>
      <c r="M24" s="740"/>
      <c r="N24" s="740"/>
      <c r="O24" s="740"/>
      <c r="P24" s="740"/>
      <c r="Q24" s="740"/>
      <c r="R24" s="740"/>
      <c r="S24" s="740"/>
      <c r="T24" s="740"/>
      <c r="U24" s="740"/>
      <c r="V24" s="740"/>
    </row>
    <row r="25" spans="1:22" s="288" customFormat="1" ht="18.75">
      <c r="A25" s="287"/>
      <c r="B25" s="287"/>
      <c r="C25" s="287"/>
      <c r="M25" s="740"/>
      <c r="N25" s="740"/>
      <c r="O25" s="740"/>
      <c r="P25" s="740"/>
      <c r="Q25" s="740"/>
      <c r="R25" s="740"/>
      <c r="S25" s="740"/>
      <c r="T25" s="740"/>
      <c r="U25" s="740"/>
      <c r="V25" s="740"/>
    </row>
    <row r="26" spans="1:22" s="288" customFormat="1" ht="16.5" customHeight="1">
      <c r="A26" s="287"/>
      <c r="B26" s="1053" t="s">
        <v>952</v>
      </c>
      <c r="C26" s="1053"/>
      <c r="D26" s="1053"/>
      <c r="E26" s="1053"/>
      <c r="F26" s="1053"/>
      <c r="G26" s="1053"/>
      <c r="H26" s="1053"/>
      <c r="I26" s="1053"/>
      <c r="J26" s="1053"/>
      <c r="K26" s="1053"/>
      <c r="M26" s="740"/>
      <c r="N26" s="740"/>
      <c r="O26" s="740"/>
      <c r="P26" s="740"/>
      <c r="Q26" s="740"/>
      <c r="R26" s="740"/>
      <c r="S26" s="740"/>
      <c r="T26" s="740"/>
      <c r="U26" s="740"/>
      <c r="V26" s="740"/>
    </row>
    <row r="27" spans="1:22" s="288" customFormat="1" ht="18.75">
      <c r="A27" s="287"/>
      <c r="B27" s="1053"/>
      <c r="C27" s="1053"/>
      <c r="D27" s="1053"/>
      <c r="E27" s="1053"/>
      <c r="F27" s="1053"/>
      <c r="G27" s="1053"/>
      <c r="H27" s="1053"/>
      <c r="I27" s="1053"/>
      <c r="J27" s="1053"/>
      <c r="K27" s="1053"/>
      <c r="M27" s="740"/>
      <c r="N27" s="740"/>
      <c r="O27" s="740"/>
      <c r="P27" s="740"/>
      <c r="Q27" s="740"/>
      <c r="R27" s="740"/>
      <c r="S27" s="740"/>
      <c r="T27" s="740"/>
      <c r="U27" s="740"/>
      <c r="V27" s="740"/>
    </row>
    <row r="28" spans="1:22" s="288" customFormat="1" ht="21.75" customHeight="1">
      <c r="A28" s="287"/>
      <c r="B28" s="1053"/>
      <c r="C28" s="1053"/>
      <c r="D28" s="1053"/>
      <c r="E28" s="1053"/>
      <c r="F28" s="1053"/>
      <c r="G28" s="1053"/>
      <c r="H28" s="1053"/>
      <c r="I28" s="1053"/>
      <c r="J28" s="1053"/>
      <c r="K28" s="1053"/>
      <c r="M28" s="740"/>
      <c r="N28" s="740"/>
      <c r="O28" s="740"/>
      <c r="P28" s="740"/>
      <c r="Q28" s="740"/>
      <c r="R28" s="740"/>
      <c r="S28" s="740"/>
      <c r="T28" s="740"/>
      <c r="U28" s="740"/>
      <c r="V28" s="740"/>
    </row>
    <row r="29" spans="1:22" s="288" customFormat="1" ht="18.75">
      <c r="A29" s="287"/>
      <c r="B29" s="287"/>
      <c r="C29" s="287"/>
      <c r="M29" s="740"/>
      <c r="N29" s="740"/>
      <c r="O29" s="740"/>
      <c r="P29" s="740"/>
      <c r="Q29" s="740"/>
      <c r="R29" s="740"/>
      <c r="S29" s="740"/>
      <c r="T29" s="740"/>
      <c r="U29" s="740"/>
      <c r="V29" s="740"/>
    </row>
    <row r="30" spans="1:22" s="288" customFormat="1" ht="18.75">
      <c r="A30" s="287"/>
      <c r="B30" s="287"/>
      <c r="C30" s="287"/>
      <c r="M30" s="740"/>
      <c r="N30" s="740"/>
      <c r="O30" s="740"/>
      <c r="P30" s="740"/>
      <c r="Q30" s="740"/>
      <c r="R30" s="740"/>
      <c r="S30" s="740"/>
      <c r="T30" s="740"/>
      <c r="U30" s="740"/>
      <c r="V30" s="740"/>
    </row>
    <row r="31" spans="1:22" s="288" customFormat="1" ht="18.75">
      <c r="A31" s="287"/>
      <c r="B31" s="287" t="s">
        <v>940</v>
      </c>
      <c r="C31" s="287"/>
      <c r="M31" s="740"/>
      <c r="N31" s="740"/>
      <c r="O31" s="740"/>
      <c r="P31" s="740"/>
      <c r="Q31" s="740"/>
      <c r="R31" s="740"/>
      <c r="S31" s="740"/>
      <c r="T31" s="740"/>
      <c r="U31" s="740"/>
      <c r="V31" s="740"/>
    </row>
    <row r="32" spans="1:22" s="288" customFormat="1" ht="18.75">
      <c r="A32" s="287"/>
      <c r="B32" s="287"/>
      <c r="C32" s="287"/>
      <c r="M32" s="740"/>
      <c r="N32" s="740"/>
      <c r="O32" s="740"/>
      <c r="P32" s="740"/>
      <c r="Q32" s="740"/>
      <c r="R32" s="740"/>
      <c r="S32" s="740"/>
      <c r="T32" s="740"/>
      <c r="U32" s="740"/>
      <c r="V32" s="740"/>
    </row>
    <row r="33" spans="1:22" s="288" customFormat="1" ht="18.75">
      <c r="A33" s="287"/>
      <c r="B33" s="287"/>
      <c r="C33" s="287"/>
      <c r="M33" s="740"/>
      <c r="N33" s="740"/>
      <c r="O33" s="740"/>
      <c r="P33" s="740"/>
      <c r="Q33" s="740"/>
      <c r="R33" s="740"/>
      <c r="S33" s="740"/>
      <c r="T33" s="740"/>
      <c r="U33" s="740"/>
      <c r="V33" s="740"/>
    </row>
    <row r="34" spans="1:22" s="288" customFormat="1" ht="18.75">
      <c r="A34" s="287"/>
      <c r="B34" s="287" t="s">
        <v>941</v>
      </c>
      <c r="C34" s="287"/>
      <c r="M34" s="740"/>
      <c r="N34" s="740"/>
      <c r="O34" s="740"/>
      <c r="P34" s="740"/>
      <c r="Q34" s="740"/>
      <c r="R34" s="740"/>
      <c r="S34" s="740"/>
      <c r="T34" s="740"/>
      <c r="U34" s="740"/>
      <c r="V34" s="740"/>
    </row>
    <row r="35" spans="1:22" s="288" customFormat="1" ht="18.75">
      <c r="A35" s="287"/>
      <c r="B35" s="287" t="s">
        <v>436</v>
      </c>
      <c r="C35" s="287"/>
      <c r="M35" s="740"/>
      <c r="N35" s="740"/>
      <c r="O35" s="740"/>
      <c r="P35" s="740"/>
      <c r="Q35" s="740"/>
      <c r="R35" s="740"/>
      <c r="S35" s="740"/>
      <c r="T35" s="740"/>
      <c r="U35" s="740"/>
      <c r="V35" s="740"/>
    </row>
    <row r="36" spans="1:22" s="288" customFormat="1" ht="18.75">
      <c r="A36" s="287"/>
      <c r="B36" s="287" t="str">
        <f>+Control!D136</f>
        <v>Matthew S.H. Law</v>
      </c>
      <c r="C36" s="287"/>
      <c r="M36" s="740"/>
      <c r="N36" s="740"/>
      <c r="O36" s="740"/>
      <c r="P36" s="740"/>
      <c r="Q36" s="740"/>
      <c r="R36" s="740"/>
      <c r="S36" s="740"/>
      <c r="T36" s="740"/>
      <c r="U36" s="740"/>
      <c r="V36" s="740"/>
    </row>
    <row r="37" spans="1:22" s="288" customFormat="1" ht="18.75">
      <c r="A37" s="287"/>
      <c r="B37" s="287"/>
      <c r="C37" s="287"/>
      <c r="M37" s="740"/>
      <c r="N37" s="740"/>
      <c r="O37" s="740"/>
      <c r="P37" s="740"/>
      <c r="Q37" s="740"/>
      <c r="R37" s="740"/>
      <c r="S37" s="740"/>
      <c r="T37" s="740"/>
      <c r="U37" s="740"/>
      <c r="V37" s="740"/>
    </row>
    <row r="38" spans="1:22" s="288" customFormat="1" ht="18.75">
      <c r="A38" s="287"/>
      <c r="B38" s="287"/>
      <c r="C38" s="287"/>
      <c r="M38" s="740"/>
      <c r="N38" s="740"/>
      <c r="O38" s="740"/>
      <c r="P38" s="740"/>
      <c r="Q38" s="740"/>
      <c r="R38" s="740"/>
      <c r="S38" s="740"/>
      <c r="T38" s="740"/>
      <c r="U38" s="740"/>
      <c r="V38" s="740"/>
    </row>
    <row r="39" spans="1:22" s="288" customFormat="1" ht="18.75">
      <c r="A39" s="287"/>
      <c r="B39" s="287"/>
      <c r="C39" s="287"/>
      <c r="M39" s="740"/>
      <c r="N39" s="740"/>
      <c r="O39" s="740"/>
      <c r="P39" s="740"/>
      <c r="Q39" s="740"/>
      <c r="R39" s="740"/>
      <c r="S39" s="740"/>
      <c r="T39" s="740"/>
      <c r="U39" s="740"/>
      <c r="V39" s="740"/>
    </row>
    <row r="40" spans="1:22" s="288" customFormat="1" ht="18.75">
      <c r="A40" s="287"/>
      <c r="B40" s="377"/>
      <c r="C40" s="377"/>
      <c r="D40" s="378"/>
      <c r="E40" s="378"/>
      <c r="M40" s="740"/>
      <c r="N40" s="740"/>
      <c r="O40" s="740"/>
      <c r="P40" s="740"/>
      <c r="Q40" s="740"/>
      <c r="R40" s="740"/>
      <c r="S40" s="740"/>
      <c r="T40" s="740"/>
      <c r="U40" s="740"/>
      <c r="V40" s="740"/>
    </row>
    <row r="41" spans="1:22" s="288" customFormat="1" ht="18.75">
      <c r="A41" s="287"/>
      <c r="B41" s="287" t="str">
        <f>+Control!D150</f>
        <v>Matthew Law CPA</v>
      </c>
      <c r="C41" s="287"/>
      <c r="M41" s="740"/>
      <c r="N41" s="740"/>
      <c r="O41" s="740"/>
      <c r="P41" s="740"/>
      <c r="Q41" s="740"/>
      <c r="R41" s="740"/>
      <c r="S41" s="740"/>
      <c r="T41" s="740"/>
      <c r="U41" s="740"/>
      <c r="V41" s="740"/>
    </row>
    <row r="42" spans="1:22" s="288" customFormat="1" ht="18.75">
      <c r="A42" s="287"/>
      <c r="B42" s="287"/>
      <c r="C42" s="287"/>
      <c r="M42" s="740"/>
      <c r="N42" s="740"/>
      <c r="O42" s="740"/>
      <c r="P42" s="740"/>
      <c r="Q42" s="740"/>
      <c r="R42" s="740"/>
      <c r="S42" s="740"/>
      <c r="T42" s="740"/>
      <c r="U42" s="740"/>
      <c r="V42" s="740"/>
    </row>
    <row r="47" spans="1:22">
      <c r="A47" s="1055" t="str">
        <f>+CONCATENATE(M47,N47)</f>
        <v>Address: Unit 402, 4/F., Fourseas Building, No. 208 Nathan Road, Kowloon</v>
      </c>
      <c r="B47" s="1055"/>
      <c r="C47" s="1055"/>
      <c r="D47" s="1055"/>
      <c r="E47" s="1055"/>
      <c r="F47" s="1055"/>
      <c r="G47" s="1055"/>
      <c r="H47" s="1055"/>
      <c r="I47" s="1055"/>
      <c r="J47" s="1055"/>
      <c r="K47" s="1055"/>
      <c r="L47" s="1055"/>
      <c r="M47" s="722" t="s">
        <v>1245</v>
      </c>
      <c r="N47" s="594" t="str">
        <f>+Control!D142</f>
        <v>Unit 402, 4/F., Fourseas Building, No. 208 Nathan Road, Kowloon</v>
      </c>
    </row>
    <row r="48" spans="1:22">
      <c r="A48" s="1056" t="str">
        <f>+CONCATENATE(M48,N48,"    ",M49,N49)</f>
        <v>Tel: (852)96621161    Fax: (852)35823310</v>
      </c>
      <c r="B48" s="1056"/>
      <c r="C48" s="1056"/>
      <c r="D48" s="1056"/>
      <c r="E48" s="1056"/>
      <c r="F48" s="1056"/>
      <c r="G48" s="1056"/>
      <c r="H48" s="1056"/>
      <c r="I48" s="1056"/>
      <c r="J48" s="1056"/>
      <c r="K48" s="1056"/>
      <c r="L48" s="1056"/>
      <c r="M48" s="722" t="s">
        <v>1243</v>
      </c>
      <c r="N48" s="594" t="str">
        <f>+Control!D146</f>
        <v>(852)96621161</v>
      </c>
    </row>
    <row r="49" spans="13:14">
      <c r="M49" s="722" t="s">
        <v>1244</v>
      </c>
      <c r="N49" s="594" t="str">
        <f>+Control!D145</f>
        <v>(852)35823310</v>
      </c>
    </row>
  </sheetData>
  <mergeCells count="5">
    <mergeCell ref="B26:K28"/>
    <mergeCell ref="A1:L1"/>
    <mergeCell ref="B23:K24"/>
    <mergeCell ref="A47:L47"/>
    <mergeCell ref="A48:L48"/>
  </mergeCells>
  <phoneticPr fontId="13" type="noConversion"/>
  <pageMargins left="0.51181102362204722" right="0.31496062992125984" top="0.74803149606299213" bottom="0.31496062992125984" header="0.31496062992125984" footer="0.31496062992125984"/>
  <pageSetup paperSize="9" scale="89" fitToHeight="0"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2">
    <pageSetUpPr fitToPage="1"/>
  </sheetPr>
  <dimension ref="A1:W50"/>
  <sheetViews>
    <sheetView topLeftCell="A16" workbookViewId="0">
      <selection activeCell="M1" sqref="M1:W1048576"/>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15" width="9" style="594" collapsed="1"/>
    <col min="16" max="16" width="12.5" style="594" bestFit="1" customWidth="1" collapsed="1"/>
    <col min="17" max="23" width="9" style="594" collapsed="1"/>
    <col min="24" max="16384" width="9" style="1" collapsed="1"/>
  </cols>
  <sheetData>
    <row r="1" spans="1:23" ht="22.5">
      <c r="A1" s="899" t="str">
        <f>+CONCATENATE(Control!D136," ",Control!D137)</f>
        <v>Matthew S.H. Law Certified Public Accountant (Practising)</v>
      </c>
      <c r="B1" s="899"/>
      <c r="C1" s="899"/>
      <c r="D1" s="899"/>
      <c r="E1" s="899"/>
      <c r="F1" s="899"/>
      <c r="G1" s="899"/>
      <c r="H1" s="899"/>
      <c r="I1" s="899"/>
      <c r="J1" s="899"/>
      <c r="K1" s="899"/>
      <c r="L1" s="899"/>
    </row>
    <row r="3" spans="1:23" s="39" customFormat="1" ht="15">
      <c r="A3" s="272"/>
      <c r="B3" s="263"/>
      <c r="C3" s="263"/>
      <c r="M3" s="722"/>
      <c r="N3" s="722"/>
      <c r="O3" s="722"/>
      <c r="P3" s="722"/>
      <c r="Q3" s="722"/>
      <c r="R3" s="722"/>
      <c r="S3" s="722"/>
      <c r="T3" s="722"/>
      <c r="U3" s="722"/>
      <c r="V3" s="722"/>
      <c r="W3" s="722"/>
    </row>
    <row r="4" spans="1:23" s="39" customFormat="1" ht="15">
      <c r="A4" s="263"/>
      <c r="B4" s="263"/>
      <c r="C4" s="263"/>
      <c r="M4" s="722"/>
      <c r="N4" s="722"/>
      <c r="O4" s="722"/>
      <c r="P4" s="722"/>
      <c r="Q4" s="722"/>
      <c r="R4" s="722"/>
      <c r="S4" s="722"/>
      <c r="T4" s="722"/>
      <c r="U4" s="722"/>
      <c r="V4" s="722"/>
      <c r="W4" s="722"/>
    </row>
    <row r="6" spans="1:23" s="288" customFormat="1" ht="18.75">
      <c r="A6" s="287"/>
      <c r="B6" s="287" t="s">
        <v>456</v>
      </c>
      <c r="C6" s="287"/>
      <c r="F6" s="376"/>
      <c r="M6" s="740"/>
      <c r="N6" s="740"/>
      <c r="O6" s="740"/>
      <c r="P6" s="740"/>
      <c r="Q6" s="740"/>
      <c r="R6" s="740"/>
      <c r="S6" s="740"/>
      <c r="T6" s="740"/>
      <c r="U6" s="740"/>
      <c r="V6" s="740"/>
      <c r="W6" s="740"/>
    </row>
    <row r="7" spans="1:23" s="288" customFormat="1" ht="18.75">
      <c r="A7" s="287"/>
      <c r="B7" s="287"/>
      <c r="C7" s="287"/>
      <c r="M7" s="740"/>
      <c r="N7" s="740"/>
      <c r="O7" s="740"/>
      <c r="P7" s="740"/>
      <c r="Q7" s="740"/>
      <c r="R7" s="740"/>
      <c r="S7" s="740"/>
      <c r="T7" s="740"/>
      <c r="U7" s="740"/>
      <c r="V7" s="740"/>
      <c r="W7" s="740"/>
    </row>
    <row r="8" spans="1:23" s="288" customFormat="1" ht="18.75">
      <c r="A8" s="287"/>
      <c r="B8" s="287"/>
      <c r="C8" s="287"/>
      <c r="M8" s="740"/>
      <c r="N8" s="740"/>
      <c r="O8" s="740"/>
      <c r="P8" s="740"/>
      <c r="Q8" s="740"/>
      <c r="R8" s="740"/>
      <c r="S8" s="740"/>
      <c r="T8" s="740"/>
      <c r="U8" s="740"/>
      <c r="V8" s="740"/>
      <c r="W8" s="740"/>
    </row>
    <row r="9" spans="1:23" s="288" customFormat="1" ht="18.75">
      <c r="A9" s="287"/>
      <c r="B9" s="287" t="s">
        <v>942</v>
      </c>
      <c r="C9" s="287"/>
      <c r="M9" s="740"/>
      <c r="N9" s="740"/>
      <c r="O9" s="740"/>
      <c r="P9" s="740"/>
      <c r="Q9" s="740"/>
      <c r="R9" s="740"/>
      <c r="S9" s="740"/>
      <c r="T9" s="740"/>
      <c r="U9" s="740"/>
      <c r="V9" s="740"/>
      <c r="W9" s="740"/>
    </row>
    <row r="10" spans="1:23" s="288" customFormat="1" ht="18.75">
      <c r="A10" s="287"/>
      <c r="B10" s="287" t="s">
        <v>943</v>
      </c>
      <c r="C10" s="287"/>
      <c r="M10" s="740"/>
      <c r="N10" s="740"/>
      <c r="O10" s="740"/>
      <c r="P10" s="740"/>
      <c r="Q10" s="740"/>
      <c r="R10" s="740"/>
      <c r="S10" s="740"/>
      <c r="T10" s="740"/>
      <c r="U10" s="740"/>
      <c r="V10" s="740"/>
      <c r="W10" s="740"/>
    </row>
    <row r="11" spans="1:23" s="288" customFormat="1" ht="18.75">
      <c r="A11" s="287"/>
      <c r="B11" s="287" t="s">
        <v>944</v>
      </c>
      <c r="C11" s="287"/>
      <c r="H11" s="376"/>
      <c r="M11" s="740"/>
      <c r="N11" s="740"/>
      <c r="O11" s="740"/>
      <c r="P11" s="740"/>
      <c r="Q11" s="740"/>
      <c r="R11" s="740"/>
      <c r="S11" s="740"/>
      <c r="T11" s="740"/>
      <c r="U11" s="740"/>
      <c r="V11" s="740"/>
      <c r="W11" s="740"/>
    </row>
    <row r="12" spans="1:23" s="288" customFormat="1" ht="18.75">
      <c r="A12" s="287"/>
      <c r="B12" s="287" t="s">
        <v>945</v>
      </c>
      <c r="C12" s="287"/>
      <c r="M12" s="740"/>
      <c r="N12" s="740"/>
      <c r="O12" s="740"/>
      <c r="P12" s="740"/>
      <c r="Q12" s="740"/>
      <c r="R12" s="740"/>
      <c r="S12" s="740"/>
      <c r="T12" s="740"/>
      <c r="U12" s="740"/>
      <c r="V12" s="740"/>
      <c r="W12" s="740"/>
    </row>
    <row r="13" spans="1:23" s="288" customFormat="1" ht="18.75">
      <c r="A13" s="287"/>
      <c r="B13" s="287" t="s">
        <v>946</v>
      </c>
      <c r="C13" s="287"/>
      <c r="M13" s="740"/>
      <c r="N13" s="740"/>
      <c r="O13" s="740"/>
      <c r="P13" s="740"/>
      <c r="Q13" s="740"/>
      <c r="R13" s="740"/>
      <c r="S13" s="740"/>
      <c r="T13" s="740"/>
      <c r="U13" s="740"/>
      <c r="V13" s="740"/>
      <c r="W13" s="740"/>
    </row>
    <row r="14" spans="1:23" s="288" customFormat="1" ht="18.75">
      <c r="A14" s="287"/>
      <c r="B14" s="287"/>
      <c r="C14" s="287"/>
      <c r="M14" s="740"/>
      <c r="N14" s="740"/>
      <c r="O14" s="740"/>
      <c r="P14" s="740"/>
      <c r="Q14" s="740"/>
      <c r="R14" s="740"/>
      <c r="S14" s="740"/>
      <c r="T14" s="740"/>
      <c r="U14" s="740"/>
      <c r="V14" s="740"/>
      <c r="W14" s="740"/>
    </row>
    <row r="15" spans="1:23" s="288" customFormat="1" ht="18.75">
      <c r="A15" s="287"/>
      <c r="B15" s="287" t="s">
        <v>395</v>
      </c>
      <c r="C15" s="287"/>
      <c r="M15" s="740"/>
      <c r="N15" s="740"/>
      <c r="O15" s="740"/>
      <c r="P15" s="740"/>
      <c r="Q15" s="740"/>
      <c r="R15" s="740"/>
      <c r="S15" s="740"/>
      <c r="T15" s="740"/>
      <c r="U15" s="740"/>
      <c r="V15" s="740"/>
      <c r="W15" s="740"/>
    </row>
    <row r="16" spans="1:23" s="288" customFormat="1" ht="18.75">
      <c r="A16" s="287"/>
      <c r="B16" s="287"/>
      <c r="C16" s="287"/>
      <c r="M16" s="740"/>
      <c r="N16" s="740"/>
      <c r="O16" s="740"/>
      <c r="P16" s="740"/>
      <c r="Q16" s="740"/>
      <c r="R16" s="740"/>
      <c r="S16" s="740"/>
      <c r="T16" s="740"/>
      <c r="U16" s="740"/>
      <c r="V16" s="740"/>
      <c r="W16" s="740"/>
    </row>
    <row r="17" spans="1:23" s="288" customFormat="1" ht="18.75">
      <c r="A17" s="287"/>
      <c r="B17" s="287" t="s">
        <v>947</v>
      </c>
      <c r="C17" s="287"/>
      <c r="M17" s="740"/>
      <c r="N17" s="740"/>
      <c r="O17" s="740"/>
      <c r="P17" s="740"/>
      <c r="Q17" s="740"/>
      <c r="R17" s="740"/>
      <c r="S17" s="740"/>
      <c r="T17" s="740"/>
      <c r="U17" s="740"/>
      <c r="V17" s="740"/>
      <c r="W17" s="740"/>
    </row>
    <row r="18" spans="1:23" s="288" customFormat="1" ht="18.75">
      <c r="A18" s="287"/>
      <c r="B18" s="287" t="s">
        <v>1193</v>
      </c>
      <c r="C18" s="287"/>
      <c r="M18" s="740" t="s">
        <v>948</v>
      </c>
      <c r="N18" s="740" t="str">
        <f>+Control!D120</f>
        <v>2016/17</v>
      </c>
      <c r="O18" s="740"/>
      <c r="P18" s="740"/>
      <c r="Q18" s="740"/>
      <c r="R18" s="740"/>
      <c r="S18" s="740"/>
      <c r="T18" s="740"/>
      <c r="U18" s="740"/>
      <c r="V18" s="740"/>
      <c r="W18" s="740"/>
    </row>
    <row r="19" spans="1:23" s="288" customFormat="1" ht="18.75">
      <c r="A19" s="287"/>
      <c r="B19" s="287" t="str">
        <f>+Control!D3</f>
        <v>MIC INCORPORATION LIMITED </v>
      </c>
      <c r="C19" s="287"/>
      <c r="M19" s="740"/>
      <c r="N19" s="740"/>
      <c r="O19" s="740"/>
      <c r="P19" s="740"/>
      <c r="Q19" s="740"/>
      <c r="R19" s="740"/>
      <c r="S19" s="740"/>
      <c r="T19" s="740"/>
      <c r="U19" s="740"/>
      <c r="V19" s="740"/>
      <c r="W19" s="740"/>
    </row>
    <row r="20" spans="1:23" s="288" customFormat="1" ht="18.75">
      <c r="A20" s="287"/>
      <c r="B20" s="377" t="str">
        <f>+CONCATENATE(M20,N20,O20,P20)</f>
        <v>FILE NO.: 05/65476707</v>
      </c>
      <c r="C20" s="377"/>
      <c r="D20" s="378"/>
      <c r="E20" s="378"/>
      <c r="F20" s="378"/>
      <c r="G20" s="378"/>
      <c r="H20" s="378"/>
      <c r="M20" s="740" t="s">
        <v>953</v>
      </c>
      <c r="N20" s="740" t="str">
        <f>+IF(Control!D30=1,N21,N22)</f>
        <v>05</v>
      </c>
      <c r="O20" s="740" t="s">
        <v>1131</v>
      </c>
      <c r="P20" s="740" t="str">
        <f>+LEFT(Control!D75,8)</f>
        <v>65476707</v>
      </c>
      <c r="Q20" s="740"/>
      <c r="R20" s="740"/>
      <c r="S20" s="740"/>
      <c r="T20" s="740"/>
      <c r="U20" s="740"/>
      <c r="V20" s="740"/>
      <c r="W20" s="740"/>
    </row>
    <row r="21" spans="1:23" s="288" customFormat="1" ht="18.75">
      <c r="A21" s="287"/>
      <c r="B21" s="287"/>
      <c r="C21" s="287"/>
      <c r="M21" s="740" t="s">
        <v>1132</v>
      </c>
      <c r="N21" s="740" t="str">
        <f>+IF(Control!D30=1,"23","")</f>
        <v/>
      </c>
      <c r="O21" s="740"/>
      <c r="P21" s="740"/>
      <c r="Q21" s="740"/>
      <c r="R21" s="740"/>
      <c r="S21" s="740"/>
      <c r="T21" s="740"/>
      <c r="U21" s="740"/>
      <c r="V21" s="740"/>
      <c r="W21" s="740"/>
    </row>
    <row r="22" spans="1:23" s="288" customFormat="1" ht="18.75">
      <c r="A22" s="287"/>
      <c r="B22" s="287"/>
      <c r="C22" s="287"/>
      <c r="M22" s="740" t="s">
        <v>1133</v>
      </c>
      <c r="N22" s="740" t="str">
        <f>+IF(Section3!E22&gt;=0,"05","22")</f>
        <v>05</v>
      </c>
      <c r="O22" s="740"/>
      <c r="P22" s="740"/>
      <c r="Q22" s="740"/>
      <c r="R22" s="740"/>
      <c r="S22" s="740"/>
      <c r="T22" s="740"/>
      <c r="U22" s="740"/>
      <c r="V22" s="740"/>
      <c r="W22" s="740"/>
    </row>
    <row r="23" spans="1:23" s="288" customFormat="1" ht="18.75">
      <c r="A23" s="287"/>
      <c r="B23" s="1052" t="s">
        <v>1194</v>
      </c>
      <c r="C23" s="1052"/>
      <c r="D23" s="1052"/>
      <c r="E23" s="1052"/>
      <c r="F23" s="1052"/>
      <c r="G23" s="1052"/>
      <c r="H23" s="1052"/>
      <c r="I23" s="1052"/>
      <c r="J23" s="1052"/>
      <c r="K23" s="1052"/>
      <c r="M23" s="740" t="s">
        <v>950</v>
      </c>
      <c r="N23" s="740" t="str">
        <f>+LOWER(Control!D9)</f>
        <v>period</v>
      </c>
      <c r="O23" s="740" t="s">
        <v>660</v>
      </c>
      <c r="P23" s="741" t="str">
        <f>+Control!D6</f>
        <v>31 December, 2016</v>
      </c>
      <c r="Q23" s="740" t="s">
        <v>951</v>
      </c>
      <c r="R23" s="740"/>
      <c r="S23" s="740"/>
      <c r="T23" s="740"/>
      <c r="U23" s="740"/>
      <c r="V23" s="740"/>
      <c r="W23" s="740"/>
    </row>
    <row r="24" spans="1:23" s="288" customFormat="1" ht="33.75" customHeight="1">
      <c r="A24" s="287"/>
      <c r="B24" s="1052"/>
      <c r="C24" s="1052"/>
      <c r="D24" s="1052"/>
      <c r="E24" s="1052"/>
      <c r="F24" s="1052"/>
      <c r="G24" s="1052"/>
      <c r="H24" s="1052"/>
      <c r="I24" s="1052"/>
      <c r="J24" s="1052"/>
      <c r="K24" s="1052"/>
      <c r="M24" s="740"/>
      <c r="N24" s="740"/>
      <c r="O24" s="740"/>
      <c r="P24" s="740"/>
      <c r="Q24" s="740"/>
      <c r="R24" s="740"/>
      <c r="S24" s="740"/>
      <c r="T24" s="740"/>
      <c r="U24" s="740"/>
      <c r="V24" s="740"/>
      <c r="W24" s="740"/>
    </row>
    <row r="25" spans="1:23" s="288" customFormat="1" ht="18.75">
      <c r="A25" s="287"/>
      <c r="B25" s="287"/>
      <c r="C25" s="287"/>
      <c r="M25" s="740"/>
      <c r="N25" s="740"/>
      <c r="O25" s="740"/>
      <c r="P25" s="740"/>
      <c r="Q25" s="740"/>
      <c r="R25" s="740"/>
      <c r="S25" s="740"/>
      <c r="T25" s="740"/>
      <c r="U25" s="740"/>
      <c r="V25" s="740"/>
      <c r="W25" s="740"/>
    </row>
    <row r="26" spans="1:23" s="288" customFormat="1" ht="16.5" customHeight="1">
      <c r="A26" s="287"/>
      <c r="B26" s="1053" t="s">
        <v>954</v>
      </c>
      <c r="C26" s="1053"/>
      <c r="D26" s="1053"/>
      <c r="E26" s="1053"/>
      <c r="F26" s="1053"/>
      <c r="G26" s="1053"/>
      <c r="H26" s="1053"/>
      <c r="I26" s="1053"/>
      <c r="J26" s="1053"/>
      <c r="K26" s="1053"/>
      <c r="M26" s="740"/>
      <c r="N26" s="740"/>
      <c r="O26" s="740"/>
      <c r="P26" s="740"/>
      <c r="Q26" s="740"/>
      <c r="R26" s="740"/>
      <c r="S26" s="740"/>
      <c r="T26" s="740"/>
      <c r="U26" s="740"/>
      <c r="V26" s="740"/>
      <c r="W26" s="740"/>
    </row>
    <row r="27" spans="1:23" s="288" customFormat="1" ht="18.75">
      <c r="A27" s="287"/>
      <c r="B27" s="1053"/>
      <c r="C27" s="1053"/>
      <c r="D27" s="1053"/>
      <c r="E27" s="1053"/>
      <c r="F27" s="1053"/>
      <c r="G27" s="1053"/>
      <c r="H27" s="1053"/>
      <c r="I27" s="1053"/>
      <c r="J27" s="1053"/>
      <c r="K27" s="1053"/>
      <c r="M27" s="740"/>
      <c r="N27" s="740"/>
      <c r="O27" s="740"/>
      <c r="P27" s="740"/>
      <c r="Q27" s="740"/>
      <c r="R27" s="740"/>
      <c r="S27" s="740"/>
      <c r="T27" s="740"/>
      <c r="U27" s="740"/>
      <c r="V27" s="740"/>
      <c r="W27" s="740"/>
    </row>
    <row r="28" spans="1:23" s="288" customFormat="1" ht="21.75" customHeight="1">
      <c r="A28" s="287"/>
      <c r="B28" s="1053"/>
      <c r="C28" s="1053"/>
      <c r="D28" s="1053"/>
      <c r="E28" s="1053"/>
      <c r="F28" s="1053"/>
      <c r="G28" s="1053"/>
      <c r="H28" s="1053"/>
      <c r="I28" s="1053"/>
      <c r="J28" s="1053"/>
      <c r="K28" s="1053"/>
      <c r="M28" s="740"/>
      <c r="N28" s="740"/>
      <c r="O28" s="740"/>
      <c r="P28" s="740"/>
      <c r="Q28" s="740"/>
      <c r="R28" s="740"/>
      <c r="S28" s="740"/>
      <c r="T28" s="740"/>
      <c r="U28" s="740"/>
      <c r="V28" s="740"/>
      <c r="W28" s="740"/>
    </row>
    <row r="29" spans="1:23" s="288" customFormat="1" ht="18.75">
      <c r="A29" s="287"/>
      <c r="B29" s="287" t="s">
        <v>955</v>
      </c>
      <c r="C29" s="287"/>
      <c r="M29" s="740"/>
      <c r="N29" s="740"/>
      <c r="O29" s="740"/>
      <c r="P29" s="740"/>
      <c r="Q29" s="740"/>
      <c r="R29" s="740"/>
      <c r="S29" s="740"/>
      <c r="T29" s="740"/>
      <c r="U29" s="740"/>
      <c r="V29" s="740"/>
      <c r="W29" s="740"/>
    </row>
    <row r="30" spans="1:23" s="288" customFormat="1" ht="18.75">
      <c r="A30" s="287"/>
      <c r="B30" s="287"/>
      <c r="C30" s="287"/>
      <c r="M30" s="740"/>
      <c r="N30" s="740"/>
      <c r="O30" s="740"/>
      <c r="P30" s="740"/>
      <c r="Q30" s="740"/>
      <c r="R30" s="740"/>
      <c r="S30" s="740"/>
      <c r="T30" s="740"/>
      <c r="U30" s="740"/>
      <c r="V30" s="740"/>
      <c r="W30" s="740"/>
    </row>
    <row r="31" spans="1:23" s="288" customFormat="1" ht="18.75">
      <c r="A31" s="287"/>
      <c r="B31" s="287"/>
      <c r="C31" s="287"/>
      <c r="M31" s="740"/>
      <c r="N31" s="740"/>
      <c r="O31" s="740"/>
      <c r="P31" s="740"/>
      <c r="Q31" s="740"/>
      <c r="R31" s="740"/>
      <c r="S31" s="740"/>
      <c r="T31" s="740"/>
      <c r="U31" s="740"/>
      <c r="V31" s="740"/>
      <c r="W31" s="740"/>
    </row>
    <row r="32" spans="1:23" s="288" customFormat="1" ht="18.75">
      <c r="A32" s="287"/>
      <c r="B32" s="287" t="s">
        <v>941</v>
      </c>
      <c r="C32" s="287"/>
      <c r="M32" s="740"/>
      <c r="N32" s="740"/>
      <c r="O32" s="740"/>
      <c r="P32" s="740"/>
      <c r="Q32" s="740"/>
      <c r="R32" s="740"/>
      <c r="S32" s="740"/>
      <c r="T32" s="740"/>
      <c r="U32" s="740"/>
      <c r="V32" s="740"/>
      <c r="W32" s="740"/>
    </row>
    <row r="33" spans="1:23" s="288" customFormat="1" ht="18.75">
      <c r="A33" s="287"/>
      <c r="B33" s="287"/>
      <c r="C33" s="287"/>
      <c r="M33" s="740"/>
      <c r="N33" s="740"/>
      <c r="O33" s="740"/>
      <c r="P33" s="740"/>
      <c r="Q33" s="740"/>
      <c r="R33" s="740"/>
      <c r="S33" s="740"/>
      <c r="T33" s="740"/>
      <c r="U33" s="740"/>
      <c r="V33" s="740"/>
      <c r="W33" s="740"/>
    </row>
    <row r="34" spans="1:23" s="288" customFormat="1" ht="18.75">
      <c r="A34" s="287"/>
      <c r="B34" s="287"/>
      <c r="C34" s="287"/>
      <c r="M34" s="740"/>
      <c r="N34" s="740"/>
      <c r="O34" s="740"/>
      <c r="P34" s="740"/>
      <c r="Q34" s="740"/>
      <c r="R34" s="740"/>
      <c r="S34" s="740"/>
      <c r="T34" s="740"/>
      <c r="U34" s="740"/>
      <c r="V34" s="740"/>
      <c r="W34" s="740"/>
    </row>
    <row r="35" spans="1:23" s="288" customFormat="1" ht="18.75">
      <c r="A35" s="287"/>
      <c r="B35" s="287"/>
      <c r="C35" s="287"/>
      <c r="M35" s="740"/>
      <c r="N35" s="740"/>
      <c r="O35" s="740"/>
      <c r="P35" s="740"/>
      <c r="Q35" s="740"/>
      <c r="R35" s="740"/>
      <c r="S35" s="740"/>
      <c r="T35" s="740"/>
      <c r="U35" s="740"/>
      <c r="V35" s="740"/>
      <c r="W35" s="740"/>
    </row>
    <row r="36" spans="1:23" s="288" customFormat="1" ht="18.75">
      <c r="A36" s="287"/>
      <c r="B36" s="377"/>
      <c r="C36" s="377"/>
      <c r="D36" s="378"/>
      <c r="E36" s="378"/>
      <c r="M36" s="740"/>
      <c r="N36" s="740"/>
      <c r="O36" s="740"/>
      <c r="P36" s="740"/>
      <c r="Q36" s="740"/>
      <c r="R36" s="740"/>
      <c r="S36" s="740"/>
      <c r="T36" s="740"/>
      <c r="U36" s="740"/>
      <c r="V36" s="740"/>
      <c r="W36" s="740"/>
    </row>
    <row r="37" spans="1:23" s="288" customFormat="1" ht="18.75">
      <c r="A37" s="287"/>
      <c r="B37" s="287" t="str">
        <f>+Control!D150</f>
        <v>Matthew Law CPA</v>
      </c>
      <c r="C37" s="287"/>
      <c r="M37" s="740"/>
      <c r="N37" s="740"/>
      <c r="O37" s="740"/>
      <c r="P37" s="740"/>
      <c r="Q37" s="740"/>
      <c r="R37" s="740"/>
      <c r="S37" s="740"/>
      <c r="T37" s="740"/>
      <c r="U37" s="740"/>
      <c r="V37" s="740"/>
      <c r="W37" s="740"/>
    </row>
    <row r="38" spans="1:23" s="288" customFormat="1" ht="18.75">
      <c r="A38" s="287"/>
      <c r="B38" s="287"/>
      <c r="C38" s="287"/>
      <c r="M38" s="740"/>
      <c r="N38" s="740"/>
      <c r="O38" s="740"/>
      <c r="P38" s="740"/>
      <c r="Q38" s="740"/>
      <c r="R38" s="740"/>
      <c r="S38" s="740"/>
      <c r="T38" s="740"/>
      <c r="U38" s="740"/>
      <c r="V38" s="740"/>
      <c r="W38" s="740"/>
    </row>
    <row r="48" spans="1:23">
      <c r="B48" s="1055" t="str">
        <f>+CONCATENATE(M48,N48)</f>
        <v>Address: Unit 402, 4/F., Fourseas Building, No. 208 Nathan Road, Kowloon</v>
      </c>
      <c r="C48" s="1055"/>
      <c r="D48" s="1055"/>
      <c r="E48" s="1055"/>
      <c r="F48" s="1055"/>
      <c r="G48" s="1055"/>
      <c r="H48" s="1055"/>
      <c r="I48" s="1055"/>
      <c r="J48" s="1055"/>
      <c r="K48" s="1055"/>
      <c r="L48" s="1055"/>
      <c r="M48" s="722" t="s">
        <v>1245</v>
      </c>
      <c r="N48" s="594" t="str">
        <f>+Control!D142</f>
        <v>Unit 402, 4/F., Fourseas Building, No. 208 Nathan Road, Kowloon</v>
      </c>
    </row>
    <row r="49" spans="2:14">
      <c r="B49" s="1056" t="str">
        <f>+CONCATENATE(M49,N49,"    ",M50,N50)</f>
        <v>Tel: (852)96621161    Fax: (852)35823310</v>
      </c>
      <c r="C49" s="1056"/>
      <c r="D49" s="1056"/>
      <c r="E49" s="1056"/>
      <c r="F49" s="1056"/>
      <c r="G49" s="1056"/>
      <c r="H49" s="1056"/>
      <c r="I49" s="1056"/>
      <c r="J49" s="1056"/>
      <c r="K49" s="1056"/>
      <c r="L49" s="1056"/>
      <c r="M49" s="722" t="s">
        <v>1243</v>
      </c>
      <c r="N49" s="594" t="str">
        <f>+Control!D146</f>
        <v>(852)96621161</v>
      </c>
    </row>
    <row r="50" spans="2:14">
      <c r="M50" s="722" t="s">
        <v>1244</v>
      </c>
      <c r="N50" s="594" t="str">
        <f>+Control!D145</f>
        <v>(852)35823310</v>
      </c>
    </row>
  </sheetData>
  <mergeCells count="5">
    <mergeCell ref="A1:L1"/>
    <mergeCell ref="B23:K24"/>
    <mergeCell ref="B26:K28"/>
    <mergeCell ref="B48:L48"/>
    <mergeCell ref="B49:L49"/>
  </mergeCells>
  <phoneticPr fontId="13" type="noConversion"/>
  <pageMargins left="0.51181102362204722" right="0.31496062992125984" top="0.74803149606299213" bottom="0.31496062992125984" header="0.31496062992125984" footer="0.31496062992125984"/>
  <pageSetup paperSize="9" scale="89" fitToHeight="0"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3">
    <pageSetUpPr fitToPage="1"/>
  </sheetPr>
  <dimension ref="A1:X56"/>
  <sheetViews>
    <sheetView topLeftCell="A16" workbookViewId="0">
      <selection activeCell="K13" sqref="K13"/>
    </sheetView>
  </sheetViews>
  <sheetFormatPr defaultColWidth="9" defaultRowHeight="15"/>
  <cols>
    <col min="1" max="2" width="3.125" style="263" customWidth="1" collapsed="1"/>
    <col min="3" max="3" width="4.125" style="263" customWidth="1" collapsed="1"/>
    <col min="4" max="4" width="10.875" style="39" customWidth="1" collapsed="1"/>
    <col min="5" max="6" width="9" style="39" collapsed="1"/>
    <col min="7" max="7" width="12.5" style="39" customWidth="1" collapsed="1"/>
    <col min="8" max="8" width="14.5" style="39" customWidth="1" collapsed="1"/>
    <col min="9" max="9" width="9" style="39" collapsed="1"/>
    <col min="10" max="10" width="16.875" style="39" customWidth="1" collapsed="1"/>
    <col min="11" max="11" width="9" style="39" collapsed="1"/>
    <col min="12" max="12" width="5.125" style="39" customWidth="1" collapsed="1"/>
    <col min="13" max="14" width="16.125" style="722" bestFit="1" customWidth="1" collapsed="1"/>
    <col min="15" max="15" width="9" style="722" collapsed="1"/>
    <col min="16" max="16" width="12.5" style="722" bestFit="1" customWidth="1" collapsed="1"/>
    <col min="17" max="24" width="9" style="722" collapsed="1"/>
    <col min="25" max="16384" width="9" style="39" collapsed="1"/>
  </cols>
  <sheetData>
    <row r="1" spans="1:12" ht="22.5">
      <c r="A1" s="899" t="str">
        <f>+CONCATENATE(Control!D136," ",Control!D137)</f>
        <v>Matthew S.H. Law Certified Public Accountant (Practising)</v>
      </c>
      <c r="B1" s="899"/>
      <c r="C1" s="899"/>
      <c r="D1" s="899"/>
      <c r="E1" s="899"/>
      <c r="F1" s="899"/>
      <c r="G1" s="899"/>
      <c r="H1" s="899"/>
      <c r="I1" s="899"/>
      <c r="J1" s="899"/>
      <c r="K1" s="899"/>
      <c r="L1" s="899"/>
    </row>
    <row r="3" spans="1:12">
      <c r="A3" s="272"/>
    </row>
    <row r="4" spans="1:12" ht="15.75">
      <c r="A4" s="265"/>
      <c r="B4" s="425" t="s">
        <v>956</v>
      </c>
      <c r="C4" s="265"/>
      <c r="D4" s="1"/>
      <c r="E4" s="1"/>
      <c r="F4" s="1"/>
      <c r="G4" s="1"/>
      <c r="H4" s="1"/>
      <c r="I4" s="1"/>
      <c r="J4" s="1"/>
      <c r="K4" s="1"/>
      <c r="L4" s="1"/>
    </row>
    <row r="5" spans="1:12" ht="15.75">
      <c r="A5" s="265"/>
      <c r="B5" s="265"/>
      <c r="C5" s="265"/>
      <c r="D5" s="1"/>
      <c r="E5" s="1"/>
      <c r="F5" s="1"/>
      <c r="G5" s="1"/>
      <c r="H5" s="1"/>
      <c r="I5" s="1"/>
      <c r="J5" s="1"/>
      <c r="K5" s="1"/>
      <c r="L5" s="1"/>
    </row>
    <row r="6" spans="1:12" ht="15.75">
      <c r="A6" s="265"/>
      <c r="B6" s="265">
        <f>+Control!D51</f>
        <v>0</v>
      </c>
      <c r="C6" s="265"/>
      <c r="D6" s="1"/>
      <c r="E6" s="1"/>
      <c r="F6" s="1"/>
      <c r="G6" s="1"/>
      <c r="H6" s="1"/>
      <c r="I6" s="1"/>
      <c r="J6" s="1"/>
      <c r="K6" s="1"/>
      <c r="L6" s="1"/>
    </row>
    <row r="7" spans="1:12" ht="15.75">
      <c r="A7" s="265"/>
      <c r="B7" s="265">
        <f>+Control!D52</f>
        <v>0</v>
      </c>
      <c r="C7" s="265"/>
      <c r="D7" s="1"/>
      <c r="E7" s="1"/>
      <c r="F7" s="1"/>
      <c r="G7" s="1"/>
      <c r="H7" s="1"/>
      <c r="I7" s="1"/>
      <c r="J7" s="1"/>
      <c r="K7" s="1"/>
      <c r="L7" s="1"/>
    </row>
    <row r="8" spans="1:12" ht="23.45" customHeight="1">
      <c r="A8" s="265"/>
      <c r="B8" s="265">
        <f>+Control!D53</f>
        <v>0</v>
      </c>
      <c r="C8" s="265"/>
      <c r="D8" s="1"/>
      <c r="E8" s="1"/>
      <c r="F8" s="1"/>
      <c r="G8" s="1"/>
      <c r="H8" s="1"/>
      <c r="I8" s="1"/>
      <c r="J8" s="1"/>
      <c r="K8" s="1"/>
      <c r="L8" s="1"/>
    </row>
    <row r="9" spans="1:12" ht="15.75">
      <c r="A9" s="265"/>
      <c r="B9" s="265"/>
      <c r="C9" s="265"/>
      <c r="D9" s="1"/>
      <c r="E9" s="1"/>
      <c r="F9" s="1"/>
      <c r="G9" s="1"/>
      <c r="H9" s="1"/>
      <c r="I9" s="1"/>
      <c r="J9" s="1"/>
      <c r="K9" s="1"/>
      <c r="L9" s="1"/>
    </row>
    <row r="10" spans="1:12" ht="15.75">
      <c r="A10" s="265"/>
      <c r="B10" s="265" t="s">
        <v>957</v>
      </c>
      <c r="C10" s="265"/>
      <c r="D10" s="1"/>
      <c r="E10" s="1"/>
      <c r="F10" s="1"/>
      <c r="G10" s="1"/>
      <c r="H10" s="1"/>
      <c r="I10" s="1"/>
      <c r="J10" s="1"/>
      <c r="K10" s="1"/>
      <c r="L10" s="1"/>
    </row>
    <row r="11" spans="1:12" ht="15.75">
      <c r="A11" s="265"/>
      <c r="B11" s="265"/>
      <c r="C11" s="265"/>
      <c r="D11" s="1"/>
      <c r="E11" s="1"/>
      <c r="F11" s="1"/>
      <c r="G11" s="1"/>
      <c r="H11" s="1"/>
      <c r="I11" s="1"/>
      <c r="J11" s="1"/>
      <c r="K11" s="1"/>
      <c r="L11" s="1"/>
    </row>
    <row r="12" spans="1:12" ht="15.75">
      <c r="A12" s="265"/>
      <c r="B12" s="265" t="s">
        <v>222</v>
      </c>
      <c r="C12" s="265"/>
      <c r="D12" s="1"/>
      <c r="E12" s="1"/>
      <c r="F12" s="1"/>
      <c r="G12" s="1"/>
      <c r="H12" s="1"/>
      <c r="I12" s="1"/>
      <c r="J12" s="1"/>
      <c r="K12" s="1"/>
      <c r="L12" s="1"/>
    </row>
    <row r="13" spans="1:12" ht="15.75">
      <c r="A13" s="265"/>
      <c r="B13" s="265" t="s">
        <v>958</v>
      </c>
      <c r="C13" s="265"/>
      <c r="D13" s="1"/>
      <c r="E13" s="1"/>
      <c r="F13" s="1"/>
      <c r="G13" s="1"/>
      <c r="H13" s="1"/>
      <c r="I13" s="1"/>
      <c r="J13" s="1"/>
      <c r="K13" s="1"/>
      <c r="L13" s="1"/>
    </row>
    <row r="14" spans="1:12" ht="15.75">
      <c r="A14" s="265"/>
      <c r="B14" s="265"/>
      <c r="C14" s="265"/>
      <c r="D14" s="1"/>
      <c r="E14" s="1"/>
      <c r="F14" s="1"/>
      <c r="G14" s="1"/>
      <c r="H14" s="1"/>
      <c r="I14" s="1"/>
      <c r="J14" s="1"/>
      <c r="K14" s="1"/>
      <c r="L14" s="1"/>
    </row>
    <row r="15" spans="1:12" ht="15.75">
      <c r="A15" s="265"/>
      <c r="B15" s="265"/>
      <c r="C15" s="265"/>
      <c r="D15" s="1"/>
      <c r="E15" s="1"/>
      <c r="F15" s="1"/>
      <c r="G15" s="1"/>
      <c r="H15" s="1"/>
      <c r="I15" s="1"/>
      <c r="J15" s="1"/>
      <c r="K15" s="1"/>
      <c r="L15" s="1"/>
    </row>
    <row r="16" spans="1:12" ht="15.75">
      <c r="A16" s="265"/>
      <c r="B16" s="265"/>
      <c r="C16" s="265"/>
      <c r="D16" s="1"/>
      <c r="E16" s="1"/>
      <c r="F16" s="1"/>
      <c r="G16" s="1"/>
      <c r="H16" s="1"/>
      <c r="I16" s="1"/>
      <c r="J16" s="1"/>
      <c r="K16" s="1"/>
      <c r="L16" s="1"/>
    </row>
    <row r="17" spans="1:19" ht="15.75">
      <c r="A17" s="265"/>
      <c r="B17" s="265" t="s">
        <v>382</v>
      </c>
      <c r="C17" s="265"/>
      <c r="D17" s="1"/>
      <c r="E17" s="1"/>
      <c r="F17" s="1"/>
      <c r="G17" s="1"/>
      <c r="H17" s="1"/>
      <c r="I17" s="1"/>
      <c r="J17" s="1"/>
      <c r="K17" s="1"/>
      <c r="L17" s="1"/>
    </row>
    <row r="18" spans="1:19" ht="15.75">
      <c r="A18" s="265"/>
      <c r="B18" s="265"/>
      <c r="C18" s="265"/>
      <c r="D18" s="1"/>
      <c r="E18" s="1"/>
      <c r="F18" s="1"/>
      <c r="G18" s="1"/>
      <c r="H18" s="1"/>
      <c r="I18" s="1"/>
      <c r="J18" s="1"/>
      <c r="K18" s="1"/>
      <c r="L18" s="1"/>
    </row>
    <row r="19" spans="1:19" ht="15.75">
      <c r="A19" s="265"/>
      <c r="B19" s="426" t="str">
        <f>+Control!D3</f>
        <v>MIC INCORPORATION LIMITED </v>
      </c>
      <c r="C19" s="265"/>
      <c r="D19" s="1"/>
      <c r="E19" s="1"/>
      <c r="F19" s="1"/>
      <c r="G19" s="1"/>
      <c r="H19" s="1"/>
      <c r="I19" s="1"/>
      <c r="J19" s="1"/>
      <c r="K19" s="1"/>
      <c r="L19" s="1"/>
    </row>
    <row r="20" spans="1:19" ht="15.75">
      <c r="A20" s="265"/>
      <c r="B20" s="265"/>
      <c r="C20" s="265"/>
      <c r="D20" s="1"/>
      <c r="E20" s="1"/>
      <c r="F20" s="1"/>
      <c r="G20" s="1"/>
      <c r="H20" s="1"/>
      <c r="I20" s="1"/>
      <c r="J20" s="1"/>
      <c r="K20" s="1"/>
      <c r="L20" s="1"/>
    </row>
    <row r="21" spans="1:19" ht="15.6" customHeight="1">
      <c r="A21" s="265"/>
      <c r="B21" s="1058" t="str">
        <f>+CONCATENATE(M21,N21,O21,P21,Q21,R21,S21)</f>
        <v>We have been nominated to act as auditors of MIC INCORPORATION LIMITED  for the period ended 31 December, 2016.</v>
      </c>
      <c r="C21" s="1058"/>
      <c r="D21" s="1058"/>
      <c r="E21" s="1058"/>
      <c r="F21" s="1058"/>
      <c r="G21" s="1058"/>
      <c r="H21" s="1058"/>
      <c r="I21" s="1058"/>
      <c r="J21" s="1058"/>
      <c r="K21" s="1058"/>
      <c r="L21" s="427"/>
      <c r="M21" s="722" t="s">
        <v>959</v>
      </c>
      <c r="N21" s="722" t="str">
        <f>+Control!D3</f>
        <v>MIC INCORPORATION LIMITED </v>
      </c>
      <c r="O21" s="722" t="s">
        <v>659</v>
      </c>
      <c r="P21" s="722" t="str">
        <f>+LOWER(Control!D9)</f>
        <v>period</v>
      </c>
      <c r="Q21" s="722" t="s">
        <v>660</v>
      </c>
      <c r="R21" s="722" t="str">
        <f>+Control!D6</f>
        <v>31 December, 2016</v>
      </c>
      <c r="S21" s="722" t="s">
        <v>239</v>
      </c>
    </row>
    <row r="22" spans="1:19" ht="22.5" customHeight="1">
      <c r="A22" s="265"/>
      <c r="B22" s="1058"/>
      <c r="C22" s="1058"/>
      <c r="D22" s="1058"/>
      <c r="E22" s="1058"/>
      <c r="F22" s="1058"/>
      <c r="G22" s="1058"/>
      <c r="H22" s="1058"/>
      <c r="I22" s="1058"/>
      <c r="J22" s="1058"/>
      <c r="K22" s="1058"/>
      <c r="L22" s="427"/>
    </row>
    <row r="23" spans="1:19" ht="15.75">
      <c r="A23" s="265"/>
      <c r="B23" s="265"/>
      <c r="C23" s="265"/>
      <c r="D23" s="1"/>
      <c r="E23" s="1"/>
      <c r="F23" s="1"/>
      <c r="G23" s="1"/>
      <c r="H23" s="1"/>
      <c r="I23" s="1"/>
      <c r="J23" s="1"/>
      <c r="K23" s="1"/>
      <c r="L23" s="1"/>
    </row>
    <row r="24" spans="1:19" ht="12.95" customHeight="1">
      <c r="A24" s="265"/>
      <c r="B24" s="1058" t="s">
        <v>960</v>
      </c>
      <c r="C24" s="1058"/>
      <c r="D24" s="1058"/>
      <c r="E24" s="1058"/>
      <c r="F24" s="1058"/>
      <c r="G24" s="1058"/>
      <c r="H24" s="1058"/>
      <c r="I24" s="1058"/>
      <c r="J24" s="1058"/>
      <c r="K24" s="1058"/>
      <c r="L24" s="427"/>
    </row>
    <row r="25" spans="1:19" ht="15.75">
      <c r="A25" s="265"/>
      <c r="B25" s="1058"/>
      <c r="C25" s="1058"/>
      <c r="D25" s="1058"/>
      <c r="E25" s="1058"/>
      <c r="F25" s="1058"/>
      <c r="G25" s="1058"/>
      <c r="H25" s="1058"/>
      <c r="I25" s="1058"/>
      <c r="J25" s="1058"/>
      <c r="K25" s="1058"/>
      <c r="L25" s="427"/>
    </row>
    <row r="26" spans="1:19" ht="44.45" customHeight="1">
      <c r="A26" s="265"/>
      <c r="B26" s="1058"/>
      <c r="C26" s="1058"/>
      <c r="D26" s="1058"/>
      <c r="E26" s="1058"/>
      <c r="F26" s="1058"/>
      <c r="G26" s="1058"/>
      <c r="H26" s="1058"/>
      <c r="I26" s="1058"/>
      <c r="J26" s="1058"/>
      <c r="K26" s="1058"/>
      <c r="L26" s="427"/>
    </row>
    <row r="27" spans="1:19" ht="15.75">
      <c r="A27" s="265"/>
      <c r="B27" s="265"/>
      <c r="C27" s="265"/>
      <c r="D27" s="1"/>
      <c r="E27" s="1"/>
      <c r="F27" s="1"/>
      <c r="G27" s="1"/>
      <c r="H27" s="1"/>
      <c r="I27" s="1"/>
      <c r="J27" s="1"/>
      <c r="K27" s="1"/>
      <c r="L27" s="1"/>
    </row>
    <row r="28" spans="1:19" ht="15.75">
      <c r="A28" s="265"/>
      <c r="B28" s="1059" t="s">
        <v>961</v>
      </c>
      <c r="C28" s="1059"/>
      <c r="D28" s="1059"/>
      <c r="E28" s="1059"/>
      <c r="F28" s="1059"/>
      <c r="G28" s="1059"/>
      <c r="H28" s="1059"/>
      <c r="I28" s="1059"/>
      <c r="J28" s="1059"/>
      <c r="K28" s="1059"/>
      <c r="L28" s="1"/>
    </row>
    <row r="29" spans="1:19" ht="22.5" customHeight="1">
      <c r="A29" s="265"/>
      <c r="B29" s="1059"/>
      <c r="C29" s="1059"/>
      <c r="D29" s="1059"/>
      <c r="E29" s="1059"/>
      <c r="F29" s="1059"/>
      <c r="G29" s="1059"/>
      <c r="H29" s="1059"/>
      <c r="I29" s="1059"/>
      <c r="J29" s="1059"/>
      <c r="K29" s="1059"/>
      <c r="L29" s="1"/>
    </row>
    <row r="30" spans="1:19" ht="15.75">
      <c r="A30" s="265"/>
      <c r="B30" s="265"/>
      <c r="C30" s="265"/>
      <c r="D30" s="1"/>
      <c r="E30" s="1"/>
      <c r="F30" s="1"/>
      <c r="G30" s="1"/>
      <c r="H30" s="1"/>
      <c r="I30" s="1"/>
      <c r="J30" s="1"/>
      <c r="K30" s="1"/>
      <c r="L30" s="1"/>
    </row>
    <row r="31" spans="1:19" ht="21" customHeight="1">
      <c r="A31" s="265"/>
      <c r="B31" s="265" t="s">
        <v>962</v>
      </c>
      <c r="C31" s="265"/>
      <c r="D31" s="1"/>
      <c r="E31" s="1"/>
      <c r="F31" s="1"/>
      <c r="G31" s="1"/>
      <c r="H31" s="1"/>
      <c r="I31" s="1"/>
      <c r="J31" s="1"/>
      <c r="K31" s="1"/>
      <c r="L31" s="1"/>
    </row>
    <row r="32" spans="1:19" ht="15.75">
      <c r="A32" s="265"/>
      <c r="B32" s="265"/>
      <c r="C32" s="265"/>
      <c r="D32" s="1"/>
      <c r="E32" s="1"/>
      <c r="F32" s="1"/>
      <c r="G32" s="1"/>
      <c r="H32" s="1"/>
      <c r="I32" s="1"/>
      <c r="J32" s="1"/>
      <c r="K32" s="1"/>
      <c r="L32" s="1"/>
    </row>
    <row r="33" spans="1:12" ht="15.6" customHeight="1">
      <c r="A33" s="265"/>
      <c r="B33" s="1058" t="s">
        <v>963</v>
      </c>
      <c r="C33" s="1058"/>
      <c r="D33" s="1058"/>
      <c r="E33" s="1058"/>
      <c r="F33" s="1058"/>
      <c r="G33" s="1058"/>
      <c r="H33" s="1058"/>
      <c r="I33" s="1058"/>
      <c r="J33" s="1058"/>
      <c r="K33" s="1058"/>
      <c r="L33" s="427"/>
    </row>
    <row r="34" spans="1:12" ht="28.5" customHeight="1">
      <c r="A34" s="265"/>
      <c r="B34" s="1058"/>
      <c r="C34" s="1058"/>
      <c r="D34" s="1058"/>
      <c r="E34" s="1058"/>
      <c r="F34" s="1058"/>
      <c r="G34" s="1058"/>
      <c r="H34" s="1058"/>
      <c r="I34" s="1058"/>
      <c r="J34" s="1058"/>
      <c r="K34" s="1058"/>
      <c r="L34" s="427"/>
    </row>
    <row r="35" spans="1:12" ht="15.75">
      <c r="A35" s="265"/>
      <c r="B35" s="265"/>
      <c r="C35" s="265"/>
      <c r="D35" s="1"/>
      <c r="E35" s="1"/>
      <c r="F35" s="1"/>
      <c r="G35" s="1"/>
      <c r="H35" s="1"/>
      <c r="I35" s="1"/>
      <c r="J35" s="1"/>
      <c r="K35" s="1"/>
      <c r="L35" s="1"/>
    </row>
    <row r="36" spans="1:12" ht="15.75">
      <c r="A36" s="265"/>
      <c r="B36" s="265"/>
      <c r="C36" s="265"/>
      <c r="D36" s="1"/>
      <c r="E36" s="1"/>
      <c r="F36" s="1"/>
      <c r="G36" s="1"/>
      <c r="H36" s="1"/>
      <c r="I36" s="1"/>
      <c r="J36" s="1"/>
      <c r="K36" s="1"/>
      <c r="L36" s="1"/>
    </row>
    <row r="37" spans="1:12" ht="15.75">
      <c r="A37" s="265"/>
      <c r="B37" s="265" t="s">
        <v>230</v>
      </c>
      <c r="C37" s="265"/>
      <c r="D37" s="1"/>
      <c r="E37" s="1"/>
      <c r="F37" s="1"/>
      <c r="G37" s="1"/>
      <c r="H37" s="1"/>
      <c r="I37" s="1"/>
      <c r="J37" s="1"/>
      <c r="K37" s="1"/>
      <c r="L37" s="1"/>
    </row>
    <row r="38" spans="1:12" ht="15.75">
      <c r="A38" s="265"/>
      <c r="B38" s="265"/>
      <c r="C38" s="265"/>
      <c r="D38" s="1"/>
      <c r="E38" s="1"/>
      <c r="F38" s="1"/>
      <c r="G38" s="1"/>
      <c r="H38" s="1"/>
      <c r="I38" s="1"/>
      <c r="J38" s="1"/>
      <c r="K38" s="1"/>
      <c r="L38" s="1"/>
    </row>
    <row r="39" spans="1:12" ht="15.75">
      <c r="A39" s="265"/>
      <c r="B39" s="265"/>
      <c r="C39" s="265"/>
      <c r="D39" s="1"/>
      <c r="E39" s="1"/>
      <c r="F39" s="1"/>
      <c r="G39" s="1"/>
      <c r="H39" s="1"/>
      <c r="I39" s="1"/>
      <c r="J39" s="1"/>
      <c r="K39" s="1"/>
      <c r="L39" s="1"/>
    </row>
    <row r="40" spans="1:12" ht="15.75">
      <c r="A40" s="265"/>
      <c r="B40" s="265"/>
      <c r="C40" s="265"/>
      <c r="D40" s="1"/>
      <c r="E40" s="1"/>
      <c r="F40" s="1"/>
      <c r="G40" s="1"/>
      <c r="H40" s="1"/>
      <c r="I40" s="1"/>
      <c r="J40" s="1"/>
      <c r="K40" s="1"/>
      <c r="L40" s="1"/>
    </row>
    <row r="41" spans="1:12" ht="15.75">
      <c r="A41" s="265"/>
      <c r="B41" s="265"/>
      <c r="C41" s="265"/>
      <c r="D41" s="1"/>
      <c r="E41" s="1"/>
      <c r="F41" s="1"/>
      <c r="G41" s="1"/>
      <c r="H41" s="1"/>
      <c r="I41" s="1"/>
      <c r="J41" s="1"/>
      <c r="K41" s="1"/>
      <c r="L41" s="1"/>
    </row>
    <row r="42" spans="1:12" ht="15.75">
      <c r="A42" s="265"/>
      <c r="B42" s="265"/>
      <c r="C42" s="265"/>
      <c r="D42" s="1"/>
      <c r="E42" s="1"/>
      <c r="F42" s="1"/>
      <c r="G42" s="1"/>
      <c r="H42" s="1"/>
      <c r="I42" s="1"/>
      <c r="J42" s="1"/>
      <c r="K42" s="1"/>
      <c r="L42" s="1"/>
    </row>
    <row r="43" spans="1:12" ht="15.75">
      <c r="A43" s="265"/>
      <c r="B43" s="265" t="str">
        <f>+Control!D136</f>
        <v>Matthew S.H. Law</v>
      </c>
      <c r="C43" s="265"/>
      <c r="D43" s="1"/>
      <c r="E43" s="1"/>
      <c r="F43" s="1"/>
      <c r="G43" s="1"/>
      <c r="H43" s="1"/>
      <c r="I43" s="1"/>
      <c r="J43" s="1"/>
      <c r="K43" s="1"/>
      <c r="L43" s="1"/>
    </row>
    <row r="44" spans="1:12" ht="15.75">
      <c r="A44" s="265"/>
      <c r="B44" s="265" t="str">
        <f>+Control!D137</f>
        <v>Certified Public Accountant (Practising)</v>
      </c>
      <c r="C44" s="265"/>
      <c r="D44" s="1"/>
      <c r="E44" s="1"/>
      <c r="F44" s="1"/>
      <c r="G44" s="1"/>
      <c r="H44" s="1"/>
      <c r="I44" s="1"/>
      <c r="J44" s="1"/>
      <c r="K44" s="1"/>
      <c r="L44" s="1"/>
    </row>
    <row r="45" spans="1:12" ht="15.75">
      <c r="A45" s="265"/>
      <c r="B45" s="265"/>
      <c r="C45" s="265"/>
      <c r="D45" s="1"/>
      <c r="E45" s="1"/>
      <c r="F45" s="1"/>
      <c r="G45" s="1"/>
      <c r="H45" s="1"/>
      <c r="I45" s="1"/>
      <c r="J45" s="1"/>
      <c r="K45" s="1"/>
      <c r="L45" s="1"/>
    </row>
    <row r="46" spans="1:12" ht="15.75">
      <c r="A46" s="265"/>
      <c r="B46" s="265"/>
      <c r="C46" s="265"/>
      <c r="D46" s="1"/>
      <c r="E46" s="1"/>
      <c r="F46" s="1"/>
      <c r="G46" s="1"/>
      <c r="H46" s="1"/>
      <c r="I46" s="1"/>
      <c r="J46" s="1"/>
      <c r="K46" s="1"/>
      <c r="L46" s="1"/>
    </row>
    <row r="54" spans="1:14">
      <c r="A54" s="1055" t="str">
        <f>+CONCATENATE(M54,N54)</f>
        <v>Address: Unit 402, 4/F., Fourseas Building, No. 208 Nathan Road, Kowloon</v>
      </c>
      <c r="B54" s="1055"/>
      <c r="C54" s="1055"/>
      <c r="D54" s="1055"/>
      <c r="E54" s="1055"/>
      <c r="F54" s="1055"/>
      <c r="G54" s="1055"/>
      <c r="H54" s="1055"/>
      <c r="I54" s="1055"/>
      <c r="J54" s="1055"/>
      <c r="K54" s="1055"/>
      <c r="L54" s="1055"/>
      <c r="M54" s="722" t="s">
        <v>1242</v>
      </c>
      <c r="N54" s="722" t="str">
        <f>+Control!D142</f>
        <v>Unit 402, 4/F., Fourseas Building, No. 208 Nathan Road, Kowloon</v>
      </c>
    </row>
    <row r="55" spans="1:14">
      <c r="A55" s="1057" t="str">
        <f>+CONCATENATE(M55,N55,"    ",M56,N56)</f>
        <v>Tel: (852)96621161    Fax: (852)35823310</v>
      </c>
      <c r="B55" s="1057"/>
      <c r="C55" s="1057"/>
      <c r="D55" s="1057"/>
      <c r="E55" s="1057"/>
      <c r="F55" s="1057"/>
      <c r="G55" s="1057"/>
      <c r="H55" s="1057"/>
      <c r="I55" s="1057"/>
      <c r="J55" s="1057"/>
      <c r="K55" s="1057"/>
      <c r="L55" s="1057"/>
      <c r="M55" s="722" t="s">
        <v>1243</v>
      </c>
      <c r="N55" s="722" t="str">
        <f>+Control!D146</f>
        <v>(852)96621161</v>
      </c>
    </row>
    <row r="56" spans="1:14">
      <c r="M56" s="722" t="s">
        <v>1244</v>
      </c>
      <c r="N56" s="722" t="str">
        <f>+Control!D145</f>
        <v>(852)35823310</v>
      </c>
    </row>
  </sheetData>
  <mergeCells count="7">
    <mergeCell ref="A55:L55"/>
    <mergeCell ref="A1:L1"/>
    <mergeCell ref="A54:L54"/>
    <mergeCell ref="B21:K22"/>
    <mergeCell ref="B24:K26"/>
    <mergeCell ref="B28:K29"/>
    <mergeCell ref="B33:K34"/>
  </mergeCells>
  <phoneticPr fontId="13" type="noConversion"/>
  <pageMargins left="0.51181102362204722" right="0.31496062992125984" top="0.74803149606299213" bottom="0.31496062992125984" header="0.31496062992125984" footer="0.31496062992125984"/>
  <pageSetup paperSize="9" scale="87"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6">
    <pageSetUpPr fitToPage="1"/>
  </sheetPr>
  <dimension ref="A1:X61"/>
  <sheetViews>
    <sheetView workbookViewId="0">
      <selection activeCell="H36" sqref="H36"/>
    </sheetView>
  </sheetViews>
  <sheetFormatPr defaultColWidth="9" defaultRowHeight="15"/>
  <cols>
    <col min="1" max="2" width="3.125" style="263" customWidth="1" collapsed="1"/>
    <col min="3" max="3" width="4.125" style="263" customWidth="1" collapsed="1"/>
    <col min="4" max="4" width="10.875" style="39" customWidth="1" collapsed="1"/>
    <col min="5" max="6" width="9" style="39" collapsed="1"/>
    <col min="7" max="7" width="12.5" style="39" customWidth="1" collapsed="1"/>
    <col min="8" max="8" width="14.5" style="39" customWidth="1" collapsed="1"/>
    <col min="9" max="9" width="9" style="39" collapsed="1"/>
    <col min="10" max="10" width="16.875" style="39" customWidth="1" collapsed="1"/>
    <col min="11" max="11" width="9" style="39" collapsed="1"/>
    <col min="12" max="12" width="5.125" style="39" customWidth="1" collapsed="1"/>
    <col min="13" max="14" width="16.125" style="722" bestFit="1" customWidth="1" collapsed="1"/>
    <col min="15" max="15" width="9" style="722" collapsed="1"/>
    <col min="16" max="16" width="12.5" style="722" bestFit="1" customWidth="1" collapsed="1"/>
    <col min="17" max="24" width="9" style="722" collapsed="1"/>
    <col min="25" max="16384" width="9" style="39" collapsed="1"/>
  </cols>
  <sheetData>
    <row r="1" spans="1:12" ht="22.5">
      <c r="A1" s="899" t="str">
        <f>+CONCATENATE(Control!D136," ",Control!D137)</f>
        <v>Matthew S.H. Law Certified Public Accountant (Practising)</v>
      </c>
      <c r="B1" s="899"/>
      <c r="C1" s="899"/>
      <c r="D1" s="899"/>
      <c r="E1" s="899"/>
      <c r="F1" s="899"/>
      <c r="G1" s="899"/>
      <c r="H1" s="899"/>
      <c r="I1" s="899"/>
      <c r="J1" s="899"/>
      <c r="K1" s="899"/>
      <c r="L1" s="899"/>
    </row>
    <row r="3" spans="1:12">
      <c r="A3" s="272"/>
    </row>
    <row r="4" spans="1:12" ht="15.75">
      <c r="A4" s="265"/>
      <c r="B4" s="425" t="s">
        <v>956</v>
      </c>
      <c r="C4" s="265"/>
      <c r="D4" s="1"/>
      <c r="E4" s="1"/>
      <c r="F4" s="1"/>
      <c r="G4" s="1"/>
      <c r="H4" s="1"/>
      <c r="I4" s="1"/>
      <c r="J4" s="1"/>
      <c r="K4" s="1"/>
      <c r="L4" s="1"/>
    </row>
    <row r="5" spans="1:12" ht="15.75">
      <c r="A5" s="265"/>
      <c r="B5" s="265"/>
      <c r="C5" s="265"/>
      <c r="D5" s="1"/>
      <c r="E5" s="1"/>
      <c r="F5" s="1"/>
      <c r="G5" s="1"/>
      <c r="H5" s="1"/>
      <c r="I5" s="1"/>
      <c r="J5" s="1"/>
      <c r="K5" s="1"/>
      <c r="L5" s="1"/>
    </row>
    <row r="6" spans="1:12" ht="15.75">
      <c r="A6" s="265"/>
      <c r="B6" s="753">
        <f>+Control!D51</f>
        <v>0</v>
      </c>
      <c r="C6" s="753"/>
      <c r="D6" s="360"/>
      <c r="E6" s="360"/>
      <c r="F6" s="360"/>
      <c r="G6" s="360"/>
      <c r="H6" s="1"/>
      <c r="I6" s="1"/>
      <c r="J6" s="1"/>
      <c r="K6" s="1"/>
      <c r="L6" s="1"/>
    </row>
    <row r="7" spans="1:12" ht="15.75">
      <c r="A7" s="265"/>
      <c r="B7" s="753">
        <f>+Control!D52</f>
        <v>0</v>
      </c>
      <c r="C7" s="753"/>
      <c r="D7" s="360"/>
      <c r="E7" s="360"/>
      <c r="F7" s="360"/>
      <c r="G7" s="360"/>
      <c r="H7" s="1"/>
      <c r="I7" s="1"/>
      <c r="J7" s="1"/>
      <c r="K7" s="1"/>
      <c r="L7" s="1"/>
    </row>
    <row r="8" spans="1:12" ht="23.45" customHeight="1">
      <c r="A8" s="265"/>
      <c r="B8" s="753">
        <f>+Control!D53</f>
        <v>0</v>
      </c>
      <c r="C8" s="753"/>
      <c r="D8" s="360"/>
      <c r="E8" s="360"/>
      <c r="F8" s="360"/>
      <c r="G8" s="360"/>
      <c r="H8" s="1"/>
      <c r="I8" s="1"/>
      <c r="J8" s="1"/>
      <c r="K8" s="1"/>
      <c r="L8" s="1"/>
    </row>
    <row r="9" spans="1:12" ht="15.75">
      <c r="A9" s="265"/>
      <c r="B9" s="265"/>
      <c r="C9" s="265"/>
      <c r="D9" s="1"/>
      <c r="E9" s="1"/>
      <c r="F9" s="1"/>
      <c r="G9" s="1"/>
      <c r="H9" s="1"/>
      <c r="I9" s="1"/>
      <c r="J9" s="1"/>
      <c r="K9" s="1"/>
      <c r="L9" s="1"/>
    </row>
    <row r="10" spans="1:12" ht="15.75">
      <c r="A10" s="265"/>
      <c r="B10" s="265" t="s">
        <v>957</v>
      </c>
      <c r="C10" s="265"/>
      <c r="D10" s="1"/>
      <c r="E10" s="1"/>
      <c r="F10" s="1"/>
      <c r="G10" s="1"/>
      <c r="H10" s="1"/>
      <c r="I10" s="1"/>
      <c r="J10" s="1"/>
      <c r="K10" s="1"/>
      <c r="L10" s="1"/>
    </row>
    <row r="11" spans="1:12" ht="15.75">
      <c r="A11" s="265"/>
      <c r="B11" s="265"/>
      <c r="C11" s="265"/>
      <c r="D11" s="1"/>
      <c r="E11" s="1"/>
      <c r="F11" s="1"/>
      <c r="G11" s="1"/>
      <c r="H11" s="1"/>
      <c r="I11" s="1"/>
      <c r="J11" s="1"/>
      <c r="K11" s="1"/>
      <c r="L11" s="1"/>
    </row>
    <row r="12" spans="1:12" ht="15.75">
      <c r="A12" s="265"/>
      <c r="B12" s="265" t="s">
        <v>222</v>
      </c>
      <c r="C12" s="265"/>
      <c r="D12" s="1"/>
      <c r="E12" s="1"/>
      <c r="F12" s="1"/>
      <c r="G12" s="1"/>
      <c r="H12" s="1"/>
      <c r="I12" s="1"/>
      <c r="J12" s="1"/>
      <c r="K12" s="1"/>
      <c r="L12" s="1"/>
    </row>
    <row r="13" spans="1:12" ht="15.75">
      <c r="A13" s="265"/>
      <c r="B13" s="265" t="s">
        <v>958</v>
      </c>
      <c r="C13" s="265"/>
      <c r="D13" s="1"/>
      <c r="E13" s="1"/>
      <c r="F13" s="1"/>
      <c r="G13" s="1"/>
      <c r="H13" s="1"/>
      <c r="I13" s="1"/>
      <c r="J13" s="1"/>
      <c r="K13" s="1"/>
      <c r="L13" s="1"/>
    </row>
    <row r="14" spans="1:12" ht="15.75">
      <c r="A14" s="265"/>
      <c r="B14" s="265"/>
      <c r="C14" s="265"/>
      <c r="D14" s="1"/>
      <c r="E14" s="1"/>
      <c r="F14" s="1"/>
      <c r="G14" s="1"/>
      <c r="H14" s="1"/>
      <c r="I14" s="1"/>
      <c r="J14" s="1"/>
      <c r="K14" s="1"/>
      <c r="L14" s="1"/>
    </row>
    <row r="15" spans="1:12" ht="15.75">
      <c r="A15" s="265"/>
      <c r="B15" s="265"/>
      <c r="C15" s="265"/>
      <c r="D15" s="1"/>
      <c r="E15" s="1"/>
      <c r="F15" s="1"/>
      <c r="G15" s="1"/>
      <c r="H15" s="1"/>
      <c r="I15" s="1"/>
      <c r="J15" s="1"/>
      <c r="K15" s="1"/>
      <c r="L15" s="1"/>
    </row>
    <row r="16" spans="1:12" ht="15.75">
      <c r="A16" s="265"/>
      <c r="B16" s="265"/>
      <c r="C16" s="265"/>
      <c r="D16" s="1"/>
      <c r="E16" s="1"/>
      <c r="F16" s="1"/>
      <c r="G16" s="1"/>
      <c r="H16" s="1"/>
      <c r="I16" s="1"/>
      <c r="J16" s="1"/>
      <c r="K16" s="1"/>
      <c r="L16" s="1"/>
    </row>
    <row r="17" spans="1:19" ht="15.75">
      <c r="A17" s="265"/>
      <c r="B17" s="265" t="s">
        <v>382</v>
      </c>
      <c r="C17" s="265"/>
      <c r="D17" s="1"/>
      <c r="E17" s="1"/>
      <c r="F17" s="1"/>
      <c r="G17" s="1"/>
      <c r="H17" s="1"/>
      <c r="I17" s="1"/>
      <c r="J17" s="1"/>
      <c r="K17" s="1"/>
      <c r="L17" s="1"/>
    </row>
    <row r="18" spans="1:19" ht="15.75">
      <c r="A18" s="265"/>
      <c r="B18" s="265"/>
      <c r="C18" s="265"/>
      <c r="D18" s="1"/>
      <c r="E18" s="1"/>
      <c r="F18" s="1"/>
      <c r="G18" s="1"/>
      <c r="H18" s="1"/>
      <c r="I18" s="1"/>
      <c r="J18" s="1"/>
      <c r="K18" s="1"/>
      <c r="L18" s="1"/>
    </row>
    <row r="19" spans="1:19" ht="15.75">
      <c r="A19" s="265"/>
      <c r="B19" s="754" t="str">
        <f>+Control!D3</f>
        <v>MIC INCORPORATION LIMITED </v>
      </c>
      <c r="C19" s="753"/>
      <c r="D19" s="360"/>
      <c r="E19" s="360"/>
      <c r="F19" s="360"/>
      <c r="G19" s="1"/>
      <c r="H19" s="1"/>
      <c r="I19" s="1"/>
      <c r="J19" s="1"/>
      <c r="K19" s="1"/>
      <c r="L19" s="1"/>
    </row>
    <row r="20" spans="1:19" ht="15.75">
      <c r="A20" s="265"/>
      <c r="B20" s="265"/>
      <c r="C20" s="265"/>
      <c r="D20" s="1"/>
      <c r="E20" s="1"/>
      <c r="F20" s="1"/>
      <c r="G20" s="1"/>
      <c r="H20" s="1"/>
      <c r="I20" s="1"/>
      <c r="J20" s="1"/>
      <c r="K20" s="1"/>
      <c r="L20" s="1"/>
    </row>
    <row r="21" spans="1:19" ht="15.6" customHeight="1">
      <c r="A21" s="265"/>
      <c r="B21" s="1058" t="s">
        <v>1881</v>
      </c>
      <c r="C21" s="1058"/>
      <c r="D21" s="1058"/>
      <c r="E21" s="1058"/>
      <c r="F21" s="1058"/>
      <c r="G21" s="1058"/>
      <c r="H21" s="1058"/>
      <c r="I21" s="1058"/>
      <c r="J21" s="1058"/>
      <c r="K21" s="1058"/>
      <c r="L21" s="427"/>
      <c r="M21" s="722" t="s">
        <v>959</v>
      </c>
      <c r="N21" s="722" t="str">
        <f>+Control!D3</f>
        <v>MIC INCORPORATION LIMITED </v>
      </c>
      <c r="O21" s="722" t="s">
        <v>659</v>
      </c>
      <c r="P21" s="722" t="str">
        <f>+LOWER(Control!D9)</f>
        <v>period</v>
      </c>
      <c r="Q21" s="722" t="s">
        <v>660</v>
      </c>
      <c r="R21" s="722" t="str">
        <f>+Control!D6</f>
        <v>31 December, 2016</v>
      </c>
      <c r="S21" s="722" t="s">
        <v>239</v>
      </c>
    </row>
    <row r="22" spans="1:19" ht="22.5" customHeight="1">
      <c r="A22" s="265"/>
      <c r="B22" s="1058"/>
      <c r="C22" s="1058"/>
      <c r="D22" s="1058"/>
      <c r="E22" s="1058"/>
      <c r="F22" s="1058"/>
      <c r="G22" s="1058"/>
      <c r="H22" s="1058"/>
      <c r="I22" s="1058"/>
      <c r="J22" s="1058"/>
      <c r="K22" s="1058"/>
      <c r="L22" s="427"/>
    </row>
    <row r="23" spans="1:19" ht="15.75">
      <c r="A23" s="265"/>
      <c r="B23" s="265"/>
      <c r="C23" s="265"/>
      <c r="D23" s="1"/>
      <c r="E23" s="1"/>
      <c r="F23" s="1"/>
      <c r="G23" s="1"/>
      <c r="H23" s="1"/>
      <c r="I23" s="1"/>
      <c r="J23" s="1"/>
      <c r="K23" s="1"/>
      <c r="L23" s="1"/>
    </row>
    <row r="24" spans="1:19" s="722" customFormat="1" ht="15.75">
      <c r="A24" s="265"/>
      <c r="B24" s="265"/>
      <c r="C24" s="265"/>
      <c r="D24" s="1"/>
      <c r="E24" s="1"/>
      <c r="F24" s="1"/>
      <c r="G24" s="1"/>
      <c r="H24" s="1"/>
      <c r="I24" s="1"/>
      <c r="J24" s="1"/>
      <c r="K24" s="1"/>
      <c r="L24" s="1"/>
    </row>
    <row r="25" spans="1:19" s="722" customFormat="1" ht="15.75">
      <c r="A25" s="265"/>
      <c r="B25" s="265"/>
      <c r="C25" s="265"/>
      <c r="D25" s="1"/>
      <c r="E25" s="1"/>
      <c r="F25" s="1"/>
      <c r="G25" s="1"/>
      <c r="H25" s="1"/>
      <c r="I25" s="1"/>
      <c r="J25" s="1"/>
      <c r="K25" s="1"/>
      <c r="L25" s="1"/>
    </row>
    <row r="26" spans="1:19" s="722" customFormat="1" ht="15.75">
      <c r="A26" s="265"/>
      <c r="B26" s="265" t="s">
        <v>230</v>
      </c>
      <c r="C26" s="265"/>
      <c r="D26" s="1"/>
      <c r="E26" s="1"/>
      <c r="F26" s="1"/>
      <c r="G26" s="1"/>
      <c r="H26" s="1"/>
      <c r="I26" s="1"/>
      <c r="J26" s="1"/>
      <c r="K26" s="1"/>
      <c r="L26" s="1"/>
    </row>
    <row r="27" spans="1:19" s="722" customFormat="1" ht="15.75">
      <c r="A27" s="265"/>
      <c r="B27" s="265"/>
      <c r="C27" s="265"/>
      <c r="D27" s="1"/>
      <c r="E27" s="1"/>
      <c r="F27" s="1"/>
      <c r="G27" s="1"/>
      <c r="H27" s="1"/>
      <c r="I27" s="1"/>
      <c r="J27" s="1"/>
      <c r="K27" s="1"/>
      <c r="L27" s="1"/>
    </row>
    <row r="28" spans="1:19" s="722" customFormat="1" ht="15.75">
      <c r="A28" s="265"/>
      <c r="B28" s="265"/>
      <c r="C28" s="265"/>
      <c r="D28" s="1"/>
      <c r="E28" s="1"/>
      <c r="F28" s="1"/>
      <c r="G28" s="1"/>
      <c r="H28" s="1"/>
      <c r="I28" s="1"/>
      <c r="J28" s="1"/>
      <c r="K28" s="1"/>
      <c r="L28" s="1"/>
    </row>
    <row r="29" spans="1:19" s="722" customFormat="1" ht="15.75">
      <c r="A29" s="265"/>
      <c r="B29" s="265"/>
      <c r="C29" s="265"/>
      <c r="D29" s="1"/>
      <c r="E29" s="1"/>
      <c r="F29" s="1"/>
      <c r="G29" s="1"/>
      <c r="H29" s="1"/>
      <c r="I29" s="1"/>
      <c r="J29" s="1"/>
      <c r="K29" s="1"/>
      <c r="L29" s="1"/>
    </row>
    <row r="30" spans="1:19" s="722" customFormat="1" ht="15.75">
      <c r="A30" s="265"/>
      <c r="B30" s="265"/>
      <c r="C30" s="265"/>
      <c r="D30" s="1"/>
      <c r="E30" s="1"/>
      <c r="F30" s="1"/>
      <c r="G30" s="1"/>
      <c r="H30" s="1"/>
      <c r="I30" s="1"/>
      <c r="J30" s="1"/>
      <c r="K30" s="1"/>
      <c r="L30" s="1"/>
    </row>
    <row r="31" spans="1:19" s="722" customFormat="1" ht="15.75">
      <c r="A31" s="265"/>
      <c r="B31" s="265"/>
      <c r="C31" s="265"/>
      <c r="D31" s="1"/>
      <c r="E31" s="1"/>
      <c r="F31" s="1"/>
      <c r="G31" s="1"/>
      <c r="H31" s="1"/>
      <c r="I31" s="1"/>
      <c r="J31" s="1"/>
      <c r="K31" s="1"/>
      <c r="L31" s="1"/>
    </row>
    <row r="32" spans="1:19" s="722" customFormat="1" ht="15.75">
      <c r="A32" s="265"/>
      <c r="B32" s="265" t="str">
        <f>+Control!D136</f>
        <v>Matthew S.H. Law</v>
      </c>
      <c r="C32" s="265"/>
      <c r="D32" s="1"/>
      <c r="E32" s="1"/>
      <c r="F32" s="1"/>
      <c r="G32" s="1"/>
      <c r="H32" s="1"/>
      <c r="I32" s="1"/>
      <c r="J32" s="1"/>
      <c r="K32" s="1"/>
      <c r="L32" s="1"/>
    </row>
    <row r="33" spans="1:12" s="722" customFormat="1" ht="15.75">
      <c r="A33" s="265"/>
      <c r="B33" s="265" t="str">
        <f>+Control!D137</f>
        <v>Certified Public Accountant (Practising)</v>
      </c>
      <c r="C33" s="265"/>
      <c r="D33" s="1"/>
      <c r="E33" s="1"/>
      <c r="F33" s="1"/>
      <c r="G33" s="1"/>
      <c r="H33" s="1"/>
      <c r="I33" s="1"/>
      <c r="J33" s="1"/>
      <c r="K33" s="1"/>
      <c r="L33" s="1"/>
    </row>
    <row r="34" spans="1:12" s="722" customFormat="1" ht="15.75">
      <c r="A34" s="265"/>
      <c r="B34" s="265"/>
      <c r="C34" s="265"/>
      <c r="D34" s="1"/>
      <c r="E34" s="1"/>
      <c r="F34" s="1"/>
      <c r="G34" s="1"/>
      <c r="H34" s="1"/>
      <c r="I34" s="1"/>
      <c r="J34" s="1"/>
      <c r="K34" s="1"/>
      <c r="L34" s="1"/>
    </row>
    <row r="35" spans="1:12" s="722" customFormat="1" ht="15.75">
      <c r="A35" s="265"/>
      <c r="B35" s="265"/>
      <c r="C35" s="265"/>
      <c r="D35" s="1"/>
      <c r="E35" s="1"/>
      <c r="F35" s="1"/>
      <c r="G35" s="1"/>
      <c r="H35" s="1"/>
      <c r="I35" s="1"/>
      <c r="J35" s="1"/>
      <c r="K35" s="1"/>
      <c r="L35" s="1"/>
    </row>
    <row r="36" spans="1:12" s="722" customFormat="1" ht="15.75">
      <c r="A36" s="265"/>
      <c r="B36" s="265"/>
      <c r="C36" s="265"/>
      <c r="D36" s="1"/>
      <c r="E36" s="1"/>
      <c r="F36" s="1"/>
      <c r="G36" s="1"/>
      <c r="H36" s="1"/>
      <c r="I36" s="1"/>
      <c r="J36" s="1"/>
      <c r="K36" s="1"/>
      <c r="L36" s="1"/>
    </row>
    <row r="37" spans="1:12" s="722" customFormat="1" ht="15.75">
      <c r="A37" s="265"/>
      <c r="B37" s="265"/>
      <c r="C37" s="265"/>
      <c r="D37" s="1"/>
      <c r="E37" s="1"/>
      <c r="F37" s="1"/>
      <c r="G37" s="1"/>
      <c r="H37" s="1"/>
      <c r="I37" s="1"/>
      <c r="J37" s="1"/>
      <c r="K37" s="1"/>
      <c r="L37" s="1"/>
    </row>
    <row r="38" spans="1:12" s="722" customFormat="1" ht="15.75">
      <c r="A38" s="265"/>
      <c r="B38" s="265"/>
      <c r="C38" s="265"/>
      <c r="D38" s="1"/>
      <c r="E38" s="1"/>
      <c r="F38" s="1"/>
      <c r="G38" s="1"/>
      <c r="H38" s="1"/>
      <c r="I38" s="1"/>
      <c r="J38" s="1"/>
      <c r="K38" s="1"/>
      <c r="L38" s="1"/>
    </row>
    <row r="39" spans="1:12" s="722" customFormat="1" ht="15.75">
      <c r="A39" s="265"/>
      <c r="B39" s="265"/>
      <c r="C39" s="265"/>
      <c r="D39" s="1"/>
      <c r="E39" s="1"/>
      <c r="F39" s="1"/>
      <c r="G39" s="1"/>
      <c r="H39" s="1"/>
      <c r="I39" s="1"/>
      <c r="J39" s="1"/>
      <c r="K39" s="1"/>
      <c r="L39" s="1"/>
    </row>
    <row r="40" spans="1:12" s="722" customFormat="1" ht="15.75">
      <c r="A40" s="265"/>
      <c r="B40" s="265"/>
      <c r="C40" s="265"/>
      <c r="D40" s="1"/>
      <c r="E40" s="1"/>
      <c r="F40" s="1"/>
      <c r="G40" s="1"/>
      <c r="H40" s="1"/>
      <c r="I40" s="1"/>
      <c r="J40" s="1"/>
      <c r="K40" s="1"/>
      <c r="L40" s="1"/>
    </row>
    <row r="41" spans="1:12" s="722" customFormat="1" ht="15.75">
      <c r="A41" s="265"/>
      <c r="B41" s="265"/>
      <c r="C41" s="265"/>
      <c r="D41" s="1"/>
      <c r="E41" s="1"/>
      <c r="F41" s="1"/>
      <c r="G41" s="1"/>
      <c r="H41" s="1"/>
      <c r="I41" s="1"/>
      <c r="J41" s="1"/>
      <c r="K41" s="1"/>
      <c r="L41" s="1"/>
    </row>
    <row r="42" spans="1:12" s="722" customFormat="1" ht="15.75">
      <c r="A42" s="265"/>
      <c r="B42" s="265"/>
      <c r="C42" s="265"/>
      <c r="D42" s="1"/>
      <c r="E42" s="1"/>
      <c r="F42" s="1"/>
      <c r="G42" s="1"/>
      <c r="H42" s="1"/>
      <c r="I42" s="1"/>
      <c r="J42" s="1"/>
      <c r="K42" s="1"/>
      <c r="L42" s="1"/>
    </row>
    <row r="43" spans="1:12" s="722" customFormat="1" ht="15.75">
      <c r="A43" s="265"/>
      <c r="B43" s="265"/>
      <c r="C43" s="265"/>
      <c r="D43" s="1"/>
      <c r="E43" s="1"/>
      <c r="F43" s="1"/>
      <c r="G43" s="1"/>
      <c r="H43" s="1"/>
      <c r="I43" s="1"/>
      <c r="J43" s="1"/>
      <c r="K43" s="1"/>
      <c r="L43" s="1"/>
    </row>
    <row r="44" spans="1:12" s="722" customFormat="1" ht="15.75">
      <c r="A44" s="265"/>
      <c r="B44" s="265"/>
      <c r="C44" s="265"/>
      <c r="D44" s="1"/>
      <c r="E44" s="1"/>
      <c r="F44" s="1"/>
      <c r="G44" s="1"/>
      <c r="H44" s="1"/>
      <c r="I44" s="1"/>
      <c r="J44" s="1"/>
      <c r="K44" s="1"/>
      <c r="L44" s="1"/>
    </row>
    <row r="45" spans="1:12" s="722" customFormat="1" ht="15.75">
      <c r="A45" s="265"/>
      <c r="B45" s="265"/>
      <c r="C45" s="265"/>
      <c r="D45" s="1"/>
      <c r="E45" s="1"/>
      <c r="F45" s="1"/>
      <c r="G45" s="1"/>
      <c r="H45" s="1"/>
      <c r="I45" s="1"/>
      <c r="J45" s="1"/>
      <c r="K45" s="1"/>
      <c r="L45" s="1"/>
    </row>
    <row r="46" spans="1:12" s="722" customFormat="1" ht="15.75">
      <c r="A46" s="265"/>
      <c r="B46" s="265"/>
      <c r="C46" s="265"/>
      <c r="D46" s="1"/>
      <c r="E46" s="1"/>
      <c r="F46" s="1"/>
      <c r="G46" s="1"/>
      <c r="H46" s="1"/>
      <c r="I46" s="1"/>
      <c r="J46" s="1"/>
      <c r="K46" s="1"/>
      <c r="L46" s="1"/>
    </row>
    <row r="47" spans="1:12" s="722" customFormat="1" ht="15.75">
      <c r="A47" s="265"/>
      <c r="B47" s="265"/>
      <c r="C47" s="265"/>
      <c r="D47" s="1"/>
      <c r="E47" s="1"/>
      <c r="F47" s="1"/>
      <c r="G47" s="1"/>
      <c r="H47" s="1"/>
      <c r="I47" s="1"/>
      <c r="J47" s="1"/>
      <c r="K47" s="1"/>
      <c r="L47" s="1"/>
    </row>
    <row r="48" spans="1:12" s="722" customFormat="1" ht="15.75">
      <c r="A48" s="265"/>
      <c r="B48" s="265"/>
      <c r="C48" s="265"/>
      <c r="D48" s="1"/>
      <c r="E48" s="1"/>
      <c r="F48" s="1"/>
      <c r="G48" s="1"/>
      <c r="H48" s="1"/>
      <c r="I48" s="1"/>
      <c r="J48" s="1"/>
      <c r="K48" s="1"/>
      <c r="L48" s="1"/>
    </row>
    <row r="49" spans="1:14" s="722" customFormat="1" ht="15.75">
      <c r="A49" s="265"/>
      <c r="B49" s="265"/>
      <c r="C49" s="265"/>
      <c r="D49" s="1"/>
      <c r="E49" s="1"/>
      <c r="F49" s="1"/>
      <c r="G49" s="1"/>
      <c r="H49" s="1"/>
      <c r="I49" s="1"/>
      <c r="J49" s="1"/>
      <c r="K49" s="1"/>
      <c r="L49" s="1"/>
    </row>
    <row r="50" spans="1:14" s="722" customFormat="1" ht="15.75">
      <c r="A50" s="265"/>
      <c r="B50" s="265"/>
      <c r="C50" s="265"/>
      <c r="D50" s="1"/>
      <c r="E50" s="1"/>
      <c r="F50" s="1"/>
      <c r="G50" s="1"/>
      <c r="H50" s="1"/>
      <c r="I50" s="1"/>
      <c r="J50" s="1"/>
      <c r="K50" s="1"/>
      <c r="L50" s="1"/>
    </row>
    <row r="51" spans="1:14" s="722" customFormat="1" ht="15.75">
      <c r="A51" s="265"/>
      <c r="B51" s="265"/>
      <c r="C51" s="265"/>
      <c r="D51" s="1"/>
      <c r="E51" s="1"/>
      <c r="F51" s="1"/>
      <c r="G51" s="1"/>
      <c r="H51" s="1"/>
      <c r="I51" s="1"/>
      <c r="J51" s="1"/>
      <c r="K51" s="1"/>
      <c r="L51" s="1"/>
    </row>
    <row r="59" spans="1:14" s="722" customFormat="1">
      <c r="A59" s="1055" t="str">
        <f>+CONCATENATE(M59,N59)</f>
        <v>Address: Unit 402, 4/F., Fourseas Building, No. 208 Nathan Road, Kowloon</v>
      </c>
      <c r="B59" s="1055"/>
      <c r="C59" s="1055"/>
      <c r="D59" s="1055"/>
      <c r="E59" s="1055"/>
      <c r="F59" s="1055"/>
      <c r="G59" s="1055"/>
      <c r="H59" s="1055"/>
      <c r="I59" s="1055"/>
      <c r="J59" s="1055"/>
      <c r="K59" s="1055"/>
      <c r="L59" s="1055"/>
      <c r="M59" s="722" t="s">
        <v>1242</v>
      </c>
      <c r="N59" s="722" t="str">
        <f>+Control!D142</f>
        <v>Unit 402, 4/F., Fourseas Building, No. 208 Nathan Road, Kowloon</v>
      </c>
    </row>
    <row r="60" spans="1:14" s="722" customFormat="1">
      <c r="A60" s="1057" t="str">
        <f>+CONCATENATE(M60,N60,"    ",M61,N61)</f>
        <v>Tel: (852)96621161    Fax: (852)35823310</v>
      </c>
      <c r="B60" s="1057"/>
      <c r="C60" s="1057"/>
      <c r="D60" s="1057"/>
      <c r="E60" s="1057"/>
      <c r="F60" s="1057"/>
      <c r="G60" s="1057"/>
      <c r="H60" s="1057"/>
      <c r="I60" s="1057"/>
      <c r="J60" s="1057"/>
      <c r="K60" s="1057"/>
      <c r="L60" s="1057"/>
      <c r="M60" s="722" t="s">
        <v>1243</v>
      </c>
      <c r="N60" s="722" t="str">
        <f>+Control!D146</f>
        <v>(852)96621161</v>
      </c>
    </row>
    <row r="61" spans="1:14" s="722" customFormat="1">
      <c r="A61" s="263"/>
      <c r="B61" s="263"/>
      <c r="C61" s="263"/>
      <c r="D61" s="39"/>
      <c r="E61" s="39"/>
      <c r="F61" s="39"/>
      <c r="G61" s="39"/>
      <c r="H61" s="39"/>
      <c r="I61" s="39"/>
      <c r="J61" s="39"/>
      <c r="K61" s="39"/>
      <c r="L61" s="39"/>
      <c r="M61" s="722" t="s">
        <v>1244</v>
      </c>
      <c r="N61" s="722" t="str">
        <f>+Control!D145</f>
        <v>(852)35823310</v>
      </c>
    </row>
  </sheetData>
  <mergeCells count="4">
    <mergeCell ref="A60:L60"/>
    <mergeCell ref="A1:L1"/>
    <mergeCell ref="B21:K22"/>
    <mergeCell ref="A59:L59"/>
  </mergeCells>
  <phoneticPr fontId="13" type="noConversion"/>
  <pageMargins left="0.51181102362204722" right="0.31496062992125984" top="0.74803149606299213" bottom="0.31496062992125984" header="0.31496062992125984" footer="0.31496062992125984"/>
  <pageSetup paperSize="9" scale="8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Y80"/>
  <sheetViews>
    <sheetView workbookViewId="0">
      <selection activeCell="B22" sqref="B22:K25"/>
    </sheetView>
  </sheetViews>
  <sheetFormatPr defaultColWidth="9" defaultRowHeight="15.75"/>
  <cols>
    <col min="1" max="11" width="9" style="1" collapsed="1"/>
    <col min="12" max="25" width="9" style="594" collapsed="1"/>
    <col min="26" max="16384" width="9" style="1" collapsed="1"/>
  </cols>
  <sheetData>
    <row r="1" spans="1:13">
      <c r="A1" s="1060" t="str">
        <f>+Control!D2</f>
        <v>MIC INCORPORATION LIMITED </v>
      </c>
      <c r="B1" s="1060"/>
      <c r="C1" s="1060"/>
      <c r="D1" s="1060"/>
      <c r="E1" s="1060"/>
      <c r="F1" s="1060"/>
      <c r="G1" s="1060"/>
      <c r="H1" s="1060"/>
      <c r="I1" s="1060"/>
      <c r="J1" s="1060"/>
      <c r="K1" s="1060"/>
    </row>
    <row r="3" spans="1:13">
      <c r="A3" s="180" t="s">
        <v>1398</v>
      </c>
      <c r="B3" s="555"/>
      <c r="C3" s="555"/>
      <c r="D3" s="555"/>
      <c r="E3" s="180"/>
      <c r="F3" s="180"/>
      <c r="G3" s="180"/>
      <c r="H3" s="556"/>
      <c r="I3" s="556"/>
      <c r="J3" s="556"/>
      <c r="K3" s="556"/>
    </row>
    <row r="5" spans="1:13">
      <c r="A5" s="1" t="s">
        <v>1387</v>
      </c>
      <c r="C5" s="360" t="str">
        <f>+Control!D100</f>
        <v>Zhou Qianwei</v>
      </c>
      <c r="D5" s="360"/>
    </row>
    <row r="6" spans="1:13">
      <c r="C6" s="360" t="str">
        <f>IF(Control!G100=0,"",Control!G100)</f>
        <v/>
      </c>
      <c r="D6" s="360"/>
    </row>
    <row r="7" spans="1:13">
      <c r="C7" s="360" t="str">
        <f>IF(Control!D101=0,"",Control!D101)</f>
        <v/>
      </c>
      <c r="D7" s="360"/>
    </row>
    <row r="8" spans="1:13">
      <c r="C8" s="360" t="str">
        <f>IF(Control!G101=0,"",Control!G101)</f>
        <v/>
      </c>
      <c r="D8" s="360"/>
    </row>
    <row r="9" spans="1:13">
      <c r="C9" s="360" t="str">
        <f>IF(Control!D102=0,"",Control!D102)</f>
        <v/>
      </c>
      <c r="D9" s="360"/>
    </row>
    <row r="10" spans="1:13">
      <c r="C10" s="360" t="str">
        <f>IF(Control!G102=0,"",Control!G102)</f>
        <v/>
      </c>
      <c r="D10" s="360"/>
    </row>
    <row r="12" spans="1:13">
      <c r="A12" s="129" t="s">
        <v>1388</v>
      </c>
      <c r="B12" s="554" t="s">
        <v>1389</v>
      </c>
    </row>
    <row r="14" spans="1:13">
      <c r="B14" s="1" t="str">
        <f>+CONCATENATE(L14,M14)</f>
        <v>Zhou Qianwei was elected the Chairman of the Meeting.</v>
      </c>
      <c r="L14" s="594" t="str">
        <f>+Control!D100</f>
        <v>Zhou Qianwei</v>
      </c>
      <c r="M14" s="594" t="s">
        <v>1399</v>
      </c>
    </row>
    <row r="16" spans="1:13">
      <c r="A16" s="129" t="s">
        <v>1390</v>
      </c>
      <c r="B16" s="554" t="s">
        <v>1391</v>
      </c>
    </row>
    <row r="18" spans="1:20">
      <c r="B18" s="1059" t="str">
        <f>+CONCATENATE(L18,M18,N18,O18,P18,Q18,R18,S18,T18)</f>
        <v>The Chairman tabled the balance sheet and profit and loss account for the period ended 31 December, 2016 together with the Director's Report and Auditor's Report. The chairman then read the Director's Report.</v>
      </c>
      <c r="C18" s="1059"/>
      <c r="D18" s="1059"/>
      <c r="E18" s="1059"/>
      <c r="F18" s="1059"/>
      <c r="G18" s="1059"/>
      <c r="H18" s="1059"/>
      <c r="I18" s="1059"/>
      <c r="J18" s="1059"/>
      <c r="K18" s="1059"/>
      <c r="L18" s="594" t="s">
        <v>1400</v>
      </c>
      <c r="M18" s="594" t="str">
        <f>+Control!E8</f>
        <v>period</v>
      </c>
      <c r="N18" s="594" t="s">
        <v>660</v>
      </c>
      <c r="O18" s="594" t="str">
        <f>+Control!D6</f>
        <v>31 December, 2016</v>
      </c>
      <c r="P18" s="594" t="s">
        <v>1401</v>
      </c>
      <c r="Q18" s="594" t="str">
        <f>+IF('Dir info'!C1=1,"Director's","Directors'")</f>
        <v>Director's</v>
      </c>
      <c r="R18" s="594" t="s">
        <v>1402</v>
      </c>
      <c r="S18" s="594" t="str">
        <f>+Q18</f>
        <v>Director's</v>
      </c>
      <c r="T18" s="594" t="s">
        <v>1403</v>
      </c>
    </row>
    <row r="19" spans="1:20">
      <c r="B19" s="1059"/>
      <c r="C19" s="1059"/>
      <c r="D19" s="1059"/>
      <c r="E19" s="1059"/>
      <c r="F19" s="1059"/>
      <c r="G19" s="1059"/>
      <c r="H19" s="1059"/>
      <c r="I19" s="1059"/>
      <c r="J19" s="1059"/>
      <c r="K19" s="1059"/>
    </row>
    <row r="20" spans="1:20">
      <c r="B20" s="1059"/>
      <c r="C20" s="1059"/>
      <c r="D20" s="1059"/>
      <c r="E20" s="1059"/>
      <c r="F20" s="1059"/>
      <c r="G20" s="1059"/>
      <c r="H20" s="1059"/>
      <c r="I20" s="1059"/>
      <c r="J20" s="1059"/>
      <c r="K20" s="1059"/>
    </row>
    <row r="22" spans="1:20">
      <c r="B22" s="1059" t="str">
        <f>+CONCATENATE(L22,M22,N22,O22,P22,Q22,R22)</f>
        <v>RESOLVED that the balance sheet and profit and loss accounts of the Company for the financial period ended 31 December, 2016, together with the Reports of the Director and Auditors, as presented be and are hereby received and adopted.</v>
      </c>
      <c r="C22" s="1059"/>
      <c r="D22" s="1059"/>
      <c r="E22" s="1059"/>
      <c r="F22" s="1059"/>
      <c r="G22" s="1059"/>
      <c r="H22" s="1059"/>
      <c r="I22" s="1059"/>
      <c r="J22" s="1059"/>
      <c r="K22" s="1059"/>
      <c r="L22" s="594" t="s">
        <v>1404</v>
      </c>
      <c r="M22" s="594" t="str">
        <f>+M18</f>
        <v>period</v>
      </c>
      <c r="N22" s="594" t="s">
        <v>660</v>
      </c>
      <c r="O22" s="594" t="str">
        <f>+O18</f>
        <v>31 December, 2016</v>
      </c>
      <c r="P22" s="594" t="s">
        <v>1405</v>
      </c>
      <c r="Q22" s="594" t="str">
        <f>+IF('Dir info'!C1=1,"Director","Directors")</f>
        <v>Director</v>
      </c>
      <c r="R22" s="594" t="s">
        <v>1406</v>
      </c>
    </row>
    <row r="23" spans="1:20">
      <c r="B23" s="1059"/>
      <c r="C23" s="1059"/>
      <c r="D23" s="1059"/>
      <c r="E23" s="1059"/>
      <c r="F23" s="1059"/>
      <c r="G23" s="1059"/>
      <c r="H23" s="1059"/>
      <c r="I23" s="1059"/>
      <c r="J23" s="1059"/>
      <c r="K23" s="1059"/>
    </row>
    <row r="24" spans="1:20">
      <c r="B24" s="1059"/>
      <c r="C24" s="1059"/>
      <c r="D24" s="1059"/>
      <c r="E24" s="1059"/>
      <c r="F24" s="1059"/>
      <c r="G24" s="1059"/>
      <c r="H24" s="1059"/>
      <c r="I24" s="1059"/>
      <c r="J24" s="1059"/>
      <c r="K24" s="1059"/>
    </row>
    <row r="25" spans="1:20">
      <c r="B25" s="1059"/>
      <c r="C25" s="1059"/>
      <c r="D25" s="1059"/>
      <c r="E25" s="1059"/>
      <c r="F25" s="1059"/>
      <c r="G25" s="1059"/>
      <c r="H25" s="1059"/>
      <c r="I25" s="1059"/>
      <c r="J25" s="1059"/>
      <c r="K25" s="1059"/>
    </row>
    <row r="27" spans="1:20">
      <c r="A27" s="129" t="s">
        <v>1392</v>
      </c>
      <c r="B27" s="554" t="str">
        <f>+IF('Dir info'!C1=1,"DIRECTOR","DIRECTORS")</f>
        <v>DIRECTOR</v>
      </c>
    </row>
    <row r="29" spans="1:20">
      <c r="B29" s="1" t="str">
        <f>+CONCATENATE(L29,M29,N29)</f>
        <v>RESOLVED that the director below be re-elected:</v>
      </c>
      <c r="L29" s="594" t="s">
        <v>1407</v>
      </c>
      <c r="M29" s="594" t="str">
        <f>+IF('Dir info'!C1=1,"director","directors")</f>
        <v>director</v>
      </c>
      <c r="N29" s="594" t="s">
        <v>1408</v>
      </c>
    </row>
    <row r="31" spans="1:20">
      <c r="B31" s="360" t="str">
        <f>+'Dir info'!C4</f>
        <v>Zhou Qianwei</v>
      </c>
    </row>
    <row r="32" spans="1:20">
      <c r="B32" s="360" t="str">
        <f>IF('Dir info'!C5=0,"",'Dir info'!C5)</f>
        <v/>
      </c>
    </row>
    <row r="33" spans="1:18">
      <c r="B33" s="360" t="str">
        <f>IF('Dir info'!C6=0,"",'Dir info'!C6)</f>
        <v/>
      </c>
    </row>
    <row r="34" spans="1:18">
      <c r="B34" s="360" t="str">
        <f>IF('Dir info'!C7=0,"",'Dir info'!C7)</f>
        <v/>
      </c>
    </row>
    <row r="35" spans="1:18">
      <c r="B35" s="360" t="str">
        <f>IF('Dir info'!C8=0,"",'Dir info'!C8)</f>
        <v/>
      </c>
    </row>
    <row r="36" spans="1:18">
      <c r="B36" s="360" t="str">
        <f>IF('Dir info'!C9=0,"",'Dir info'!C9)</f>
        <v/>
      </c>
    </row>
    <row r="38" spans="1:18">
      <c r="A38" s="129" t="s">
        <v>1393</v>
      </c>
      <c r="B38" s="554" t="s">
        <v>1394</v>
      </c>
    </row>
    <row r="40" spans="1:18">
      <c r="B40" s="1059" t="str">
        <f>+CONCATENATE(L40,M40,N40,O40,P40,Q40,R40)</f>
        <v>RESOLVED that Messrs. Matthew S.H. Law Certified Public Accountant (Practising), is hereby appointed as Auditor of the Company to hold office until the conclusion of the next AGM and the Director be authorized to fix his remuneration.</v>
      </c>
      <c r="C40" s="1059"/>
      <c r="D40" s="1059"/>
      <c r="E40" s="1059"/>
      <c r="F40" s="1059"/>
      <c r="G40" s="1059"/>
      <c r="H40" s="1059"/>
      <c r="I40" s="1059"/>
      <c r="J40" s="1059"/>
      <c r="K40" s="1059"/>
      <c r="L40" s="594" t="s">
        <v>1409</v>
      </c>
      <c r="M40" s="594" t="str">
        <f>+CONCATENATE(Control!D136," ",Control!D137)</f>
        <v>Matthew S.H. Law Certified Public Accountant (Practising)</v>
      </c>
      <c r="N40" s="594" t="s">
        <v>1410</v>
      </c>
      <c r="O40" s="594" t="str">
        <f>+Q22</f>
        <v>Director</v>
      </c>
      <c r="P40" s="594" t="s">
        <v>1411</v>
      </c>
      <c r="Q40" s="594" t="str">
        <f>+IF('Dir info'!C1=1,"his","their")</f>
        <v>his</v>
      </c>
      <c r="R40" s="594" t="s">
        <v>1412</v>
      </c>
    </row>
    <row r="41" spans="1:18">
      <c r="B41" s="1059"/>
      <c r="C41" s="1059"/>
      <c r="D41" s="1059"/>
      <c r="E41" s="1059"/>
      <c r="F41" s="1059"/>
      <c r="G41" s="1059"/>
      <c r="H41" s="1059"/>
      <c r="I41" s="1059"/>
      <c r="J41" s="1059"/>
      <c r="K41" s="1059"/>
    </row>
    <row r="42" spans="1:18">
      <c r="B42" s="1059"/>
      <c r="C42" s="1059"/>
      <c r="D42" s="1059"/>
      <c r="E42" s="1059"/>
      <c r="F42" s="1059"/>
      <c r="G42" s="1059"/>
      <c r="H42" s="1059"/>
      <c r="I42" s="1059"/>
      <c r="J42" s="1059"/>
      <c r="K42" s="1059"/>
    </row>
    <row r="43" spans="1:18">
      <c r="B43" s="1059"/>
      <c r="C43" s="1059"/>
      <c r="D43" s="1059"/>
      <c r="E43" s="1059"/>
      <c r="F43" s="1059"/>
      <c r="G43" s="1059"/>
      <c r="H43" s="1059"/>
      <c r="I43" s="1059"/>
      <c r="J43" s="1059"/>
      <c r="K43" s="1059"/>
    </row>
    <row r="46" spans="1:18">
      <c r="A46" s="129" t="s">
        <v>1395</v>
      </c>
      <c r="B46" s="554" t="s">
        <v>1396</v>
      </c>
    </row>
    <row r="48" spans="1:18">
      <c r="B48" s="1059" t="s">
        <v>1397</v>
      </c>
      <c r="C48" s="1059"/>
      <c r="D48" s="1059"/>
      <c r="E48" s="1059"/>
      <c r="F48" s="1059"/>
      <c r="G48" s="1059"/>
      <c r="H48" s="1059"/>
      <c r="I48" s="1059"/>
      <c r="J48" s="1059"/>
      <c r="K48" s="1059"/>
    </row>
    <row r="49" spans="2:11">
      <c r="B49" s="1059"/>
      <c r="C49" s="1059"/>
      <c r="D49" s="1059"/>
      <c r="E49" s="1059"/>
      <c r="F49" s="1059"/>
      <c r="G49" s="1059"/>
      <c r="H49" s="1059"/>
      <c r="I49" s="1059"/>
      <c r="J49" s="1059"/>
      <c r="K49" s="1059"/>
    </row>
    <row r="50" spans="2:11">
      <c r="B50" s="1059"/>
      <c r="C50" s="1059"/>
      <c r="D50" s="1059"/>
      <c r="E50" s="1059"/>
      <c r="F50" s="1059"/>
      <c r="G50" s="1059"/>
      <c r="H50" s="1059"/>
      <c r="I50" s="1059"/>
      <c r="J50" s="1059"/>
      <c r="K50" s="1059"/>
    </row>
    <row r="55" spans="2:11">
      <c r="B55" s="157" t="str">
        <f>+'141D'!A24</f>
        <v>__________________________</v>
      </c>
      <c r="C55" s="157"/>
      <c r="D55" s="157"/>
      <c r="F55" s="157" t="str">
        <f>+'141D'!E24</f>
        <v xml:space="preserve"> </v>
      </c>
      <c r="G55" s="157"/>
      <c r="H55" s="157"/>
    </row>
    <row r="56" spans="2:11">
      <c r="B56" s="906" t="str">
        <f>+'141D'!A25</f>
        <v>Zhou Qianwei
Shareholder</v>
      </c>
      <c r="C56" s="906"/>
      <c r="D56" s="906"/>
      <c r="F56" s="906" t="str">
        <f>+'141D'!E25</f>
        <v xml:space="preserve"> 
 </v>
      </c>
      <c r="G56" s="906"/>
      <c r="H56" s="906"/>
    </row>
    <row r="57" spans="2:11">
      <c r="B57" s="906"/>
      <c r="C57" s="906"/>
      <c r="D57" s="906"/>
      <c r="F57" s="906"/>
      <c r="G57" s="906"/>
      <c r="H57" s="906"/>
    </row>
    <row r="58" spans="2:11">
      <c r="B58" s="906"/>
      <c r="C58" s="906"/>
      <c r="D58" s="906"/>
      <c r="F58" s="906"/>
      <c r="G58" s="906"/>
      <c r="H58" s="906"/>
    </row>
    <row r="59" spans="2:11">
      <c r="B59" s="906"/>
      <c r="C59" s="906"/>
      <c r="D59" s="906"/>
      <c r="F59" s="906"/>
      <c r="G59" s="906"/>
      <c r="H59" s="906"/>
    </row>
    <row r="60" spans="2:11">
      <c r="B60" s="906"/>
      <c r="C60" s="906"/>
      <c r="D60" s="906"/>
      <c r="F60" s="906"/>
      <c r="G60" s="906"/>
      <c r="H60" s="906"/>
    </row>
    <row r="64" spans="2:11">
      <c r="B64" s="157"/>
      <c r="C64" s="157"/>
      <c r="D64" s="157"/>
      <c r="E64" s="157"/>
      <c r="F64" s="157"/>
      <c r="G64" s="157"/>
      <c r="H64" s="157"/>
    </row>
    <row r="65" spans="2:8">
      <c r="B65" s="907" t="str">
        <f>+'141D'!A34</f>
        <v xml:space="preserve"> </v>
      </c>
      <c r="C65" s="907"/>
      <c r="D65" s="907"/>
      <c r="F65" s="907" t="str">
        <f>+'141D'!E34</f>
        <v xml:space="preserve"> </v>
      </c>
      <c r="G65" s="907"/>
      <c r="H65" s="907"/>
    </row>
    <row r="66" spans="2:8">
      <c r="B66" s="906" t="str">
        <f>+'141D'!A35</f>
        <v xml:space="preserve"> 
 </v>
      </c>
      <c r="C66" s="906"/>
      <c r="D66" s="906"/>
      <c r="F66" s="906" t="str">
        <f>+'141D'!E35</f>
        <v xml:space="preserve"> 
 </v>
      </c>
      <c r="G66" s="906"/>
      <c r="H66" s="906"/>
    </row>
    <row r="67" spans="2:8">
      <c r="B67" s="906"/>
      <c r="C67" s="906"/>
      <c r="D67" s="906"/>
      <c r="F67" s="906"/>
      <c r="G67" s="906"/>
      <c r="H67" s="906"/>
    </row>
    <row r="68" spans="2:8">
      <c r="B68" s="906"/>
      <c r="C68" s="906"/>
      <c r="D68" s="906"/>
      <c r="F68" s="906"/>
      <c r="G68" s="906"/>
      <c r="H68" s="906"/>
    </row>
    <row r="69" spans="2:8">
      <c r="B69" s="906"/>
      <c r="C69" s="906"/>
      <c r="D69" s="906"/>
      <c r="F69" s="906"/>
      <c r="G69" s="906"/>
      <c r="H69" s="906"/>
    </row>
    <row r="70" spans="2:8">
      <c r="B70" s="906"/>
      <c r="C70" s="906"/>
      <c r="D70" s="906"/>
      <c r="F70" s="906"/>
      <c r="G70" s="906"/>
      <c r="H70" s="906"/>
    </row>
    <row r="71" spans="2:8">
      <c r="B71" s="552"/>
      <c r="C71" s="552"/>
      <c r="D71" s="552"/>
    </row>
    <row r="72" spans="2:8">
      <c r="B72" s="552"/>
      <c r="C72" s="552"/>
      <c r="D72" s="552"/>
    </row>
    <row r="75" spans="2:8">
      <c r="B75" s="907" t="str">
        <f>+'141D'!A44</f>
        <v xml:space="preserve"> </v>
      </c>
      <c r="C75" s="907"/>
      <c r="D75" s="907"/>
      <c r="F75" s="907" t="str">
        <f>+'141D'!E44</f>
        <v xml:space="preserve"> </v>
      </c>
      <c r="G75" s="907"/>
      <c r="H75" s="907"/>
    </row>
    <row r="76" spans="2:8">
      <c r="B76" s="906" t="str">
        <f>+'141D'!A45</f>
        <v xml:space="preserve"> 
 </v>
      </c>
      <c r="C76" s="906"/>
      <c r="D76" s="906"/>
      <c r="F76" s="906" t="str">
        <f>+'141D'!E45</f>
        <v xml:space="preserve"> 
 </v>
      </c>
      <c r="G76" s="906"/>
      <c r="H76" s="906"/>
    </row>
    <row r="77" spans="2:8">
      <c r="B77" s="906"/>
      <c r="C77" s="906"/>
      <c r="D77" s="906"/>
      <c r="F77" s="906"/>
      <c r="G77" s="906"/>
      <c r="H77" s="906"/>
    </row>
    <row r="78" spans="2:8">
      <c r="B78" s="906"/>
      <c r="C78" s="906"/>
      <c r="D78" s="906"/>
      <c r="F78" s="906"/>
      <c r="G78" s="906"/>
      <c r="H78" s="906"/>
    </row>
    <row r="79" spans="2:8">
      <c r="B79" s="906"/>
      <c r="C79" s="906"/>
      <c r="D79" s="906"/>
      <c r="F79" s="906"/>
      <c r="G79" s="906"/>
      <c r="H79" s="906"/>
    </row>
    <row r="80" spans="2:8">
      <c r="B80" s="906"/>
      <c r="C80" s="906"/>
      <c r="D80" s="906"/>
      <c r="F80" s="906"/>
      <c r="G80" s="906"/>
      <c r="H80" s="906"/>
    </row>
  </sheetData>
  <mergeCells count="15">
    <mergeCell ref="B18:K20"/>
    <mergeCell ref="B22:K25"/>
    <mergeCell ref="A1:K1"/>
    <mergeCell ref="B40:K43"/>
    <mergeCell ref="B48:K50"/>
    <mergeCell ref="B75:D75"/>
    <mergeCell ref="F75:H75"/>
    <mergeCell ref="B76:D80"/>
    <mergeCell ref="F76:H80"/>
    <mergeCell ref="B56:D60"/>
    <mergeCell ref="F56:H60"/>
    <mergeCell ref="B65:D65"/>
    <mergeCell ref="F65:H65"/>
    <mergeCell ref="B66:D70"/>
    <mergeCell ref="F66:H70"/>
  </mergeCells>
  <phoneticPr fontId="13" type="noConversion"/>
  <pageMargins left="0.7" right="0.7" top="0.75" bottom="0.75" header="0.3" footer="0.3"/>
  <pageSetup paperSize="9" scale="60"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FF00"/>
    <pageSetUpPr fitToPage="1"/>
  </sheetPr>
  <dimension ref="A1:L47"/>
  <sheetViews>
    <sheetView workbookViewId="0">
      <selection activeCell="H6" sqref="H6"/>
    </sheetView>
  </sheetViews>
  <sheetFormatPr defaultColWidth="9" defaultRowHeight="15.75"/>
  <cols>
    <col min="1" max="5" width="9" style="1" collapsed="1"/>
    <col min="6" max="6" width="3.5" style="1" customWidth="1" collapsed="1"/>
    <col min="7" max="7" width="4.125" style="1" customWidth="1" collapsed="1"/>
    <col min="8" max="8" width="7.5" style="1" customWidth="1" collapsed="1"/>
    <col min="9" max="9" width="4.625" style="1" customWidth="1" collapsed="1"/>
    <col min="10" max="10" width="9.5" style="1" customWidth="1" collapsed="1"/>
    <col min="11" max="16384" width="9" style="1" collapsed="1"/>
  </cols>
  <sheetData>
    <row r="1" spans="1:12" ht="28.5" customHeight="1">
      <c r="A1" s="1061" t="str">
        <f>+Control!D3</f>
        <v>MIC INCORPORATION LIMITED </v>
      </c>
      <c r="B1" s="1061"/>
      <c r="C1" s="1061"/>
      <c r="D1" s="1061"/>
      <c r="E1" s="1061"/>
      <c r="F1" s="1061"/>
      <c r="G1" s="1061"/>
      <c r="H1" s="1061"/>
      <c r="I1" s="1061"/>
      <c r="J1" s="1061"/>
    </row>
    <row r="2" spans="1:12" ht="28.5" customHeight="1">
      <c r="A2" s="1061"/>
      <c r="B2" s="1061"/>
      <c r="C2" s="1061"/>
      <c r="D2" s="1061"/>
      <c r="E2" s="1061"/>
      <c r="F2" s="1061"/>
      <c r="G2" s="1061"/>
      <c r="H2" s="1061"/>
      <c r="I2" s="1061"/>
      <c r="J2" s="1061"/>
    </row>
    <row r="4" spans="1:12">
      <c r="A4" s="1" t="s">
        <v>222</v>
      </c>
    </row>
    <row r="6" spans="1:12">
      <c r="A6" s="1" t="s">
        <v>394</v>
      </c>
    </row>
    <row r="10" spans="1:12">
      <c r="A10" s="1" t="s">
        <v>395</v>
      </c>
    </row>
    <row r="12" spans="1:12">
      <c r="A12" s="52" t="s">
        <v>396</v>
      </c>
    </row>
    <row r="14" spans="1:12">
      <c r="A14" s="896" t="str">
        <f>+CONCATENATE(A38,A39,A44,A40,A41,A44,A42,A43)</f>
        <v>We confirm that the sales and purchases transactions during the period ended 31 December, 2016 were wholly transported directly through the suppliers to the customers. No delivery notes were issued by the Company.</v>
      </c>
      <c r="B14" s="896"/>
      <c r="C14" s="896"/>
      <c r="D14" s="896"/>
      <c r="E14" s="896"/>
      <c r="F14" s="896"/>
      <c r="G14" s="896"/>
      <c r="H14" s="896"/>
      <c r="I14" s="896"/>
      <c r="J14" s="896"/>
    </row>
    <row r="15" spans="1:12">
      <c r="A15" s="896"/>
      <c r="B15" s="896"/>
      <c r="C15" s="896"/>
      <c r="D15" s="896"/>
      <c r="E15" s="896"/>
      <c r="F15" s="896"/>
      <c r="G15" s="896"/>
      <c r="H15" s="896"/>
      <c r="I15" s="896"/>
      <c r="J15" s="896"/>
      <c r="L15" s="1" t="s">
        <v>172</v>
      </c>
    </row>
    <row r="16" spans="1:12">
      <c r="A16" s="896"/>
      <c r="B16" s="896"/>
      <c r="C16" s="896"/>
      <c r="D16" s="896"/>
      <c r="E16" s="896"/>
      <c r="F16" s="896"/>
      <c r="G16" s="896"/>
      <c r="H16" s="896"/>
      <c r="I16" s="896"/>
      <c r="J16" s="896"/>
    </row>
    <row r="18" spans="1:9">
      <c r="A18" s="1" t="str">
        <f>+CONCATENATE(A45,A46,A47)</f>
        <v>Also, we confirm that no stock was kept by the Company as at 31 December, 2016.</v>
      </c>
      <c r="G18" s="130"/>
      <c r="H18" s="130"/>
      <c r="I18" s="130"/>
    </row>
    <row r="22" spans="1:9">
      <c r="A22" s="1" t="s">
        <v>230</v>
      </c>
    </row>
    <row r="27" spans="1:9">
      <c r="A27" s="1" t="s">
        <v>81</v>
      </c>
    </row>
    <row r="28" spans="1:9">
      <c r="A28" s="50" t="str">
        <f>+Control!D3</f>
        <v>MIC INCORPORATION LIMITED </v>
      </c>
      <c r="B28" s="50"/>
    </row>
    <row r="30" spans="1:9">
      <c r="B30" s="129" t="s">
        <v>397</v>
      </c>
    </row>
    <row r="38" spans="1:1" s="598" customFormat="1">
      <c r="A38" s="598" t="s">
        <v>398</v>
      </c>
    </row>
    <row r="39" spans="1:1" s="598" customFormat="1">
      <c r="A39" s="598" t="str">
        <f>+Control!E8</f>
        <v>period</v>
      </c>
    </row>
    <row r="40" spans="1:1" s="598" customFormat="1">
      <c r="A40" s="598" t="s">
        <v>236</v>
      </c>
    </row>
    <row r="41" spans="1:1" s="598" customFormat="1">
      <c r="A41" s="598" t="str">
        <f>+Control!D6</f>
        <v>31 December, 2016</v>
      </c>
    </row>
    <row r="42" spans="1:1" s="598" customFormat="1">
      <c r="A42" s="598" t="s">
        <v>399</v>
      </c>
    </row>
    <row r="43" spans="1:1" s="598" customFormat="1">
      <c r="A43" s="598" t="s">
        <v>400</v>
      </c>
    </row>
    <row r="44" spans="1:1" s="598" customFormat="1">
      <c r="A44" s="598" t="s">
        <v>172</v>
      </c>
    </row>
    <row r="45" spans="1:1" s="598" customFormat="1">
      <c r="A45" s="598" t="s">
        <v>401</v>
      </c>
    </row>
    <row r="46" spans="1:1" s="598" customFormat="1">
      <c r="A46" s="598" t="str">
        <f>+Control!D6</f>
        <v>31 December, 2016</v>
      </c>
    </row>
    <row r="47" spans="1:1">
      <c r="A47" s="1" t="s">
        <v>239</v>
      </c>
    </row>
  </sheetData>
  <mergeCells count="2">
    <mergeCell ref="A14:J16"/>
    <mergeCell ref="A1:J2"/>
  </mergeCells>
  <phoneticPr fontId="13" type="noConversion"/>
  <pageMargins left="1.2480314960629921" right="1.2480314960629921" top="0.74803149606299213" bottom="0.74803149606299213" header="0.31496062992125984" footer="0.31496062992125984"/>
  <pageSetup paperSize="9" scale="98" fitToHeight="0"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K53"/>
  <sheetViews>
    <sheetView workbookViewId="0">
      <selection activeCell="F25" sqref="F25"/>
    </sheetView>
  </sheetViews>
  <sheetFormatPr defaultColWidth="9" defaultRowHeight="15.75"/>
  <cols>
    <col min="1" max="16384" width="9" style="1" collapsed="1"/>
  </cols>
  <sheetData>
    <row r="1" spans="1:11">
      <c r="A1" s="1060" t="str">
        <f>+Control!D2</f>
        <v>MIC INCORPORATION LIMITED </v>
      </c>
      <c r="B1" s="1060"/>
      <c r="C1" s="1060"/>
      <c r="D1" s="1060"/>
      <c r="E1" s="1060"/>
      <c r="F1" s="1060"/>
      <c r="G1" s="1060"/>
      <c r="H1" s="1060"/>
      <c r="I1" s="1060"/>
      <c r="J1" s="1060"/>
      <c r="K1" s="1060"/>
    </row>
    <row r="2" spans="1:11">
      <c r="A2" s="1062" t="s">
        <v>1413</v>
      </c>
      <c r="B2" s="1062"/>
      <c r="C2" s="1062"/>
      <c r="D2" s="1062"/>
      <c r="E2" s="1062"/>
      <c r="F2" s="1062"/>
      <c r="G2" s="1062"/>
      <c r="H2" s="1062"/>
      <c r="I2" s="1062"/>
      <c r="J2" s="1062"/>
      <c r="K2" s="1062"/>
    </row>
    <row r="3" spans="1:11">
      <c r="A3" s="1062" t="s">
        <v>1414</v>
      </c>
      <c r="B3" s="1062"/>
      <c r="C3" s="1062"/>
      <c r="D3" s="1062"/>
      <c r="E3" s="1062"/>
      <c r="F3" s="1062"/>
      <c r="G3" s="1062"/>
      <c r="H3" s="1062"/>
      <c r="I3" s="1062"/>
      <c r="J3" s="1062"/>
      <c r="K3" s="1062"/>
    </row>
    <row r="5" spans="1:11">
      <c r="A5" s="1063" t="s">
        <v>1415</v>
      </c>
      <c r="B5" s="1063"/>
      <c r="C5" s="1063"/>
      <c r="D5" s="1063"/>
      <c r="E5" s="1063"/>
      <c r="F5" s="1063"/>
      <c r="G5" s="1063"/>
      <c r="H5" s="1063"/>
      <c r="I5" s="1063"/>
      <c r="J5" s="1063"/>
      <c r="K5" s="1063"/>
    </row>
    <row r="6" spans="1:11">
      <c r="A6" s="1063"/>
      <c r="B6" s="1063"/>
      <c r="C6" s="1063"/>
      <c r="D6" s="1063"/>
      <c r="E6" s="1063"/>
      <c r="F6" s="1063"/>
      <c r="G6" s="1063"/>
      <c r="H6" s="1063"/>
      <c r="I6" s="1063"/>
      <c r="J6" s="1063"/>
      <c r="K6" s="1063"/>
    </row>
    <row r="8" spans="1:11">
      <c r="A8" s="256" t="s">
        <v>1416</v>
      </c>
    </row>
    <row r="10" spans="1:11">
      <c r="A10" s="1" t="s">
        <v>1417</v>
      </c>
    </row>
    <row r="12" spans="1:11">
      <c r="A12" s="256" t="s">
        <v>1418</v>
      </c>
    </row>
    <row r="14" spans="1:11">
      <c r="A14" s="129" t="s">
        <v>1388</v>
      </c>
      <c r="B14" s="1059" t="s">
        <v>1419</v>
      </c>
      <c r="C14" s="1059"/>
      <c r="D14" s="1059"/>
      <c r="E14" s="1059"/>
      <c r="F14" s="1059"/>
      <c r="G14" s="1059"/>
      <c r="H14" s="1059"/>
      <c r="I14" s="1059"/>
      <c r="J14" s="1059"/>
      <c r="K14" s="1059"/>
    </row>
    <row r="15" spans="1:11">
      <c r="A15" s="129"/>
      <c r="B15" s="1059"/>
      <c r="C15" s="1059"/>
      <c r="D15" s="1059"/>
      <c r="E15" s="1059"/>
      <c r="F15" s="1059"/>
      <c r="G15" s="1059"/>
      <c r="H15" s="1059"/>
      <c r="I15" s="1059"/>
      <c r="J15" s="1059"/>
      <c r="K15" s="1059"/>
    </row>
    <row r="16" spans="1:11">
      <c r="A16" s="129"/>
      <c r="B16" s="1059"/>
      <c r="C16" s="1059"/>
      <c r="D16" s="1059"/>
      <c r="E16" s="1059"/>
      <c r="F16" s="1059"/>
      <c r="G16" s="1059"/>
      <c r="H16" s="1059"/>
      <c r="I16" s="1059"/>
      <c r="J16" s="1059"/>
      <c r="K16" s="1059"/>
    </row>
    <row r="17" spans="1:11">
      <c r="A17" s="129"/>
      <c r="B17" s="1059"/>
      <c r="C17" s="1059"/>
      <c r="D17" s="1059"/>
      <c r="E17" s="1059"/>
      <c r="F17" s="1059"/>
      <c r="G17" s="1059"/>
      <c r="H17" s="1059"/>
      <c r="I17" s="1059"/>
      <c r="J17" s="1059"/>
      <c r="K17" s="1059"/>
    </row>
    <row r="19" spans="1:11" ht="15.75" customHeight="1">
      <c r="A19" s="129" t="s">
        <v>1390</v>
      </c>
      <c r="B19" s="1059" t="s">
        <v>1421</v>
      </c>
      <c r="C19" s="1059"/>
      <c r="D19" s="1059"/>
      <c r="E19" s="1059"/>
      <c r="F19" s="1059"/>
      <c r="G19" s="1059"/>
      <c r="H19" s="1059"/>
      <c r="I19" s="1059"/>
      <c r="J19" s="1059"/>
      <c r="K19" s="1059"/>
    </row>
    <row r="20" spans="1:11">
      <c r="A20" s="129"/>
      <c r="B20" s="1059"/>
      <c r="C20" s="1059"/>
      <c r="D20" s="1059"/>
      <c r="E20" s="1059"/>
      <c r="F20" s="1059"/>
      <c r="G20" s="1059"/>
      <c r="H20" s="1059"/>
      <c r="I20" s="1059"/>
      <c r="J20" s="1059"/>
      <c r="K20" s="1059"/>
    </row>
    <row r="21" spans="1:11">
      <c r="B21" s="1059"/>
      <c r="C21" s="1059"/>
      <c r="D21" s="1059"/>
      <c r="E21" s="1059"/>
      <c r="F21" s="1059"/>
      <c r="G21" s="1059"/>
      <c r="H21" s="1059"/>
      <c r="I21" s="1059"/>
      <c r="J21" s="1059"/>
      <c r="K21" s="1059"/>
    </row>
    <row r="22" spans="1:11">
      <c r="B22" s="1059"/>
      <c r="C22" s="1059"/>
      <c r="D22" s="1059"/>
      <c r="E22" s="1059"/>
      <c r="F22" s="1059"/>
      <c r="G22" s="1059"/>
      <c r="H22" s="1059"/>
      <c r="I22" s="1059"/>
      <c r="J22" s="1059"/>
      <c r="K22" s="1059"/>
    </row>
    <row r="23" spans="1:11">
      <c r="B23" s="553"/>
      <c r="C23" s="553"/>
      <c r="D23" s="553"/>
      <c r="E23" s="553"/>
      <c r="F23" s="553"/>
      <c r="G23" s="553"/>
      <c r="H23" s="553"/>
      <c r="I23" s="553"/>
      <c r="J23" s="553"/>
      <c r="K23" s="553"/>
    </row>
    <row r="24" spans="1:11">
      <c r="A24" s="1" t="s">
        <v>1420</v>
      </c>
    </row>
    <row r="28" spans="1:11">
      <c r="B28" s="157" t="str">
        <f>+'141D'!A24</f>
        <v>__________________________</v>
      </c>
      <c r="C28" s="157"/>
      <c r="D28" s="157"/>
      <c r="F28" s="157" t="str">
        <f>+'141D'!E24</f>
        <v xml:space="preserve"> </v>
      </c>
      <c r="G28" s="157"/>
      <c r="H28" s="157"/>
    </row>
    <row r="29" spans="1:11">
      <c r="B29" s="906" t="str">
        <f>+'141D'!A25</f>
        <v>Zhou Qianwei
Shareholder</v>
      </c>
      <c r="C29" s="906"/>
      <c r="D29" s="906"/>
      <c r="F29" s="906" t="str">
        <f>+'141D'!E25</f>
        <v xml:space="preserve"> 
 </v>
      </c>
      <c r="G29" s="906"/>
      <c r="H29" s="906"/>
    </row>
    <row r="30" spans="1:11">
      <c r="B30" s="906"/>
      <c r="C30" s="906"/>
      <c r="D30" s="906"/>
      <c r="F30" s="906"/>
      <c r="G30" s="906"/>
      <c r="H30" s="906"/>
    </row>
    <row r="31" spans="1:11">
      <c r="B31" s="906"/>
      <c r="C31" s="906"/>
      <c r="D31" s="906"/>
      <c r="F31" s="906"/>
      <c r="G31" s="906"/>
      <c r="H31" s="906"/>
    </row>
    <row r="32" spans="1:11">
      <c r="B32" s="906"/>
      <c r="C32" s="906"/>
      <c r="D32" s="906"/>
      <c r="F32" s="906"/>
      <c r="G32" s="906"/>
      <c r="H32" s="906"/>
    </row>
    <row r="33" spans="2:8">
      <c r="B33" s="906"/>
      <c r="C33" s="906"/>
      <c r="D33" s="906"/>
      <c r="F33" s="906"/>
      <c r="G33" s="906"/>
      <c r="H33" s="906"/>
    </row>
    <row r="37" spans="2:8">
      <c r="B37" s="157"/>
      <c r="C37" s="157"/>
      <c r="D37" s="157"/>
      <c r="E37" s="157"/>
      <c r="F37" s="157"/>
      <c r="G37" s="157"/>
      <c r="H37" s="157"/>
    </row>
    <row r="38" spans="2:8">
      <c r="B38" s="907" t="str">
        <f>+'141D'!A34</f>
        <v xml:space="preserve"> </v>
      </c>
      <c r="C38" s="907"/>
      <c r="D38" s="907"/>
      <c r="F38" s="907" t="str">
        <f>+'141D'!E34</f>
        <v xml:space="preserve"> </v>
      </c>
      <c r="G38" s="907"/>
      <c r="H38" s="907"/>
    </row>
    <row r="39" spans="2:8">
      <c r="B39" s="906" t="str">
        <f>+'141D'!A35</f>
        <v xml:space="preserve"> 
 </v>
      </c>
      <c r="C39" s="906"/>
      <c r="D39" s="906"/>
      <c r="F39" s="906" t="str">
        <f>+'141D'!E35</f>
        <v xml:space="preserve"> 
 </v>
      </c>
      <c r="G39" s="906"/>
      <c r="H39" s="906"/>
    </row>
    <row r="40" spans="2:8">
      <c r="B40" s="906"/>
      <c r="C40" s="906"/>
      <c r="D40" s="906"/>
      <c r="F40" s="906"/>
      <c r="G40" s="906"/>
      <c r="H40" s="906"/>
    </row>
    <row r="41" spans="2:8">
      <c r="B41" s="906"/>
      <c r="C41" s="906"/>
      <c r="D41" s="906"/>
      <c r="F41" s="906"/>
      <c r="G41" s="906"/>
      <c r="H41" s="906"/>
    </row>
    <row r="42" spans="2:8">
      <c r="B42" s="906"/>
      <c r="C42" s="906"/>
      <c r="D42" s="906"/>
      <c r="F42" s="906"/>
      <c r="G42" s="906"/>
      <c r="H42" s="906"/>
    </row>
    <row r="43" spans="2:8">
      <c r="B43" s="906"/>
      <c r="C43" s="906"/>
      <c r="D43" s="906"/>
      <c r="F43" s="906"/>
      <c r="G43" s="906"/>
      <c r="H43" s="906"/>
    </row>
    <row r="44" spans="2:8">
      <c r="B44" s="552"/>
      <c r="C44" s="552"/>
      <c r="D44" s="552"/>
    </row>
    <row r="45" spans="2:8">
      <c r="B45" s="552"/>
      <c r="C45" s="552"/>
      <c r="D45" s="552"/>
    </row>
    <row r="48" spans="2:8">
      <c r="B48" s="907" t="str">
        <f>+'141D'!A44</f>
        <v xml:space="preserve"> </v>
      </c>
      <c r="C48" s="907"/>
      <c r="D48" s="907"/>
      <c r="F48" s="907" t="str">
        <f>+'141D'!E44</f>
        <v xml:space="preserve"> </v>
      </c>
      <c r="G48" s="907"/>
      <c r="H48" s="907"/>
    </row>
    <row r="49" spans="2:8">
      <c r="B49" s="906" t="str">
        <f>+'141D'!A45</f>
        <v xml:space="preserve"> 
 </v>
      </c>
      <c r="C49" s="906"/>
      <c r="D49" s="906"/>
      <c r="F49" s="906" t="str">
        <f>+'141D'!E45</f>
        <v xml:space="preserve"> 
 </v>
      </c>
      <c r="G49" s="906"/>
      <c r="H49" s="906"/>
    </row>
    <row r="50" spans="2:8">
      <c r="B50" s="906"/>
      <c r="C50" s="906"/>
      <c r="D50" s="906"/>
      <c r="F50" s="906"/>
      <c r="G50" s="906"/>
      <c r="H50" s="906"/>
    </row>
    <row r="51" spans="2:8">
      <c r="B51" s="906"/>
      <c r="C51" s="906"/>
      <c r="D51" s="906"/>
      <c r="F51" s="906"/>
      <c r="G51" s="906"/>
      <c r="H51" s="906"/>
    </row>
    <row r="52" spans="2:8">
      <c r="B52" s="906"/>
      <c r="C52" s="906"/>
      <c r="D52" s="906"/>
      <c r="F52" s="906"/>
      <c r="G52" s="906"/>
      <c r="H52" s="906"/>
    </row>
    <row r="53" spans="2:8">
      <c r="B53" s="906"/>
      <c r="C53" s="906"/>
      <c r="D53" s="906"/>
      <c r="F53" s="906"/>
      <c r="G53" s="906"/>
      <c r="H53" s="906"/>
    </row>
  </sheetData>
  <mergeCells count="16">
    <mergeCell ref="A1:K1"/>
    <mergeCell ref="B29:D33"/>
    <mergeCell ref="F29:H33"/>
    <mergeCell ref="B49:D53"/>
    <mergeCell ref="F49:H53"/>
    <mergeCell ref="A2:K2"/>
    <mergeCell ref="A3:K3"/>
    <mergeCell ref="A5:K6"/>
    <mergeCell ref="B14:K17"/>
    <mergeCell ref="B19:K22"/>
    <mergeCell ref="B38:D38"/>
    <mergeCell ref="F38:H38"/>
    <mergeCell ref="B39:D43"/>
    <mergeCell ref="F39:H43"/>
    <mergeCell ref="B48:D48"/>
    <mergeCell ref="F48:H48"/>
  </mergeCells>
  <phoneticPr fontId="13" type="noConversion"/>
  <pageMargins left="0.7" right="0.7" top="0.75" bottom="0.75" header="0.3" footer="0.3"/>
  <pageSetup paperSize="9" scale="88"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K55"/>
  <sheetViews>
    <sheetView workbookViewId="0">
      <selection activeCell="L31" sqref="L31"/>
    </sheetView>
  </sheetViews>
  <sheetFormatPr defaultColWidth="9" defaultRowHeight="15.75"/>
  <cols>
    <col min="1" max="16384" width="9" style="1" collapsed="1"/>
  </cols>
  <sheetData>
    <row r="1" spans="1:11">
      <c r="H1" s="558" t="s">
        <v>1422</v>
      </c>
      <c r="I1" s="1064"/>
      <c r="J1" s="1064"/>
      <c r="K1" s="1064"/>
    </row>
    <row r="3" spans="1:11">
      <c r="A3" s="1065" t="s">
        <v>1423</v>
      </c>
      <c r="B3" s="1065"/>
      <c r="C3" s="1065"/>
      <c r="D3" s="1065"/>
      <c r="E3" s="1065"/>
      <c r="F3" s="1065"/>
      <c r="G3" s="1065"/>
      <c r="H3" s="1065"/>
      <c r="I3" s="1065"/>
      <c r="J3" s="1065"/>
      <c r="K3" s="1065"/>
    </row>
    <row r="4" spans="1:11">
      <c r="A4" s="1062" t="s">
        <v>1424</v>
      </c>
      <c r="B4" s="1062"/>
      <c r="C4" s="1062"/>
      <c r="D4" s="1062"/>
      <c r="E4" s="1062"/>
      <c r="F4" s="1062"/>
      <c r="G4" s="1062"/>
      <c r="H4" s="1062"/>
      <c r="I4" s="1062"/>
      <c r="J4" s="1062"/>
      <c r="K4" s="1062"/>
    </row>
    <row r="5" spans="1:11">
      <c r="A5" s="557"/>
      <c r="B5" s="557"/>
      <c r="C5" s="557"/>
      <c r="D5" s="557"/>
      <c r="E5" s="557"/>
      <c r="F5" s="557"/>
      <c r="G5" s="557"/>
      <c r="H5" s="557"/>
      <c r="I5" s="557"/>
      <c r="J5" s="557"/>
      <c r="K5" s="557"/>
    </row>
    <row r="6" spans="1:11">
      <c r="A6" s="1062" t="s">
        <v>1418</v>
      </c>
      <c r="B6" s="1062"/>
      <c r="C6" s="1062"/>
      <c r="D6" s="1062"/>
      <c r="E6" s="1062"/>
      <c r="F6" s="1062"/>
      <c r="G6" s="1062"/>
      <c r="H6" s="1062"/>
      <c r="I6" s="1062"/>
      <c r="J6" s="1062"/>
      <c r="K6" s="1062"/>
    </row>
    <row r="7" spans="1:11">
      <c r="A7" s="1062" t="s">
        <v>1425</v>
      </c>
      <c r="B7" s="1062"/>
      <c r="C7" s="1062"/>
      <c r="D7" s="1062"/>
      <c r="E7" s="1062"/>
      <c r="F7" s="1062"/>
      <c r="G7" s="1062"/>
      <c r="H7" s="1062"/>
      <c r="I7" s="1062"/>
      <c r="J7" s="1062"/>
      <c r="K7" s="1062"/>
    </row>
    <row r="8" spans="1:11">
      <c r="A8" s="1060" t="str">
        <f>+Control!D2</f>
        <v>MIC INCORPORATION LIMITED </v>
      </c>
      <c r="B8" s="1060"/>
      <c r="C8" s="1060"/>
      <c r="D8" s="1060"/>
      <c r="E8" s="1060"/>
      <c r="F8" s="1060"/>
      <c r="G8" s="1060"/>
      <c r="H8" s="1060"/>
      <c r="I8" s="1060"/>
      <c r="J8" s="1060"/>
      <c r="K8" s="1060"/>
    </row>
    <row r="9" spans="1:11" s="130" customFormat="1">
      <c r="A9" s="557"/>
      <c r="B9" s="557"/>
      <c r="C9" s="557"/>
      <c r="D9" s="557"/>
      <c r="E9" s="559"/>
      <c r="F9" s="559"/>
      <c r="G9" s="559"/>
      <c r="H9" s="557"/>
      <c r="I9" s="557"/>
      <c r="J9" s="557"/>
      <c r="K9" s="557"/>
    </row>
    <row r="10" spans="1:11" s="130" customFormat="1">
      <c r="A10" s="557"/>
      <c r="B10" s="557"/>
      <c r="C10" s="557"/>
      <c r="D10" s="557"/>
      <c r="E10" s="557"/>
      <c r="F10" s="557"/>
      <c r="G10" s="557"/>
      <c r="H10" s="557"/>
      <c r="I10" s="557"/>
      <c r="J10" s="557"/>
      <c r="K10" s="557"/>
    </row>
    <row r="11" spans="1:11">
      <c r="A11" s="1062" t="s">
        <v>1426</v>
      </c>
      <c r="B11" s="1062"/>
      <c r="C11" s="1062"/>
      <c r="D11" s="1062"/>
      <c r="E11" s="1062"/>
      <c r="F11" s="1062"/>
      <c r="G11" s="1062"/>
      <c r="H11" s="1062"/>
      <c r="I11" s="1062"/>
      <c r="J11" s="1062"/>
      <c r="K11" s="1062"/>
    </row>
    <row r="12" spans="1:11">
      <c r="A12" s="560"/>
      <c r="B12" s="560"/>
      <c r="C12" s="560"/>
      <c r="D12" s="560"/>
      <c r="E12" s="559"/>
      <c r="F12" s="559"/>
      <c r="G12" s="559"/>
      <c r="H12" s="560"/>
      <c r="I12" s="560"/>
      <c r="J12" s="560"/>
      <c r="K12" s="560"/>
    </row>
    <row r="13" spans="1:11">
      <c r="E13" s="557"/>
      <c r="F13" s="557"/>
      <c r="G13" s="557"/>
    </row>
    <row r="14" spans="1:11">
      <c r="A14" s="1063" t="s">
        <v>1427</v>
      </c>
      <c r="B14" s="1063"/>
      <c r="C14" s="1063"/>
      <c r="D14" s="1063"/>
      <c r="E14" s="1063"/>
      <c r="F14" s="1063"/>
      <c r="G14" s="1063"/>
      <c r="H14" s="1063"/>
      <c r="I14" s="1063"/>
      <c r="J14" s="1063"/>
      <c r="K14" s="1063"/>
    </row>
    <row r="15" spans="1:11">
      <c r="A15" s="1063"/>
      <c r="B15" s="1063"/>
      <c r="C15" s="1063"/>
      <c r="D15" s="1063"/>
      <c r="E15" s="1063"/>
      <c r="F15" s="1063"/>
      <c r="G15" s="1063"/>
      <c r="H15" s="1063"/>
      <c r="I15" s="1063"/>
      <c r="J15" s="1063"/>
      <c r="K15" s="1063"/>
    </row>
    <row r="18" spans="1:11">
      <c r="A18" s="129" t="s">
        <v>1388</v>
      </c>
      <c r="B18" s="1059" t="s">
        <v>1419</v>
      </c>
      <c r="C18" s="1059"/>
      <c r="D18" s="1059"/>
      <c r="E18" s="1059"/>
      <c r="F18" s="1059"/>
      <c r="G18" s="1059"/>
      <c r="H18" s="1059"/>
      <c r="I18" s="1059"/>
      <c r="J18" s="1059"/>
      <c r="K18" s="1059"/>
    </row>
    <row r="19" spans="1:11">
      <c r="A19" s="129"/>
      <c r="B19" s="1059"/>
      <c r="C19" s="1059"/>
      <c r="D19" s="1059"/>
      <c r="E19" s="1059"/>
      <c r="F19" s="1059"/>
      <c r="G19" s="1059"/>
      <c r="H19" s="1059"/>
      <c r="I19" s="1059"/>
      <c r="J19" s="1059"/>
      <c r="K19" s="1059"/>
    </row>
    <row r="20" spans="1:11">
      <c r="A20" s="129"/>
      <c r="B20" s="1059"/>
      <c r="C20" s="1059"/>
      <c r="D20" s="1059"/>
      <c r="E20" s="1059"/>
      <c r="F20" s="1059"/>
      <c r="G20" s="1059"/>
      <c r="H20" s="1059"/>
      <c r="I20" s="1059"/>
      <c r="J20" s="1059"/>
      <c r="K20" s="1059"/>
    </row>
    <row r="21" spans="1:11">
      <c r="A21" s="129"/>
      <c r="B21" s="1059"/>
      <c r="C21" s="1059"/>
      <c r="D21" s="1059"/>
      <c r="E21" s="1059"/>
      <c r="F21" s="1059"/>
      <c r="G21" s="1059"/>
      <c r="H21" s="1059"/>
      <c r="I21" s="1059"/>
      <c r="J21" s="1059"/>
      <c r="K21" s="1059"/>
    </row>
    <row r="23" spans="1:11" ht="15.75" customHeight="1">
      <c r="A23" s="129" t="s">
        <v>1390</v>
      </c>
      <c r="B23" s="1059" t="s">
        <v>1421</v>
      </c>
      <c r="C23" s="1059"/>
      <c r="D23" s="1059"/>
      <c r="E23" s="1059"/>
      <c r="F23" s="1059"/>
      <c r="G23" s="1059"/>
      <c r="H23" s="1059"/>
      <c r="I23" s="1059"/>
      <c r="J23" s="1059"/>
      <c r="K23" s="1059"/>
    </row>
    <row r="24" spans="1:11">
      <c r="A24" s="129"/>
      <c r="B24" s="1059"/>
      <c r="C24" s="1059"/>
      <c r="D24" s="1059"/>
      <c r="E24" s="1059"/>
      <c r="F24" s="1059"/>
      <c r="G24" s="1059"/>
      <c r="H24" s="1059"/>
      <c r="I24" s="1059"/>
      <c r="J24" s="1059"/>
      <c r="K24" s="1059"/>
    </row>
    <row r="25" spans="1:11">
      <c r="B25" s="1059"/>
      <c r="C25" s="1059"/>
      <c r="D25" s="1059"/>
      <c r="E25" s="1059"/>
      <c r="F25" s="1059"/>
      <c r="G25" s="1059"/>
      <c r="H25" s="1059"/>
      <c r="I25" s="1059"/>
      <c r="J25" s="1059"/>
      <c r="K25" s="1059"/>
    </row>
    <row r="26" spans="1:11">
      <c r="B26" s="1059"/>
      <c r="C26" s="1059"/>
      <c r="D26" s="1059"/>
      <c r="E26" s="1059"/>
      <c r="F26" s="1059"/>
      <c r="G26" s="1059"/>
      <c r="H26" s="1059"/>
      <c r="I26" s="1059"/>
      <c r="J26" s="1059"/>
      <c r="K26" s="1059"/>
    </row>
    <row r="27" spans="1:11">
      <c r="B27" s="553"/>
      <c r="C27" s="553"/>
      <c r="D27" s="553"/>
      <c r="E27" s="553"/>
      <c r="F27" s="553"/>
      <c r="G27" s="553"/>
      <c r="H27" s="553"/>
      <c r="I27" s="553"/>
      <c r="J27" s="553"/>
      <c r="K27" s="553"/>
    </row>
    <row r="30" spans="1:11">
      <c r="B30" s="157" t="str">
        <f>+'141D'!A24</f>
        <v>__________________________</v>
      </c>
      <c r="C30" s="157"/>
      <c r="D30" s="157"/>
      <c r="F30" s="157" t="str">
        <f>+'141D'!E24</f>
        <v xml:space="preserve"> </v>
      </c>
      <c r="G30" s="157"/>
      <c r="H30" s="157"/>
    </row>
    <row r="31" spans="1:11">
      <c r="B31" s="906" t="str">
        <f>+'141D'!A25</f>
        <v>Zhou Qianwei
Shareholder</v>
      </c>
      <c r="C31" s="906"/>
      <c r="D31" s="906"/>
      <c r="F31" s="906" t="str">
        <f>+'141D'!E25</f>
        <v xml:space="preserve"> 
 </v>
      </c>
      <c r="G31" s="906"/>
      <c r="H31" s="906"/>
    </row>
    <row r="32" spans="1:11">
      <c r="B32" s="906"/>
      <c r="C32" s="906"/>
      <c r="D32" s="906"/>
      <c r="F32" s="906"/>
      <c r="G32" s="906"/>
      <c r="H32" s="906"/>
    </row>
    <row r="33" spans="2:8">
      <c r="B33" s="906"/>
      <c r="C33" s="906"/>
      <c r="D33" s="906"/>
      <c r="F33" s="906"/>
      <c r="G33" s="906"/>
      <c r="H33" s="906"/>
    </row>
    <row r="34" spans="2:8">
      <c r="B34" s="906"/>
      <c r="C34" s="906"/>
      <c r="D34" s="906"/>
      <c r="F34" s="906"/>
      <c r="G34" s="906"/>
      <c r="H34" s="906"/>
    </row>
    <row r="35" spans="2:8">
      <c r="B35" s="906"/>
      <c r="C35" s="906"/>
      <c r="D35" s="906"/>
      <c r="F35" s="906"/>
      <c r="G35" s="906"/>
      <c r="H35" s="906"/>
    </row>
    <row r="39" spans="2:8">
      <c r="B39" s="157"/>
      <c r="C39" s="157"/>
      <c r="D39" s="157"/>
      <c r="E39" s="157"/>
      <c r="F39" s="157"/>
      <c r="G39" s="157"/>
      <c r="H39" s="157"/>
    </row>
    <row r="40" spans="2:8">
      <c r="B40" s="907" t="str">
        <f>+'141D'!A34</f>
        <v xml:space="preserve"> </v>
      </c>
      <c r="C40" s="907"/>
      <c r="D40" s="907"/>
      <c r="F40" s="907" t="str">
        <f>+'141D'!E34</f>
        <v xml:space="preserve"> </v>
      </c>
      <c r="G40" s="907"/>
      <c r="H40" s="907"/>
    </row>
    <row r="41" spans="2:8">
      <c r="B41" s="906" t="str">
        <f>+'141D'!A35</f>
        <v xml:space="preserve"> 
 </v>
      </c>
      <c r="C41" s="906"/>
      <c r="D41" s="906"/>
      <c r="F41" s="906" t="str">
        <f>+'141D'!E35</f>
        <v xml:space="preserve"> 
 </v>
      </c>
      <c r="G41" s="906"/>
      <c r="H41" s="906"/>
    </row>
    <row r="42" spans="2:8">
      <c r="B42" s="906"/>
      <c r="C42" s="906"/>
      <c r="D42" s="906"/>
      <c r="F42" s="906"/>
      <c r="G42" s="906"/>
      <c r="H42" s="906"/>
    </row>
    <row r="43" spans="2:8">
      <c r="B43" s="906"/>
      <c r="C43" s="906"/>
      <c r="D43" s="906"/>
      <c r="F43" s="906"/>
      <c r="G43" s="906"/>
      <c r="H43" s="906"/>
    </row>
    <row r="44" spans="2:8">
      <c r="B44" s="906"/>
      <c r="C44" s="906"/>
      <c r="D44" s="906"/>
      <c r="F44" s="906"/>
      <c r="G44" s="906"/>
      <c r="H44" s="906"/>
    </row>
    <row r="45" spans="2:8">
      <c r="B45" s="906"/>
      <c r="C45" s="906"/>
      <c r="D45" s="906"/>
      <c r="F45" s="906"/>
      <c r="G45" s="906"/>
      <c r="H45" s="906"/>
    </row>
    <row r="46" spans="2:8">
      <c r="B46" s="552"/>
      <c r="C46" s="552"/>
      <c r="D46" s="552"/>
    </row>
    <row r="47" spans="2:8">
      <c r="B47" s="552"/>
      <c r="C47" s="552"/>
      <c r="D47" s="552"/>
    </row>
    <row r="50" spans="2:8">
      <c r="B50" s="907" t="str">
        <f>+'141D'!A44</f>
        <v xml:space="preserve"> </v>
      </c>
      <c r="C50" s="907"/>
      <c r="D50" s="907"/>
      <c r="F50" s="907" t="str">
        <f>+'141D'!E44</f>
        <v xml:space="preserve"> </v>
      </c>
      <c r="G50" s="907"/>
      <c r="H50" s="907"/>
    </row>
    <row r="51" spans="2:8">
      <c r="B51" s="906" t="str">
        <f>+'141D'!A45</f>
        <v xml:space="preserve"> 
 </v>
      </c>
      <c r="C51" s="906"/>
      <c r="D51" s="906"/>
      <c r="F51" s="906" t="str">
        <f>+'141D'!E45</f>
        <v xml:space="preserve"> 
 </v>
      </c>
      <c r="G51" s="906"/>
      <c r="H51" s="906"/>
    </row>
    <row r="52" spans="2:8">
      <c r="B52" s="906"/>
      <c r="C52" s="906"/>
      <c r="D52" s="906"/>
      <c r="F52" s="906"/>
      <c r="G52" s="906"/>
      <c r="H52" s="906"/>
    </row>
    <row r="53" spans="2:8">
      <c r="B53" s="906"/>
      <c r="C53" s="906"/>
      <c r="D53" s="906"/>
      <c r="F53" s="906"/>
      <c r="G53" s="906"/>
      <c r="H53" s="906"/>
    </row>
    <row r="54" spans="2:8">
      <c r="B54" s="906"/>
      <c r="C54" s="906"/>
      <c r="D54" s="906"/>
      <c r="F54" s="906"/>
      <c r="G54" s="906"/>
      <c r="H54" s="906"/>
    </row>
    <row r="55" spans="2:8">
      <c r="B55" s="906"/>
      <c r="C55" s="906"/>
      <c r="D55" s="906"/>
      <c r="F55" s="906"/>
      <c r="G55" s="906"/>
      <c r="H55" s="906"/>
    </row>
  </sheetData>
  <mergeCells count="20">
    <mergeCell ref="B18:K21"/>
    <mergeCell ref="B23:K26"/>
    <mergeCell ref="B50:D50"/>
    <mergeCell ref="F50:H50"/>
    <mergeCell ref="B51:D55"/>
    <mergeCell ref="F51:H55"/>
    <mergeCell ref="B31:D35"/>
    <mergeCell ref="F31:H35"/>
    <mergeCell ref="B40:D40"/>
    <mergeCell ref="F40:H40"/>
    <mergeCell ref="B41:D45"/>
    <mergeCell ref="F41:H45"/>
    <mergeCell ref="A8:K8"/>
    <mergeCell ref="A11:K11"/>
    <mergeCell ref="A14:K15"/>
    <mergeCell ref="I1:K1"/>
    <mergeCell ref="A3:K3"/>
    <mergeCell ref="A4:K4"/>
    <mergeCell ref="A6:K6"/>
    <mergeCell ref="A7:K7"/>
  </mergeCells>
  <phoneticPr fontId="13" type="noConversion"/>
  <pageMargins left="0.7" right="0.7" top="0.75" bottom="0.75" header="0.3" footer="0.3"/>
  <pageSetup paperSize="9" scale="88"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4">
    <tabColor rgb="FFFFFF00"/>
    <pageSetUpPr fitToPage="1"/>
  </sheetPr>
  <dimension ref="A1:X29"/>
  <sheetViews>
    <sheetView workbookViewId="0">
      <selection activeCell="M1" sqref="M1:X1048576"/>
    </sheetView>
  </sheetViews>
  <sheetFormatPr defaultColWidth="9" defaultRowHeight="15"/>
  <cols>
    <col min="1" max="2" width="3.125" style="273" customWidth="1" collapsed="1"/>
    <col min="3" max="3" width="4.125" style="273" customWidth="1" collapsed="1"/>
    <col min="4" max="4" width="10.875" style="275" customWidth="1" collapsed="1"/>
    <col min="5" max="6" width="9" style="275" collapsed="1"/>
    <col min="7" max="7" width="12.5" style="275" customWidth="1" collapsed="1"/>
    <col min="8" max="8" width="14.5" style="275" customWidth="1" collapsed="1"/>
    <col min="9" max="9" width="7" style="275" customWidth="1" collapsed="1"/>
    <col min="10" max="10" width="6.25" style="275" customWidth="1" collapsed="1"/>
    <col min="11" max="11" width="9" style="275" collapsed="1"/>
    <col min="12" max="12" width="5.125" style="275" customWidth="1" collapsed="1"/>
    <col min="13" max="14" width="16.125" style="742" bestFit="1" customWidth="1" collapsed="1"/>
    <col min="15" max="15" width="9" style="742" collapsed="1"/>
    <col min="16" max="16" width="12.5" style="742" bestFit="1" customWidth="1" collapsed="1"/>
    <col min="17" max="24" width="9" style="742" collapsed="1"/>
    <col min="25" max="16384" width="9" style="275" collapsed="1"/>
  </cols>
  <sheetData>
    <row r="1" spans="1:12" ht="22.5">
      <c r="A1" s="563"/>
      <c r="B1" s="1066" t="s">
        <v>1440</v>
      </c>
      <c r="C1" s="1066"/>
      <c r="D1" s="1066"/>
      <c r="E1" s="1066"/>
      <c r="F1" s="1066"/>
      <c r="G1" s="1066"/>
      <c r="H1" s="1066"/>
      <c r="I1" s="1066"/>
      <c r="J1" s="1066"/>
      <c r="K1" s="1066"/>
      <c r="L1" s="563"/>
    </row>
    <row r="2" spans="1:12" ht="22.5">
      <c r="A2" s="563"/>
      <c r="B2" s="1066" t="s">
        <v>1441</v>
      </c>
      <c r="C2" s="1066"/>
      <c r="D2" s="1066"/>
      <c r="E2" s="1066"/>
      <c r="F2" s="1066"/>
      <c r="G2" s="1066"/>
      <c r="H2" s="1066"/>
      <c r="I2" s="1066"/>
      <c r="J2" s="1066"/>
      <c r="K2" s="1066"/>
      <c r="L2" s="563"/>
    </row>
    <row r="4" spans="1:12">
      <c r="A4" s="564"/>
    </row>
    <row r="5" spans="1:12" ht="15.75">
      <c r="A5" s="274"/>
      <c r="B5" s="274" t="s">
        <v>1442</v>
      </c>
      <c r="C5" s="274"/>
      <c r="D5" s="130"/>
      <c r="E5" s="130"/>
      <c r="F5" s="130"/>
      <c r="G5" s="130"/>
      <c r="H5" s="130"/>
      <c r="I5" s="130"/>
      <c r="J5" s="130"/>
      <c r="K5" s="130"/>
      <c r="L5" s="130"/>
    </row>
    <row r="6" spans="1:12" ht="15.75">
      <c r="A6" s="274"/>
      <c r="B6" s="274" t="s">
        <v>1440</v>
      </c>
      <c r="C6" s="274"/>
      <c r="D6" s="130"/>
      <c r="E6" s="130"/>
      <c r="F6" s="130"/>
      <c r="G6" s="130"/>
      <c r="H6" s="130"/>
      <c r="I6" s="130"/>
      <c r="J6" s="130"/>
      <c r="K6" s="130"/>
      <c r="L6" s="130"/>
    </row>
    <row r="7" spans="1:12" ht="15.75">
      <c r="A7" s="274"/>
      <c r="B7" s="274" t="s">
        <v>1443</v>
      </c>
      <c r="C7" s="274"/>
      <c r="D7" s="130"/>
      <c r="E7" s="130"/>
      <c r="F7" s="130"/>
      <c r="G7" s="130"/>
      <c r="H7" s="130"/>
      <c r="I7" s="130"/>
      <c r="J7" s="130"/>
      <c r="K7" s="130"/>
      <c r="L7" s="130"/>
    </row>
    <row r="8" spans="1:12" ht="23.45" customHeight="1">
      <c r="A8" s="274"/>
      <c r="B8" s="274" t="s">
        <v>1444</v>
      </c>
      <c r="C8" s="274"/>
      <c r="D8" s="130"/>
      <c r="E8" s="130"/>
      <c r="F8" s="130"/>
      <c r="G8" s="130"/>
      <c r="H8" s="130"/>
      <c r="I8" s="130"/>
      <c r="J8" s="130"/>
      <c r="K8" s="130"/>
      <c r="L8" s="130"/>
    </row>
    <row r="9" spans="1:12" ht="15.75">
      <c r="A9" s="274"/>
      <c r="B9" s="274"/>
      <c r="C9" s="274"/>
      <c r="D9" s="130"/>
      <c r="E9" s="130"/>
      <c r="F9" s="130"/>
      <c r="G9" s="130"/>
      <c r="H9" s="130"/>
      <c r="I9" s="130"/>
      <c r="J9" s="130"/>
      <c r="K9" s="130"/>
      <c r="L9" s="130"/>
    </row>
    <row r="10" spans="1:12" ht="15.75">
      <c r="A10" s="274"/>
      <c r="B10" s="274" t="s">
        <v>1445</v>
      </c>
      <c r="C10" s="274"/>
      <c r="D10" s="130"/>
      <c r="E10" s="130"/>
      <c r="F10" s="130"/>
      <c r="G10" s="130"/>
      <c r="H10" s="130"/>
      <c r="I10" s="130"/>
      <c r="J10" s="130"/>
      <c r="K10" s="130"/>
      <c r="L10" s="130"/>
    </row>
    <row r="11" spans="1:12" ht="15.75">
      <c r="A11" s="274"/>
      <c r="B11" s="274"/>
      <c r="C11" s="274"/>
      <c r="D11" s="130"/>
      <c r="E11" s="130"/>
      <c r="F11" s="130"/>
      <c r="G11" s="130"/>
      <c r="H11" s="130"/>
      <c r="I11" s="130"/>
      <c r="J11" s="130"/>
      <c r="K11" s="130"/>
      <c r="L11" s="130"/>
    </row>
    <row r="12" spans="1:12" ht="15.75">
      <c r="A12" s="274"/>
      <c r="B12" s="274" t="s">
        <v>1446</v>
      </c>
      <c r="C12" s="274"/>
      <c r="D12" s="130"/>
      <c r="E12" s="130"/>
      <c r="F12" s="130"/>
      <c r="G12" s="130"/>
      <c r="H12" s="130"/>
      <c r="I12" s="130"/>
      <c r="J12" s="130"/>
      <c r="K12" s="130"/>
      <c r="L12" s="130"/>
    </row>
    <row r="13" spans="1:12" ht="15.75">
      <c r="A13" s="274"/>
      <c r="B13" s="274"/>
      <c r="C13" s="274"/>
      <c r="D13" s="130"/>
      <c r="E13" s="130"/>
      <c r="F13" s="130"/>
      <c r="G13" s="130"/>
      <c r="H13" s="130"/>
      <c r="I13" s="130"/>
      <c r="J13" s="130"/>
      <c r="K13" s="130"/>
      <c r="L13" s="130"/>
    </row>
    <row r="14" spans="1:12" ht="15.75">
      <c r="A14" s="274"/>
      <c r="B14" s="274" t="s">
        <v>382</v>
      </c>
      <c r="C14" s="274"/>
      <c r="D14" s="130"/>
      <c r="E14" s="130"/>
      <c r="F14" s="130"/>
      <c r="G14" s="130"/>
      <c r="H14" s="130"/>
      <c r="I14" s="130"/>
      <c r="J14" s="130"/>
      <c r="K14" s="130"/>
      <c r="L14" s="130"/>
    </row>
    <row r="15" spans="1:12" ht="15.75">
      <c r="A15" s="274"/>
      <c r="B15" s="274"/>
      <c r="C15" s="274"/>
      <c r="D15" s="130"/>
      <c r="E15" s="130"/>
      <c r="F15" s="130"/>
      <c r="G15" s="130"/>
      <c r="H15" s="130"/>
      <c r="I15" s="130"/>
      <c r="J15" s="130"/>
      <c r="K15" s="130"/>
      <c r="L15" s="130"/>
    </row>
    <row r="16" spans="1:12" ht="15.75">
      <c r="A16" s="274"/>
      <c r="B16" s="565" t="s">
        <v>1447</v>
      </c>
      <c r="C16" s="274"/>
      <c r="D16" s="130"/>
      <c r="E16" s="130"/>
      <c r="F16" s="130"/>
      <c r="G16" s="130"/>
      <c r="H16" s="130"/>
      <c r="I16" s="130"/>
      <c r="J16" s="130"/>
      <c r="K16" s="130"/>
      <c r="L16" s="130"/>
    </row>
    <row r="17" spans="1:19" ht="15.75">
      <c r="A17" s="274"/>
      <c r="B17" s="274"/>
      <c r="C17" s="274"/>
      <c r="D17" s="130"/>
      <c r="E17" s="130"/>
      <c r="F17" s="130"/>
      <c r="G17" s="130"/>
      <c r="H17" s="130"/>
      <c r="I17" s="130"/>
      <c r="J17" s="130"/>
      <c r="K17" s="130"/>
      <c r="L17" s="130"/>
    </row>
    <row r="18" spans="1:19" ht="15.6" customHeight="1">
      <c r="A18" s="274"/>
      <c r="B18" s="1058" t="s">
        <v>1448</v>
      </c>
      <c r="C18" s="1058"/>
      <c r="D18" s="1058"/>
      <c r="E18" s="1058"/>
      <c r="F18" s="1058"/>
      <c r="G18" s="1058"/>
      <c r="H18" s="1058"/>
      <c r="I18" s="1058"/>
      <c r="J18" s="1058"/>
      <c r="K18" s="1058"/>
      <c r="L18" s="427"/>
      <c r="M18" s="742" t="s">
        <v>1449</v>
      </c>
      <c r="N18" s="742" t="s">
        <v>1447</v>
      </c>
      <c r="O18" s="742" t="s">
        <v>1450</v>
      </c>
      <c r="P18" s="742" t="s">
        <v>1451</v>
      </c>
      <c r="Q18" s="742" t="s">
        <v>1452</v>
      </c>
      <c r="R18" s="742" t="s">
        <v>1453</v>
      </c>
      <c r="S18" s="742" t="s">
        <v>1454</v>
      </c>
    </row>
    <row r="19" spans="1:19" ht="45" customHeight="1">
      <c r="A19" s="274"/>
      <c r="B19" s="1058"/>
      <c r="C19" s="1058"/>
      <c r="D19" s="1058"/>
      <c r="E19" s="1058"/>
      <c r="F19" s="1058"/>
      <c r="G19" s="1058"/>
      <c r="H19" s="1058"/>
      <c r="I19" s="1058"/>
      <c r="J19" s="1058"/>
      <c r="K19" s="1058"/>
      <c r="L19" s="427"/>
    </row>
    <row r="20" spans="1:19" ht="15.75">
      <c r="A20" s="274"/>
      <c r="B20" s="274"/>
      <c r="C20" s="274"/>
      <c r="D20" s="130"/>
      <c r="E20" s="130"/>
      <c r="F20" s="130"/>
      <c r="G20" s="130"/>
      <c r="H20" s="130"/>
      <c r="I20" s="130"/>
      <c r="J20" s="130"/>
      <c r="K20" s="130"/>
      <c r="L20" s="130"/>
    </row>
    <row r="21" spans="1:19" ht="15.75">
      <c r="A21" s="274"/>
      <c r="B21" s="274"/>
      <c r="C21" s="274"/>
      <c r="D21" s="130"/>
      <c r="E21" s="130"/>
      <c r="F21" s="130"/>
      <c r="G21" s="130"/>
      <c r="H21" s="130"/>
      <c r="I21" s="130"/>
      <c r="J21" s="130"/>
      <c r="K21" s="130"/>
      <c r="L21" s="130"/>
    </row>
    <row r="22" spans="1:19" ht="15.75">
      <c r="A22" s="274"/>
      <c r="B22" s="274"/>
      <c r="C22" s="274"/>
      <c r="D22" s="130"/>
      <c r="E22" s="130"/>
      <c r="F22" s="130"/>
      <c r="G22" s="130"/>
      <c r="H22" s="130"/>
      <c r="I22" s="130"/>
      <c r="J22" s="130"/>
      <c r="K22" s="130"/>
      <c r="L22" s="130"/>
    </row>
    <row r="23" spans="1:19" ht="15.75">
      <c r="A23" s="274"/>
      <c r="B23" s="274"/>
      <c r="C23" s="274"/>
      <c r="D23" s="130"/>
      <c r="E23" s="130"/>
      <c r="F23" s="130"/>
      <c r="G23" s="130"/>
      <c r="H23" s="130"/>
      <c r="I23" s="130"/>
      <c r="J23" s="130"/>
      <c r="K23" s="130"/>
      <c r="L23" s="130"/>
    </row>
    <row r="24" spans="1:19" ht="15.75">
      <c r="A24" s="274"/>
      <c r="B24" s="566"/>
      <c r="C24" s="566"/>
      <c r="D24" s="556"/>
      <c r="E24" s="556"/>
      <c r="F24" s="130"/>
      <c r="G24" s="130"/>
      <c r="H24" s="556"/>
      <c r="I24" s="556"/>
      <c r="J24" s="556"/>
      <c r="K24" s="130"/>
      <c r="L24" s="130"/>
      <c r="M24" s="743"/>
    </row>
    <row r="25" spans="1:19" ht="15.75">
      <c r="A25" s="274"/>
      <c r="B25" s="274" t="s">
        <v>81</v>
      </c>
      <c r="C25" s="274"/>
      <c r="D25" s="130"/>
      <c r="E25" s="130"/>
      <c r="F25" s="130"/>
      <c r="G25" s="130"/>
      <c r="H25" s="274" t="s">
        <v>1455</v>
      </c>
      <c r="I25" s="130"/>
      <c r="J25" s="130"/>
      <c r="K25" s="130"/>
      <c r="L25" s="130"/>
      <c r="M25" s="743"/>
    </row>
    <row r="26" spans="1:19" ht="15.75">
      <c r="A26" s="274"/>
      <c r="B26" s="274" t="s">
        <v>1456</v>
      </c>
      <c r="C26" s="274"/>
      <c r="D26" s="130"/>
      <c r="E26" s="130"/>
      <c r="F26" s="130"/>
      <c r="G26" s="130"/>
      <c r="H26" s="274" t="s">
        <v>1457</v>
      </c>
      <c r="I26" s="130"/>
      <c r="J26" s="130"/>
      <c r="K26" s="130"/>
      <c r="L26" s="130"/>
    </row>
    <row r="27" spans="1:19" ht="15.75">
      <c r="A27" s="274"/>
      <c r="B27" s="274"/>
      <c r="C27" s="274"/>
      <c r="D27" s="130"/>
      <c r="E27" s="130"/>
      <c r="F27" s="130"/>
      <c r="G27" s="130"/>
      <c r="H27" s="130"/>
      <c r="I27" s="130"/>
      <c r="J27" s="130"/>
      <c r="K27" s="130"/>
      <c r="L27" s="130"/>
    </row>
    <row r="28" spans="1:19" ht="15.75">
      <c r="A28" s="274"/>
      <c r="B28" s="274"/>
      <c r="C28" s="274"/>
      <c r="D28" s="130"/>
      <c r="E28" s="130"/>
      <c r="F28" s="130"/>
      <c r="G28" s="130"/>
      <c r="H28" s="130"/>
      <c r="I28" s="130"/>
      <c r="J28" s="130"/>
      <c r="K28" s="130"/>
      <c r="L28" s="130"/>
    </row>
    <row r="29" spans="1:19" ht="15.75">
      <c r="A29" s="274"/>
      <c r="B29" s="274"/>
      <c r="C29" s="274"/>
      <c r="D29" s="130"/>
      <c r="E29" s="130"/>
      <c r="F29" s="130"/>
      <c r="G29" s="130"/>
      <c r="H29" s="130"/>
      <c r="I29" s="130"/>
      <c r="J29" s="130"/>
      <c r="K29" s="130"/>
      <c r="L29" s="130"/>
    </row>
  </sheetData>
  <mergeCells count="3">
    <mergeCell ref="B1:K1"/>
    <mergeCell ref="B2:K2"/>
    <mergeCell ref="B18:K19"/>
  </mergeCells>
  <phoneticPr fontId="13" type="noConversion"/>
  <pageMargins left="0.51181102362204722" right="0.31496062992125984" top="0.74803149606299213" bottom="0.31496062992125984" header="0.31496062992125984" footer="0.31496062992125984"/>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1">
    <tabColor theme="4" tint="0.39997558519241921"/>
  </sheetPr>
  <dimension ref="A1:IW564"/>
  <sheetViews>
    <sheetView zoomScale="85" zoomScaleNormal="85" workbookViewId="0">
      <selection activeCell="S12" sqref="S12"/>
    </sheetView>
  </sheetViews>
  <sheetFormatPr defaultRowHeight="15.75"/>
  <cols>
    <col min="1" max="1" width="4" customWidth="1" collapsed="1"/>
    <col min="2" max="2" width="13.375" customWidth="1" collapsed="1"/>
    <col min="4" max="4" width="11.875" customWidth="1" collapsed="1"/>
    <col min="5" max="5" width="3.625" customWidth="1" collapsed="1"/>
    <col min="6" max="6" width="8.125" customWidth="1" collapsed="1"/>
    <col min="7" max="7" width="3.125" customWidth="1" collapsed="1"/>
    <col min="8" max="8" width="13" customWidth="1" collapsed="1"/>
    <col min="9" max="9" width="2.625" customWidth="1" collapsed="1"/>
    <col min="10" max="10" width="3.375" customWidth="1" collapsed="1"/>
    <col min="11" max="11" width="3.125" customWidth="1" collapsed="1"/>
    <col min="12" max="12" width="2.375" bestFit="1" customWidth="1" collapsed="1"/>
    <col min="13" max="13" width="3.5" bestFit="1" customWidth="1" collapsed="1"/>
    <col min="14" max="33" width="9" style="605" collapsed="1"/>
  </cols>
  <sheetData>
    <row r="1" spans="1:15">
      <c r="A1" s="175" t="str">
        <f>+Control!D3</f>
        <v>MIC INCORPORATION LIMITED </v>
      </c>
    </row>
    <row r="2" spans="1:15">
      <c r="A2" s="175"/>
    </row>
    <row r="3" spans="1:15">
      <c r="A3" s="175" t="s">
        <v>6</v>
      </c>
    </row>
    <row r="4" spans="1:15">
      <c r="A4" s="193" t="str">
        <f>+CONCATENATE(N6,N7,N8,N9)</f>
        <v>FOR THE PERIOD ENDED 31 DECEMBER, 2016</v>
      </c>
      <c r="B4" s="25"/>
      <c r="C4" s="25"/>
      <c r="D4" s="25"/>
      <c r="E4" s="25"/>
      <c r="F4" s="25"/>
      <c r="G4" s="25"/>
      <c r="H4" s="25"/>
      <c r="I4" s="25"/>
      <c r="J4" s="25"/>
      <c r="K4" s="25"/>
      <c r="L4" s="25"/>
      <c r="M4" s="25"/>
      <c r="O4" s="628"/>
    </row>
    <row r="5" spans="1:15">
      <c r="O5" s="628"/>
    </row>
    <row r="6" spans="1:15">
      <c r="N6" s="610" t="s">
        <v>7</v>
      </c>
      <c r="O6" s="628"/>
    </row>
    <row r="7" spans="1:15">
      <c r="N7" s="610" t="str">
        <f>+UPPER(Control!D9)</f>
        <v>PERIOD</v>
      </c>
      <c r="O7" s="628"/>
    </row>
    <row r="8" spans="1:15">
      <c r="A8" s="185" t="s">
        <v>14</v>
      </c>
      <c r="K8" s="1067" t="s">
        <v>15</v>
      </c>
      <c r="L8" s="1067"/>
      <c r="M8" s="1067"/>
      <c r="N8" s="610" t="s">
        <v>8</v>
      </c>
    </row>
    <row r="9" spans="1:15">
      <c r="N9" s="610" t="str">
        <f>+UPPER(Control!D6)</f>
        <v>31 DECEMBER, 2016</v>
      </c>
    </row>
    <row r="10" spans="1:15">
      <c r="A10" s="43" t="s">
        <v>16</v>
      </c>
      <c r="K10" s="191"/>
      <c r="L10" s="191">
        <f>+M72</f>
        <v>1</v>
      </c>
      <c r="M10" s="191"/>
    </row>
    <row r="11" spans="1:15">
      <c r="A11" s="43"/>
      <c r="K11" s="192"/>
      <c r="L11" s="192"/>
      <c r="M11" s="192"/>
    </row>
    <row r="12" spans="1:15">
      <c r="A12" s="43" t="s">
        <v>18</v>
      </c>
      <c r="K12" s="194">
        <f>+'Auditor''s report'!K108</f>
        <v>2</v>
      </c>
      <c r="L12" s="191" t="s">
        <v>895</v>
      </c>
      <c r="M12" s="445">
        <f>+'Auditor''s report'!K164</f>
        <v>3</v>
      </c>
    </row>
    <row r="13" spans="1:15">
      <c r="A13" s="43"/>
      <c r="K13" s="111"/>
      <c r="L13" s="192"/>
      <c r="M13" s="168"/>
    </row>
    <row r="14" spans="1:15">
      <c r="A14" s="43" t="s">
        <v>20</v>
      </c>
      <c r="K14" s="194"/>
      <c r="L14" s="191">
        <v>4</v>
      </c>
      <c r="M14" s="445"/>
    </row>
    <row r="15" spans="1:15">
      <c r="A15" s="43"/>
      <c r="K15" s="111"/>
      <c r="L15" s="192"/>
      <c r="M15" s="168"/>
    </row>
    <row r="16" spans="1:15">
      <c r="A16" s="43" t="s">
        <v>22</v>
      </c>
      <c r="K16" s="194"/>
      <c r="L16" s="191">
        <v>5</v>
      </c>
      <c r="M16" s="445"/>
    </row>
    <row r="17" spans="1:33">
      <c r="A17" s="43"/>
      <c r="K17" s="111"/>
      <c r="L17" s="192"/>
      <c r="M17" s="168"/>
    </row>
    <row r="18" spans="1:33">
      <c r="A18" s="43" t="s">
        <v>25</v>
      </c>
      <c r="K18" s="194"/>
      <c r="L18" s="191">
        <v>6</v>
      </c>
      <c r="M18" s="445"/>
    </row>
    <row r="19" spans="1:33">
      <c r="A19" s="43"/>
      <c r="K19" s="111"/>
      <c r="L19" s="192"/>
      <c r="M19" s="168"/>
    </row>
    <row r="20" spans="1:33">
      <c r="A20" s="43" t="s">
        <v>27</v>
      </c>
      <c r="K20" s="194">
        <v>7</v>
      </c>
      <c r="L20" s="191" t="s">
        <v>895</v>
      </c>
      <c r="M20" s="445">
        <v>11</v>
      </c>
    </row>
    <row r="21" spans="1:33">
      <c r="K21" s="192"/>
      <c r="L21" s="192"/>
      <c r="M21" s="192"/>
    </row>
    <row r="28" spans="1:33" s="197" customFormat="1" ht="12.75">
      <c r="A28" s="195" t="s">
        <v>964</v>
      </c>
      <c r="N28" s="629"/>
      <c r="O28" s="629"/>
      <c r="P28" s="629"/>
      <c r="Q28" s="629"/>
      <c r="R28" s="629"/>
      <c r="S28" s="629"/>
      <c r="T28" s="629"/>
      <c r="U28" s="629"/>
      <c r="V28" s="629"/>
      <c r="W28" s="630" t="s">
        <v>965</v>
      </c>
      <c r="X28" s="629"/>
      <c r="Y28" s="629"/>
      <c r="Z28" s="629"/>
      <c r="AA28" s="629"/>
      <c r="AB28" s="629"/>
      <c r="AC28" s="629"/>
      <c r="AD28" s="629"/>
      <c r="AE28" s="629"/>
      <c r="AF28" s="629"/>
      <c r="AG28" s="629"/>
    </row>
    <row r="29" spans="1:33" s="197" customFormat="1" ht="12.75">
      <c r="A29" s="195" t="str">
        <f>+CONCATENATE(N29,O29)</f>
        <v>REPORT OF THE DIRECTOR</v>
      </c>
      <c r="N29" s="631" t="s">
        <v>670</v>
      </c>
      <c r="O29" s="631" t="str">
        <f>+IF(Control!D78=1,"DIRECTOR","DIRECTORS")</f>
        <v>DIRECTOR</v>
      </c>
      <c r="P29" s="629"/>
      <c r="Q29" s="629"/>
      <c r="R29" s="629"/>
      <c r="S29" s="629"/>
      <c r="T29" s="629"/>
      <c r="U29" s="629"/>
      <c r="V29" s="629"/>
      <c r="W29" s="629" t="s">
        <v>669</v>
      </c>
      <c r="X29" s="629"/>
      <c r="Y29" s="629"/>
      <c r="Z29" s="629"/>
      <c r="AA29" s="629"/>
      <c r="AB29" s="629"/>
      <c r="AC29" s="629"/>
      <c r="AD29" s="629"/>
      <c r="AE29" s="629"/>
      <c r="AF29" s="629"/>
      <c r="AG29" s="629"/>
    </row>
    <row r="30" spans="1:33" s="197" customFormat="1" ht="12.75">
      <c r="A30" s="196"/>
      <c r="N30" s="629"/>
      <c r="O30" s="629"/>
      <c r="P30" s="629"/>
      <c r="Q30" s="629"/>
      <c r="R30" s="629"/>
      <c r="S30" s="629"/>
      <c r="T30" s="629"/>
      <c r="U30" s="629"/>
      <c r="V30" s="629"/>
      <c r="W30" s="629" t="s">
        <v>671</v>
      </c>
      <c r="X30" s="629"/>
      <c r="Y30" s="629"/>
      <c r="Z30" s="629"/>
      <c r="AA30" s="629"/>
      <c r="AB30" s="629"/>
      <c r="AC30" s="629"/>
      <c r="AD30" s="629"/>
      <c r="AE30" s="629"/>
      <c r="AF30" s="629"/>
      <c r="AG30" s="629"/>
    </row>
    <row r="31" spans="1:33" s="197" customFormat="1" ht="12.75">
      <c r="A31" s="294" t="str">
        <f>+CONCATENATE(N31,O31,P31,Q31,R31,S31,T31)</f>
        <v>On behalf of the Board of Director, I submit herewith its annual report together with the audited financial statements of the Company for the period ended 31 December, 2016.</v>
      </c>
      <c r="B31" s="294"/>
      <c r="C31" s="294"/>
      <c r="D31" s="294"/>
      <c r="E31" s="294"/>
      <c r="F31" s="294"/>
      <c r="G31" s="294"/>
      <c r="H31" s="294"/>
      <c r="I31" s="294"/>
      <c r="J31" s="294"/>
      <c r="K31" s="294"/>
      <c r="L31" s="294"/>
      <c r="M31" s="294"/>
      <c r="N31" s="631" t="s">
        <v>673</v>
      </c>
      <c r="O31" s="631" t="str">
        <f>+IF(Control!D78=1,"Director","Directors")</f>
        <v>Director</v>
      </c>
      <c r="P31" s="631" t="s">
        <v>674</v>
      </c>
      <c r="Q31" s="631" t="str">
        <f>+LOWER(Control!D9)</f>
        <v>period</v>
      </c>
      <c r="R31" s="631" t="s">
        <v>660</v>
      </c>
      <c r="S31" s="631" t="str">
        <f>+Control!D6</f>
        <v>31 December, 2016</v>
      </c>
      <c r="T31" s="631" t="s">
        <v>239</v>
      </c>
      <c r="U31" s="629"/>
      <c r="V31" s="629"/>
      <c r="W31" s="629"/>
      <c r="X31" s="629" t="s">
        <v>672</v>
      </c>
      <c r="Y31" s="629"/>
      <c r="Z31" s="629"/>
      <c r="AA31" s="629"/>
      <c r="AB31" s="629"/>
      <c r="AC31" s="629"/>
      <c r="AD31" s="629"/>
      <c r="AE31" s="629"/>
      <c r="AF31" s="629"/>
      <c r="AG31" s="629"/>
    </row>
    <row r="32" spans="1:33" s="197" customFormat="1" ht="12.75">
      <c r="A32" s="294"/>
      <c r="B32" s="294"/>
      <c r="C32" s="294"/>
      <c r="D32" s="294"/>
      <c r="E32" s="294"/>
      <c r="F32" s="294"/>
      <c r="G32" s="294"/>
      <c r="H32" s="294"/>
      <c r="I32" s="294"/>
      <c r="J32" s="294"/>
      <c r="K32" s="294"/>
      <c r="L32" s="294"/>
      <c r="M32" s="294"/>
      <c r="N32" s="629"/>
      <c r="O32" s="629"/>
      <c r="P32" s="629"/>
      <c r="Q32" s="629"/>
      <c r="R32" s="629"/>
      <c r="S32" s="629"/>
      <c r="T32" s="629"/>
      <c r="U32" s="629"/>
      <c r="V32" s="629"/>
      <c r="W32" s="629"/>
      <c r="X32" s="629" t="s">
        <v>672</v>
      </c>
      <c r="Y32" s="629"/>
      <c r="Z32" s="629"/>
      <c r="AA32" s="629"/>
      <c r="AB32" s="629"/>
      <c r="AC32" s="629"/>
      <c r="AD32" s="629"/>
      <c r="AE32" s="629"/>
      <c r="AF32" s="629"/>
      <c r="AG32" s="629"/>
    </row>
    <row r="33" spans="1:33" s="197" customFormat="1" ht="12.75">
      <c r="A33" s="195" t="s">
        <v>680</v>
      </c>
      <c r="N33" s="629"/>
      <c r="O33" s="629"/>
      <c r="P33" s="629"/>
      <c r="Q33" s="629"/>
      <c r="R33" s="629"/>
      <c r="S33" s="629"/>
      <c r="T33" s="629"/>
      <c r="U33" s="629"/>
      <c r="V33" s="629"/>
      <c r="W33" s="629" t="s">
        <v>966</v>
      </c>
      <c r="X33" s="629" t="s">
        <v>672</v>
      </c>
      <c r="Y33" s="629"/>
      <c r="Z33" s="629"/>
      <c r="AA33" s="629"/>
      <c r="AB33" s="629"/>
      <c r="AC33" s="629"/>
      <c r="AD33" s="629"/>
      <c r="AE33" s="629"/>
      <c r="AF33" s="629"/>
      <c r="AG33" s="629"/>
    </row>
    <row r="34" spans="1:33" s="292" customFormat="1" ht="12.75">
      <c r="A34" s="291" t="s">
        <v>967</v>
      </c>
      <c r="N34" s="632"/>
      <c r="O34" s="632"/>
      <c r="P34" s="632"/>
      <c r="Q34" s="632"/>
      <c r="R34" s="632"/>
      <c r="S34" s="632"/>
      <c r="T34" s="632"/>
      <c r="U34" s="632"/>
      <c r="V34" s="632"/>
      <c r="W34" s="632"/>
      <c r="X34" s="629" t="s">
        <v>672</v>
      </c>
      <c r="Y34" s="632"/>
      <c r="Z34" s="632"/>
      <c r="AA34" s="632"/>
      <c r="AB34" s="632"/>
      <c r="AC34" s="632"/>
      <c r="AD34" s="632"/>
      <c r="AE34" s="632"/>
      <c r="AF34" s="632"/>
      <c r="AG34" s="632"/>
    </row>
    <row r="35" spans="1:33" s="197" customFormat="1" ht="12.75">
      <c r="A35" s="42"/>
      <c r="N35" s="629"/>
      <c r="O35" s="629"/>
      <c r="P35" s="629"/>
      <c r="Q35" s="629"/>
      <c r="R35" s="629"/>
      <c r="S35" s="629"/>
      <c r="T35" s="629"/>
      <c r="U35" s="629"/>
      <c r="V35" s="629"/>
      <c r="W35" s="629"/>
      <c r="X35" s="629" t="s">
        <v>672</v>
      </c>
      <c r="Y35" s="629"/>
      <c r="Z35" s="629"/>
      <c r="AA35" s="629"/>
      <c r="AB35" s="629"/>
      <c r="AC35" s="629"/>
      <c r="AD35" s="629"/>
      <c r="AE35" s="629"/>
      <c r="AF35" s="629"/>
      <c r="AG35" s="629"/>
    </row>
    <row r="36" spans="1:33" s="197" customFormat="1" ht="12.75">
      <c r="A36" s="195" t="s">
        <v>683</v>
      </c>
      <c r="N36" s="629"/>
      <c r="O36" s="629"/>
      <c r="P36" s="629"/>
      <c r="Q36" s="629"/>
      <c r="R36" s="629"/>
      <c r="S36" s="629"/>
      <c r="T36" s="629"/>
      <c r="U36" s="629"/>
      <c r="V36" s="629"/>
      <c r="W36" s="629" t="s">
        <v>966</v>
      </c>
      <c r="X36" s="629" t="s">
        <v>672</v>
      </c>
      <c r="Y36" s="629"/>
      <c r="Z36" s="629"/>
      <c r="AA36" s="629"/>
      <c r="AB36" s="629"/>
      <c r="AC36" s="629"/>
      <c r="AD36" s="629"/>
      <c r="AE36" s="629"/>
      <c r="AF36" s="629"/>
      <c r="AG36" s="629"/>
    </row>
    <row r="37" spans="1:33" s="197" customFormat="1" ht="14.25" customHeight="1">
      <c r="A37" s="294" t="str">
        <f>+CONCATENATE(N37,O37,P37,Q37,R37,S37,T37,N38,O38,P38,Q38,R38,S38,T38,U38)</f>
        <v xml:space="preserve">The results of the Company for the period ended 31 December, 2016 and the state of the Company’s affairs at 31 December, 2016 are set out in the annexed financial statements.  The director does not recommend the payment of a final dividend for the period ended 31 December, 2016. </v>
      </c>
      <c r="B37" s="131"/>
      <c r="C37" s="131"/>
      <c r="D37" s="131"/>
      <c r="E37" s="131"/>
      <c r="F37" s="131"/>
      <c r="G37" s="131"/>
      <c r="H37" s="131"/>
      <c r="I37" s="131"/>
      <c r="J37" s="131"/>
      <c r="K37" s="131"/>
      <c r="L37" s="131"/>
      <c r="M37" s="131"/>
      <c r="N37" s="631" t="s">
        <v>684</v>
      </c>
      <c r="O37" s="631" t="str">
        <f>+LOWER(Control!D9)</f>
        <v>period</v>
      </c>
      <c r="P37" s="631" t="s">
        <v>660</v>
      </c>
      <c r="Q37" s="631" t="str">
        <f>+Control!D6</f>
        <v>31 December, 2016</v>
      </c>
      <c r="R37" s="631" t="s">
        <v>685</v>
      </c>
      <c r="S37" s="631" t="str">
        <f>+Control!D6</f>
        <v>31 December, 2016</v>
      </c>
      <c r="T37" s="631" t="s">
        <v>686</v>
      </c>
      <c r="U37" s="631"/>
      <c r="V37" s="629"/>
      <c r="W37" s="629"/>
      <c r="X37" s="629" t="s">
        <v>672</v>
      </c>
      <c r="Y37" s="629"/>
      <c r="Z37" s="629"/>
      <c r="AA37" s="629"/>
      <c r="AB37" s="629"/>
      <c r="AC37" s="629"/>
      <c r="AD37" s="629"/>
      <c r="AE37" s="629"/>
      <c r="AF37" s="629"/>
      <c r="AG37" s="629"/>
    </row>
    <row r="38" spans="1:33" s="197" customFormat="1" ht="12.75">
      <c r="A38" s="131"/>
      <c r="B38" s="131"/>
      <c r="C38" s="131"/>
      <c r="D38" s="131"/>
      <c r="E38" s="131"/>
      <c r="F38" s="131"/>
      <c r="G38" s="131"/>
      <c r="H38" s="131"/>
      <c r="I38" s="131"/>
      <c r="J38" s="131"/>
      <c r="K38" s="131"/>
      <c r="L38" s="131"/>
      <c r="M38" s="131"/>
      <c r="N38" s="631" t="str">
        <f>+IF(Control!D78=1,"director","directors")</f>
        <v>director</v>
      </c>
      <c r="O38" s="631" t="s">
        <v>172</v>
      </c>
      <c r="P38" s="631" t="str">
        <f>+IF(Control!D78=1,"does","do")</f>
        <v>does</v>
      </c>
      <c r="Q38" s="631" t="s">
        <v>687</v>
      </c>
      <c r="R38" s="631" t="str">
        <f>+LOWER(Control!D9)</f>
        <v>period</v>
      </c>
      <c r="S38" s="631" t="s">
        <v>660</v>
      </c>
      <c r="T38" s="631" t="str">
        <f>+Control!D6</f>
        <v>31 December, 2016</v>
      </c>
      <c r="U38" s="631" t="s">
        <v>688</v>
      </c>
      <c r="V38" s="629"/>
      <c r="W38" s="629"/>
      <c r="X38" s="629" t="s">
        <v>672</v>
      </c>
      <c r="Y38" s="629"/>
      <c r="Z38" s="629"/>
      <c r="AA38" s="629"/>
      <c r="AB38" s="629"/>
      <c r="AC38" s="629"/>
      <c r="AD38" s="629"/>
      <c r="AE38" s="629"/>
      <c r="AF38" s="629"/>
      <c r="AG38" s="629"/>
    </row>
    <row r="39" spans="1:33" s="197" customFormat="1" ht="12.75">
      <c r="A39" s="195" t="s">
        <v>703</v>
      </c>
      <c r="N39" s="629"/>
      <c r="O39" s="629"/>
      <c r="P39" s="629"/>
      <c r="Q39" s="629"/>
      <c r="R39" s="629"/>
      <c r="S39" s="629"/>
      <c r="T39" s="629"/>
      <c r="U39" s="629"/>
      <c r="V39" s="629"/>
      <c r="W39" s="629" t="s">
        <v>966</v>
      </c>
      <c r="X39" s="629" t="s">
        <v>672</v>
      </c>
      <c r="Y39" s="629"/>
      <c r="Z39" s="629"/>
      <c r="AA39" s="629"/>
      <c r="AB39" s="629"/>
      <c r="AC39" s="629"/>
      <c r="AD39" s="629"/>
      <c r="AE39" s="629"/>
      <c r="AF39" s="629"/>
      <c r="AG39" s="629"/>
    </row>
    <row r="40" spans="1:33" s="197" customFormat="1" ht="12.75">
      <c r="A40" s="42" t="s">
        <v>968</v>
      </c>
      <c r="N40" s="629"/>
      <c r="O40" s="629"/>
      <c r="P40" s="629"/>
      <c r="Q40" s="629"/>
      <c r="R40" s="629"/>
      <c r="S40" s="629"/>
      <c r="T40" s="629"/>
      <c r="U40" s="629"/>
      <c r="V40" s="629"/>
      <c r="W40" s="629"/>
      <c r="X40" s="629" t="s">
        <v>672</v>
      </c>
      <c r="Y40" s="629"/>
      <c r="Z40" s="629"/>
      <c r="AA40" s="629"/>
      <c r="AB40" s="629"/>
      <c r="AC40" s="629"/>
      <c r="AD40" s="629"/>
      <c r="AE40" s="629"/>
      <c r="AF40" s="629"/>
      <c r="AG40" s="629"/>
    </row>
    <row r="41" spans="1:33" s="197" customFormat="1" ht="12.75">
      <c r="A41" s="42"/>
      <c r="N41" s="629"/>
      <c r="O41" s="629"/>
      <c r="P41" s="629"/>
      <c r="Q41" s="629"/>
      <c r="R41" s="629"/>
      <c r="S41" s="629"/>
      <c r="T41" s="629"/>
      <c r="U41" s="629"/>
      <c r="V41" s="629"/>
      <c r="W41" s="629"/>
      <c r="X41" s="629" t="s">
        <v>672</v>
      </c>
      <c r="Y41" s="629"/>
      <c r="Z41" s="629"/>
      <c r="AA41" s="629"/>
      <c r="AB41" s="629"/>
      <c r="AC41" s="629"/>
      <c r="AD41" s="629"/>
      <c r="AE41" s="629"/>
      <c r="AF41" s="629"/>
      <c r="AG41" s="629"/>
    </row>
    <row r="42" spans="1:33" s="197" customFormat="1" ht="12.75">
      <c r="A42" s="195" t="str">
        <f>+IF(Control!D78=1,"DIRECTOR","DIRECTORS")</f>
        <v>DIRECTOR</v>
      </c>
      <c r="N42" s="629"/>
      <c r="O42" s="629"/>
      <c r="P42" s="629"/>
      <c r="Q42" s="629"/>
      <c r="R42" s="629"/>
      <c r="S42" s="629"/>
      <c r="T42" s="629"/>
      <c r="U42" s="629"/>
      <c r="V42" s="629"/>
      <c r="W42" s="629" t="s">
        <v>966</v>
      </c>
      <c r="X42" s="629" t="s">
        <v>672</v>
      </c>
      <c r="Y42" s="629"/>
      <c r="Z42" s="629"/>
      <c r="AA42" s="629"/>
      <c r="AB42" s="629"/>
      <c r="AC42" s="629"/>
      <c r="AD42" s="629"/>
      <c r="AE42" s="629"/>
      <c r="AF42" s="629"/>
      <c r="AG42" s="629"/>
    </row>
    <row r="43" spans="1:33" s="197" customFormat="1" ht="12.75">
      <c r="A43" s="42" t="str">
        <f>+CONCATENATE(N43,O43,P43,Q43,R43,S43,T43)</f>
        <v>The director who held office during the period and up to the date of reporting was:</v>
      </c>
      <c r="N43" s="631" t="s">
        <v>707</v>
      </c>
      <c r="O43" s="631" t="str">
        <f>+IF(Control!D78=1,"director","directors")</f>
        <v>director</v>
      </c>
      <c r="P43" s="631" t="s">
        <v>708</v>
      </c>
      <c r="Q43" s="631" t="str">
        <f>+LOWER(Control!D9)</f>
        <v>period</v>
      </c>
      <c r="R43" s="631" t="s">
        <v>709</v>
      </c>
      <c r="S43" s="631" t="str">
        <f>+IF(Control!D78=1,"was","were")</f>
        <v>was</v>
      </c>
      <c r="T43" s="631" t="s">
        <v>710</v>
      </c>
      <c r="U43" s="629"/>
      <c r="V43" s="629"/>
      <c r="W43" s="629"/>
      <c r="X43" s="629" t="s">
        <v>672</v>
      </c>
      <c r="Y43" s="629"/>
      <c r="Z43" s="629"/>
      <c r="AA43" s="629"/>
      <c r="AB43" s="629"/>
      <c r="AC43" s="629"/>
      <c r="AD43" s="629"/>
      <c r="AE43" s="629"/>
      <c r="AF43" s="629"/>
      <c r="AG43" s="629"/>
    </row>
    <row r="44" spans="1:33" s="197" customFormat="1" ht="12.75">
      <c r="A44" s="42"/>
      <c r="N44" s="629"/>
      <c r="O44" s="629"/>
      <c r="P44" s="629"/>
      <c r="Q44" s="629"/>
      <c r="R44" s="629"/>
      <c r="S44" s="629"/>
      <c r="T44" s="629"/>
      <c r="U44" s="629"/>
      <c r="V44" s="629"/>
      <c r="W44" s="629"/>
      <c r="X44" s="629" t="s">
        <v>672</v>
      </c>
      <c r="Y44" s="629"/>
      <c r="Z44" s="629"/>
      <c r="AA44" s="629"/>
      <c r="AB44" s="629"/>
      <c r="AC44" s="629"/>
      <c r="AD44" s="629"/>
      <c r="AE44" s="629"/>
      <c r="AF44" s="629"/>
      <c r="AG44" s="629"/>
    </row>
    <row r="45" spans="1:33" s="197" customFormat="1" ht="12.75">
      <c r="A45" s="42" t="str">
        <f>+Control!D80</f>
        <v>DENG DENG GUI</v>
      </c>
      <c r="N45" s="629"/>
      <c r="O45" s="629"/>
      <c r="P45" s="629"/>
      <c r="Q45" s="629"/>
      <c r="R45" s="629"/>
      <c r="S45" s="629"/>
      <c r="T45" s="629"/>
      <c r="U45" s="629"/>
      <c r="V45" s="629"/>
      <c r="W45" s="629"/>
      <c r="X45" s="629" t="s">
        <v>672</v>
      </c>
      <c r="Y45" s="629"/>
      <c r="Z45" s="629"/>
      <c r="AA45" s="629"/>
      <c r="AB45" s="629"/>
      <c r="AC45" s="629"/>
      <c r="AD45" s="629"/>
      <c r="AE45" s="629"/>
      <c r="AF45" s="629"/>
      <c r="AG45" s="629"/>
    </row>
    <row r="46" spans="1:33" s="197" customFormat="1" ht="12.75">
      <c r="A46" s="42"/>
      <c r="N46" s="629"/>
      <c r="O46" s="629"/>
      <c r="P46" s="629"/>
      <c r="Q46" s="629"/>
      <c r="R46" s="629"/>
      <c r="S46" s="629"/>
      <c r="T46" s="629"/>
      <c r="U46" s="629"/>
      <c r="V46" s="629"/>
      <c r="W46" s="629"/>
      <c r="X46" s="629" t="s">
        <v>672</v>
      </c>
      <c r="Y46" s="629"/>
      <c r="Z46" s="629"/>
      <c r="AA46" s="629"/>
      <c r="AB46" s="629"/>
      <c r="AC46" s="629"/>
      <c r="AD46" s="629"/>
      <c r="AE46" s="629"/>
      <c r="AF46" s="629"/>
      <c r="AG46" s="629"/>
    </row>
    <row r="47" spans="1:33" s="197" customFormat="1" ht="12.75">
      <c r="A47" s="294" t="str">
        <f>+CONCATENATE(N47,O47,P47)</f>
        <v>In accordance with the Company’s Articles of Association, the director shall continue in office until the next annual general meeting.</v>
      </c>
      <c r="B47" s="294"/>
      <c r="C47" s="294"/>
      <c r="D47" s="294"/>
      <c r="E47" s="294"/>
      <c r="F47" s="294"/>
      <c r="G47" s="294"/>
      <c r="H47" s="294"/>
      <c r="I47" s="294"/>
      <c r="J47" s="294"/>
      <c r="K47" s="294"/>
      <c r="L47" s="294"/>
      <c r="M47" s="294"/>
      <c r="N47" s="631" t="s">
        <v>715</v>
      </c>
      <c r="O47" s="631" t="str">
        <f>+IF(Control!D78=1,"director","directors")</f>
        <v>director</v>
      </c>
      <c r="P47" s="631" t="s">
        <v>716</v>
      </c>
      <c r="Q47" s="631"/>
      <c r="R47" s="631"/>
      <c r="S47" s="631"/>
      <c r="T47" s="631"/>
      <c r="U47" s="629"/>
      <c r="V47" s="629"/>
      <c r="W47" s="629"/>
      <c r="X47" s="629" t="s">
        <v>672</v>
      </c>
      <c r="Y47" s="629"/>
      <c r="Z47" s="629"/>
      <c r="AA47" s="629"/>
      <c r="AB47" s="629"/>
      <c r="AC47" s="629"/>
      <c r="AD47" s="629"/>
      <c r="AE47" s="629"/>
      <c r="AF47" s="629"/>
      <c r="AG47" s="629"/>
    </row>
    <row r="48" spans="1:33" s="197" customFormat="1" ht="12.75">
      <c r="A48" s="294"/>
      <c r="B48" s="294"/>
      <c r="C48" s="294"/>
      <c r="D48" s="294"/>
      <c r="E48" s="294"/>
      <c r="F48" s="294"/>
      <c r="G48" s="294"/>
      <c r="H48" s="294"/>
      <c r="I48" s="294"/>
      <c r="J48" s="294"/>
      <c r="K48" s="294"/>
      <c r="L48" s="294"/>
      <c r="M48" s="294"/>
      <c r="N48" s="629"/>
      <c r="O48" s="629"/>
      <c r="P48" s="629"/>
      <c r="Q48" s="629"/>
      <c r="R48" s="629"/>
      <c r="S48" s="629"/>
      <c r="T48" s="629"/>
      <c r="U48" s="629"/>
      <c r="V48" s="629"/>
      <c r="W48" s="629"/>
      <c r="X48" s="629" t="s">
        <v>672</v>
      </c>
      <c r="Y48" s="629"/>
      <c r="Z48" s="629"/>
      <c r="AA48" s="629"/>
      <c r="AB48" s="629"/>
      <c r="AC48" s="629"/>
      <c r="AD48" s="629"/>
      <c r="AE48" s="629"/>
      <c r="AF48" s="629"/>
      <c r="AG48" s="629"/>
    </row>
    <row r="49" spans="1:33" s="197" customFormat="1" ht="12.75">
      <c r="A49" s="195" t="s">
        <v>969</v>
      </c>
      <c r="N49" s="629"/>
      <c r="O49" s="629"/>
      <c r="P49" s="629"/>
      <c r="Q49" s="629"/>
      <c r="R49" s="629"/>
      <c r="S49" s="629"/>
      <c r="T49" s="629"/>
      <c r="U49" s="629"/>
      <c r="V49" s="629"/>
      <c r="W49" s="629" t="s">
        <v>966</v>
      </c>
      <c r="X49" s="629" t="s">
        <v>672</v>
      </c>
      <c r="Y49" s="629"/>
      <c r="Z49" s="629"/>
      <c r="AA49" s="629"/>
      <c r="AB49" s="629"/>
      <c r="AC49" s="629"/>
      <c r="AD49" s="629"/>
      <c r="AE49" s="629"/>
      <c r="AF49" s="629"/>
      <c r="AG49" s="629"/>
    </row>
    <row r="50" spans="1:33" s="197" customFormat="1" ht="12.75">
      <c r="A50" s="294" t="str">
        <f>+CONCATENATE(N50,O50,P50,Q50,R50)</f>
        <v>No contracts of significance to which the Company was a party and in which the director of the Company had a material interest subsisted at the end of the period or at any time during the period.</v>
      </c>
      <c r="B50" s="294"/>
      <c r="C50" s="294"/>
      <c r="D50" s="294"/>
      <c r="E50" s="294"/>
      <c r="F50" s="294"/>
      <c r="G50" s="294"/>
      <c r="H50" s="294"/>
      <c r="I50" s="294"/>
      <c r="J50" s="294"/>
      <c r="K50" s="294"/>
      <c r="L50" s="294"/>
      <c r="M50" s="294"/>
      <c r="N50" s="631" t="s">
        <v>717</v>
      </c>
      <c r="O50" s="631" t="str">
        <f>+LOWER(Control!D9)</f>
        <v>period</v>
      </c>
      <c r="P50" s="631" t="s">
        <v>718</v>
      </c>
      <c r="Q50" s="631" t="str">
        <f>+LOWER(Control!D9)</f>
        <v>period</v>
      </c>
      <c r="R50" s="631" t="s">
        <v>239</v>
      </c>
      <c r="S50" s="629"/>
      <c r="T50" s="629"/>
      <c r="U50" s="629"/>
      <c r="V50" s="629"/>
      <c r="W50" s="629"/>
      <c r="X50" s="629" t="s">
        <v>672</v>
      </c>
      <c r="Y50" s="629"/>
      <c r="Z50" s="629"/>
      <c r="AA50" s="629"/>
      <c r="AB50" s="629"/>
      <c r="AC50" s="629"/>
      <c r="AD50" s="629"/>
      <c r="AE50" s="629"/>
      <c r="AF50" s="629"/>
      <c r="AG50" s="629"/>
    </row>
    <row r="51" spans="1:33" s="197" customFormat="1" ht="12.75">
      <c r="A51" s="294"/>
      <c r="B51" s="294"/>
      <c r="C51" s="294"/>
      <c r="D51" s="294"/>
      <c r="E51" s="294"/>
      <c r="F51" s="294"/>
      <c r="G51" s="294"/>
      <c r="H51" s="294"/>
      <c r="I51" s="294"/>
      <c r="J51" s="294"/>
      <c r="K51" s="294"/>
      <c r="L51" s="294"/>
      <c r="M51" s="294"/>
      <c r="N51" s="629"/>
      <c r="O51" s="629"/>
      <c r="P51" s="629"/>
      <c r="Q51" s="629"/>
      <c r="R51" s="629"/>
      <c r="S51" s="629"/>
      <c r="T51" s="629"/>
      <c r="U51" s="629"/>
      <c r="V51" s="629"/>
      <c r="W51" s="629"/>
      <c r="X51" s="629" t="s">
        <v>672</v>
      </c>
      <c r="Y51" s="629"/>
      <c r="Z51" s="629"/>
      <c r="AA51" s="629"/>
      <c r="AB51" s="629"/>
      <c r="AC51" s="629"/>
      <c r="AD51" s="629"/>
      <c r="AE51" s="629"/>
      <c r="AF51" s="629"/>
      <c r="AG51" s="629"/>
    </row>
    <row r="52" spans="1:33" s="197" customFormat="1" ht="14.25" customHeight="1">
      <c r="A52" s="294" t="str">
        <f>+CONCATENATE(N52,O52,P52)</f>
        <v>At no time during the year was the Company a party to any arrangement to enable the director of the Company to obtain benefits by means of the acquisition of shares in or debentures of the Company or any other body corporate.</v>
      </c>
      <c r="B52" s="294"/>
      <c r="C52" s="294"/>
      <c r="D52" s="294"/>
      <c r="E52" s="294"/>
      <c r="F52" s="294"/>
      <c r="G52" s="294"/>
      <c r="H52" s="294"/>
      <c r="I52" s="294"/>
      <c r="J52" s="294"/>
      <c r="K52" s="294"/>
      <c r="L52" s="294"/>
      <c r="M52" s="294"/>
      <c r="N52" s="631" t="s">
        <v>719</v>
      </c>
      <c r="O52" s="631" t="s">
        <v>970</v>
      </c>
      <c r="P52" s="631" t="s">
        <v>720</v>
      </c>
      <c r="Q52" s="631"/>
      <c r="R52" s="631"/>
      <c r="S52" s="631"/>
      <c r="T52" s="631"/>
      <c r="U52" s="631"/>
      <c r="V52" s="631"/>
      <c r="W52" s="631"/>
      <c r="X52" s="629" t="s">
        <v>672</v>
      </c>
      <c r="Y52" s="631"/>
      <c r="Z52" s="631"/>
      <c r="AA52" s="631"/>
      <c r="AB52" s="631"/>
      <c r="AC52" s="631"/>
      <c r="AD52" s="629"/>
      <c r="AE52" s="629"/>
      <c r="AF52" s="629"/>
      <c r="AG52" s="629"/>
    </row>
    <row r="53" spans="1:33" s="197" customFormat="1" ht="12.75">
      <c r="A53" s="294"/>
      <c r="B53" s="294"/>
      <c r="C53" s="294"/>
      <c r="D53" s="294"/>
      <c r="E53" s="294"/>
      <c r="F53" s="294"/>
      <c r="G53" s="294"/>
      <c r="H53" s="294"/>
      <c r="I53" s="294"/>
      <c r="J53" s="294"/>
      <c r="K53" s="294"/>
      <c r="L53" s="294"/>
      <c r="M53" s="294"/>
      <c r="N53" s="629"/>
      <c r="O53" s="629"/>
      <c r="P53" s="629"/>
      <c r="Q53" s="629"/>
      <c r="R53" s="629"/>
      <c r="S53" s="629"/>
      <c r="T53" s="629"/>
      <c r="U53" s="629"/>
      <c r="V53" s="629"/>
      <c r="W53" s="629"/>
      <c r="X53" s="629" t="s">
        <v>672</v>
      </c>
      <c r="Y53" s="629"/>
      <c r="Z53" s="629"/>
      <c r="AA53" s="629"/>
      <c r="AB53" s="629"/>
      <c r="AC53" s="629"/>
      <c r="AD53" s="629"/>
      <c r="AE53" s="629"/>
      <c r="AF53" s="629"/>
      <c r="AG53" s="629"/>
    </row>
    <row r="54" spans="1:33" s="197" customFormat="1" ht="12.75">
      <c r="A54" s="195" t="s">
        <v>721</v>
      </c>
      <c r="N54" s="629"/>
      <c r="O54" s="629"/>
      <c r="P54" s="629"/>
      <c r="Q54" s="629"/>
      <c r="R54" s="629"/>
      <c r="S54" s="629"/>
      <c r="T54" s="629"/>
      <c r="U54" s="629"/>
      <c r="V54" s="629"/>
      <c r="W54" s="629" t="s">
        <v>966</v>
      </c>
      <c r="X54" s="629" t="s">
        <v>672</v>
      </c>
      <c r="Y54" s="629"/>
      <c r="Z54" s="629"/>
      <c r="AA54" s="629"/>
      <c r="AB54" s="629"/>
      <c r="AC54" s="629"/>
      <c r="AD54" s="629"/>
      <c r="AE54" s="629"/>
      <c r="AF54" s="629"/>
      <c r="AG54" s="629"/>
    </row>
    <row r="55" spans="1:33" s="197" customFormat="1" ht="12.75">
      <c r="A55" s="294" t="s">
        <v>971</v>
      </c>
      <c r="B55" s="294"/>
      <c r="C55" s="294"/>
      <c r="D55" s="294"/>
      <c r="E55" s="294"/>
      <c r="F55" s="294"/>
      <c r="G55" s="294"/>
      <c r="H55" s="294"/>
      <c r="I55" s="294"/>
      <c r="J55" s="294"/>
      <c r="K55" s="294"/>
      <c r="L55" s="294"/>
      <c r="M55" s="294"/>
      <c r="N55" s="629"/>
      <c r="O55" s="629"/>
      <c r="P55" s="629"/>
      <c r="Q55" s="629"/>
      <c r="R55" s="629"/>
      <c r="S55" s="629"/>
      <c r="T55" s="629"/>
      <c r="U55" s="629"/>
      <c r="V55" s="629"/>
      <c r="W55" s="629"/>
      <c r="X55" s="629" t="s">
        <v>672</v>
      </c>
      <c r="Y55" s="629"/>
      <c r="Z55" s="629"/>
      <c r="AA55" s="629"/>
      <c r="AB55" s="629"/>
      <c r="AC55" s="629"/>
      <c r="AD55" s="629"/>
      <c r="AE55" s="629"/>
      <c r="AF55" s="629"/>
      <c r="AG55" s="629"/>
    </row>
    <row r="56" spans="1:33" s="197" customFormat="1" ht="12.75">
      <c r="A56" s="294"/>
      <c r="B56" s="294"/>
      <c r="C56" s="294"/>
      <c r="D56" s="294"/>
      <c r="E56" s="294"/>
      <c r="F56" s="294"/>
      <c r="G56" s="294"/>
      <c r="H56" s="294"/>
      <c r="I56" s="294"/>
      <c r="J56" s="294"/>
      <c r="K56" s="294"/>
      <c r="L56" s="294"/>
      <c r="M56" s="294"/>
      <c r="N56" s="629"/>
      <c r="O56" s="629"/>
      <c r="P56" s="629"/>
      <c r="Q56" s="629"/>
      <c r="R56" s="629"/>
      <c r="S56" s="629"/>
      <c r="T56" s="629"/>
      <c r="U56" s="629"/>
      <c r="V56" s="629"/>
      <c r="W56" s="629"/>
      <c r="X56" s="629" t="s">
        <v>672</v>
      </c>
      <c r="Y56" s="629"/>
      <c r="Z56" s="629"/>
      <c r="AA56" s="629"/>
      <c r="AB56" s="629"/>
      <c r="AC56" s="629"/>
      <c r="AD56" s="629"/>
      <c r="AE56" s="629"/>
      <c r="AF56" s="629"/>
      <c r="AG56" s="629"/>
    </row>
    <row r="57" spans="1:33" s="197" customFormat="1" ht="12.75">
      <c r="A57" s="42" t="s">
        <v>724</v>
      </c>
      <c r="N57" s="629"/>
      <c r="O57" s="629"/>
      <c r="P57" s="629"/>
      <c r="Q57" s="629"/>
      <c r="R57" s="629"/>
      <c r="S57" s="629"/>
      <c r="T57" s="629"/>
      <c r="U57" s="629"/>
      <c r="V57" s="629"/>
      <c r="W57" s="629"/>
      <c r="X57" s="629" t="s">
        <v>672</v>
      </c>
      <c r="Y57" s="629"/>
      <c r="Z57" s="629"/>
      <c r="AA57" s="629"/>
      <c r="AB57" s="629"/>
      <c r="AC57" s="629"/>
      <c r="AD57" s="629"/>
      <c r="AE57" s="629"/>
      <c r="AF57" s="629"/>
      <c r="AG57" s="629"/>
    </row>
    <row r="58" spans="1:33" s="197" customFormat="1" ht="12.75">
      <c r="A58" s="42"/>
      <c r="N58" s="629"/>
      <c r="O58" s="629"/>
      <c r="P58" s="629"/>
      <c r="Q58" s="629"/>
      <c r="R58" s="629"/>
      <c r="S58" s="629"/>
      <c r="T58" s="629"/>
      <c r="U58" s="629"/>
      <c r="V58" s="629"/>
      <c r="W58" s="629"/>
      <c r="X58" s="629" t="s">
        <v>672</v>
      </c>
      <c r="Y58" s="629"/>
      <c r="Z58" s="629"/>
      <c r="AA58" s="629"/>
      <c r="AB58" s="629"/>
      <c r="AC58" s="629"/>
      <c r="AD58" s="629"/>
      <c r="AE58" s="629"/>
      <c r="AF58" s="629"/>
      <c r="AG58" s="629"/>
    </row>
    <row r="59" spans="1:33" s="197" customFormat="1" ht="12.75">
      <c r="A59" s="42"/>
      <c r="N59" s="629"/>
      <c r="O59" s="629"/>
      <c r="P59" s="629"/>
      <c r="Q59" s="629"/>
      <c r="R59" s="629"/>
      <c r="S59" s="629"/>
      <c r="T59" s="629"/>
      <c r="U59" s="629"/>
      <c r="V59" s="629"/>
      <c r="W59" s="629"/>
      <c r="X59" s="629" t="s">
        <v>672</v>
      </c>
      <c r="Y59" s="629"/>
      <c r="Z59" s="629"/>
      <c r="AA59" s="629"/>
      <c r="AB59" s="629"/>
      <c r="AC59" s="629"/>
      <c r="AD59" s="629"/>
      <c r="AE59" s="629"/>
      <c r="AF59" s="629"/>
      <c r="AG59" s="629"/>
    </row>
    <row r="60" spans="1:33" s="197" customFormat="1" ht="12.75">
      <c r="A60" s="42"/>
      <c r="N60" s="629"/>
      <c r="O60" s="629"/>
      <c r="P60" s="629"/>
      <c r="Q60" s="629"/>
      <c r="R60" s="629"/>
      <c r="S60" s="629"/>
      <c r="T60" s="629"/>
      <c r="U60" s="629"/>
      <c r="V60" s="629"/>
      <c r="W60" s="629"/>
      <c r="X60" s="629" t="s">
        <v>672</v>
      </c>
      <c r="Y60" s="629"/>
      <c r="Z60" s="629"/>
      <c r="AA60" s="629"/>
      <c r="AB60" s="629"/>
      <c r="AC60" s="629"/>
      <c r="AD60" s="629"/>
      <c r="AE60" s="629"/>
      <c r="AF60" s="629"/>
      <c r="AG60" s="629"/>
    </row>
    <row r="61" spans="1:33" s="197" customFormat="1" ht="12.75">
      <c r="A61" s="250"/>
      <c r="B61" s="250"/>
      <c r="C61" s="251" t="s">
        <v>726</v>
      </c>
      <c r="N61" s="629"/>
      <c r="O61" s="629"/>
      <c r="P61" s="629"/>
      <c r="Q61" s="629"/>
      <c r="R61" s="629"/>
      <c r="S61" s="629"/>
      <c r="T61" s="629"/>
      <c r="U61" s="629"/>
      <c r="V61" s="629"/>
      <c r="W61" s="629"/>
      <c r="X61" s="629" t="s">
        <v>672</v>
      </c>
      <c r="Y61" s="629"/>
      <c r="Z61" s="629"/>
      <c r="AA61" s="629"/>
      <c r="AB61" s="629"/>
      <c r="AC61" s="629"/>
      <c r="AD61" s="629"/>
      <c r="AE61" s="629"/>
      <c r="AF61" s="629"/>
      <c r="AG61" s="629"/>
    </row>
    <row r="62" spans="1:33" s="197" customFormat="1" ht="12.75">
      <c r="A62" s="42" t="s">
        <v>727</v>
      </c>
      <c r="N62" s="629"/>
      <c r="O62" s="629"/>
      <c r="P62" s="629"/>
      <c r="Q62" s="629"/>
      <c r="R62" s="629"/>
      <c r="S62" s="629"/>
      <c r="T62" s="629"/>
      <c r="U62" s="629"/>
      <c r="V62" s="629"/>
      <c r="W62" s="629"/>
      <c r="X62" s="629" t="s">
        <v>672</v>
      </c>
      <c r="Y62" s="629"/>
      <c r="Z62" s="629"/>
      <c r="AA62" s="629"/>
      <c r="AB62" s="629"/>
      <c r="AC62" s="629"/>
      <c r="AD62" s="629"/>
      <c r="AE62" s="629"/>
      <c r="AF62" s="629"/>
      <c r="AG62" s="629"/>
    </row>
    <row r="63" spans="1:33" s="197" customFormat="1" ht="12.75">
      <c r="A63" s="42" t="s">
        <v>728</v>
      </c>
      <c r="N63" s="629"/>
      <c r="O63" s="629"/>
      <c r="P63" s="629"/>
      <c r="Q63" s="629"/>
      <c r="R63" s="629"/>
      <c r="S63" s="629"/>
      <c r="T63" s="629"/>
      <c r="U63" s="629"/>
      <c r="V63" s="629"/>
      <c r="W63" s="629"/>
      <c r="X63" s="629" t="s">
        <v>672</v>
      </c>
      <c r="Y63" s="629"/>
      <c r="Z63" s="629"/>
      <c r="AA63" s="629"/>
      <c r="AB63" s="629"/>
      <c r="AC63" s="629"/>
      <c r="AD63" s="629"/>
      <c r="AE63" s="629"/>
      <c r="AF63" s="629"/>
      <c r="AG63" s="629"/>
    </row>
    <row r="64" spans="1:33" s="197" customFormat="1" ht="12.75">
      <c r="A64" s="42"/>
      <c r="N64" s="629"/>
      <c r="O64" s="629"/>
      <c r="P64" s="629"/>
      <c r="Q64" s="629"/>
      <c r="R64" s="629"/>
      <c r="S64" s="629"/>
      <c r="T64" s="629"/>
      <c r="U64" s="629"/>
      <c r="V64" s="629"/>
      <c r="W64" s="629"/>
      <c r="X64" s="629"/>
      <c r="Y64" s="629"/>
      <c r="Z64" s="629"/>
      <c r="AA64" s="629"/>
      <c r="AB64" s="629"/>
      <c r="AC64" s="629"/>
      <c r="AD64" s="629"/>
      <c r="AE64" s="629"/>
      <c r="AF64" s="629"/>
      <c r="AG64" s="629"/>
    </row>
    <row r="65" spans="1:33" s="197" customFormat="1" ht="12.75">
      <c r="A65" s="42"/>
      <c r="N65" s="629"/>
      <c r="O65" s="629"/>
      <c r="P65" s="629"/>
      <c r="Q65" s="629"/>
      <c r="R65" s="629"/>
      <c r="S65" s="629"/>
      <c r="T65" s="629"/>
      <c r="U65" s="629"/>
      <c r="V65" s="629"/>
      <c r="W65" s="629"/>
      <c r="X65" s="629"/>
      <c r="Y65" s="629"/>
      <c r="Z65" s="629"/>
      <c r="AA65" s="629"/>
      <c r="AB65" s="629"/>
      <c r="AC65" s="629"/>
      <c r="AD65" s="629"/>
      <c r="AE65" s="629"/>
      <c r="AF65" s="629"/>
      <c r="AG65" s="629"/>
    </row>
    <row r="66" spans="1:33" s="197" customFormat="1" ht="12.75">
      <c r="A66" s="42"/>
      <c r="N66" s="629"/>
      <c r="O66" s="629"/>
      <c r="P66" s="629"/>
      <c r="Q66" s="629"/>
      <c r="R66" s="629"/>
      <c r="S66" s="629"/>
      <c r="T66" s="629"/>
      <c r="U66" s="629"/>
      <c r="V66" s="629"/>
      <c r="W66" s="629"/>
      <c r="X66" s="629"/>
      <c r="Y66" s="629"/>
      <c r="Z66" s="629"/>
      <c r="AA66" s="629"/>
      <c r="AB66" s="629"/>
      <c r="AC66" s="629"/>
      <c r="AD66" s="629"/>
      <c r="AE66" s="629"/>
      <c r="AF66" s="629"/>
      <c r="AG66" s="629"/>
    </row>
    <row r="67" spans="1:33" s="197" customFormat="1" ht="12.75">
      <c r="A67" s="42"/>
      <c r="N67" s="629"/>
      <c r="O67" s="629"/>
      <c r="P67" s="629"/>
      <c r="Q67" s="629"/>
      <c r="R67" s="629"/>
      <c r="S67" s="629"/>
      <c r="T67" s="629"/>
      <c r="U67" s="629"/>
      <c r="V67" s="629"/>
      <c r="W67" s="629"/>
      <c r="X67" s="629"/>
      <c r="Y67" s="629"/>
      <c r="Z67" s="629"/>
      <c r="AA67" s="629"/>
      <c r="AB67" s="629"/>
      <c r="AC67" s="629"/>
      <c r="AD67" s="629"/>
      <c r="AE67" s="629"/>
      <c r="AF67" s="629"/>
      <c r="AG67" s="629"/>
    </row>
    <row r="68" spans="1:33" s="197" customFormat="1" ht="12.75">
      <c r="A68" s="42"/>
      <c r="N68" s="629"/>
      <c r="O68" s="629"/>
      <c r="P68" s="629"/>
      <c r="Q68" s="629"/>
      <c r="R68" s="629"/>
      <c r="S68" s="629"/>
      <c r="T68" s="629"/>
      <c r="U68" s="629"/>
      <c r="V68" s="629"/>
      <c r="W68" s="629"/>
      <c r="X68" s="629"/>
      <c r="Y68" s="629"/>
      <c r="Z68" s="629"/>
      <c r="AA68" s="629"/>
      <c r="AB68" s="629"/>
      <c r="AC68" s="629"/>
      <c r="AD68" s="629"/>
      <c r="AE68" s="629"/>
      <c r="AF68" s="629"/>
      <c r="AG68" s="629"/>
    </row>
    <row r="69" spans="1:33" s="197" customFormat="1" ht="12.75">
      <c r="A69" s="42"/>
      <c r="N69" s="629"/>
      <c r="O69" s="629"/>
      <c r="P69" s="629"/>
      <c r="Q69" s="629"/>
      <c r="R69" s="629"/>
      <c r="S69" s="629"/>
      <c r="T69" s="629"/>
      <c r="U69" s="629"/>
      <c r="V69" s="629"/>
      <c r="W69" s="629"/>
      <c r="X69" s="629"/>
      <c r="Y69" s="629"/>
      <c r="Z69" s="629"/>
      <c r="AA69" s="629"/>
      <c r="AB69" s="629"/>
      <c r="AC69" s="629"/>
      <c r="AD69" s="629"/>
      <c r="AE69" s="629"/>
      <c r="AF69" s="629"/>
      <c r="AG69" s="629"/>
    </row>
    <row r="70" spans="1:33" s="197" customFormat="1" ht="12.75">
      <c r="A70" s="42"/>
      <c r="N70" s="629"/>
      <c r="O70" s="629"/>
      <c r="P70" s="629"/>
      <c r="Q70" s="629"/>
      <c r="R70" s="629"/>
      <c r="S70" s="629"/>
      <c r="T70" s="629"/>
      <c r="U70" s="629"/>
      <c r="V70" s="629"/>
      <c r="W70" s="629"/>
      <c r="X70" s="629"/>
      <c r="Y70" s="629"/>
      <c r="Z70" s="629"/>
      <c r="AA70" s="629"/>
      <c r="AB70" s="629"/>
      <c r="AC70" s="629"/>
      <c r="AD70" s="629"/>
      <c r="AE70" s="629"/>
      <c r="AF70" s="629"/>
      <c r="AG70" s="629"/>
    </row>
    <row r="71" spans="1:33" s="197" customFormat="1" ht="12.75">
      <c r="A71" s="42"/>
      <c r="N71" s="629"/>
      <c r="O71" s="629"/>
      <c r="P71" s="629"/>
      <c r="Q71" s="629"/>
      <c r="R71" s="629"/>
      <c r="S71" s="629"/>
      <c r="T71" s="629"/>
      <c r="U71" s="629"/>
      <c r="V71" s="629"/>
      <c r="W71" s="629"/>
      <c r="X71" s="629"/>
      <c r="Y71" s="629"/>
      <c r="Z71" s="629"/>
      <c r="AA71" s="629"/>
      <c r="AB71" s="629"/>
      <c r="AC71" s="629"/>
      <c r="AD71" s="629"/>
      <c r="AE71" s="629"/>
      <c r="AF71" s="629"/>
      <c r="AG71" s="629"/>
    </row>
    <row r="72" spans="1:33" s="197" customFormat="1" ht="12.75">
      <c r="A72" s="42"/>
      <c r="M72" s="197">
        <v>1</v>
      </c>
      <c r="N72" s="629"/>
      <c r="O72" s="629"/>
      <c r="P72" s="629"/>
      <c r="Q72" s="629"/>
      <c r="R72" s="629"/>
      <c r="S72" s="629"/>
      <c r="T72" s="629"/>
      <c r="U72" s="629"/>
      <c r="V72" s="629"/>
      <c r="W72" s="629"/>
      <c r="X72" s="629"/>
      <c r="Y72" s="629"/>
      <c r="Z72" s="629"/>
      <c r="AA72" s="629"/>
      <c r="AB72" s="629"/>
      <c r="AC72" s="629"/>
      <c r="AD72" s="629"/>
      <c r="AE72" s="629"/>
      <c r="AF72" s="629"/>
      <c r="AG72" s="629"/>
    </row>
    <row r="73" spans="1:33">
      <c r="A73" s="175" t="str">
        <f>+Control!D3</f>
        <v>MIC INCORPORATION LIMITED </v>
      </c>
    </row>
    <row r="74" spans="1:33">
      <c r="A74" s="175"/>
      <c r="N74" s="633"/>
    </row>
    <row r="75" spans="1:33">
      <c r="A75" s="175" t="str">
        <f>+A14</f>
        <v>INCOME STATEMENT</v>
      </c>
    </row>
    <row r="76" spans="1:33">
      <c r="A76" s="193" t="str">
        <f>+CONCATENATE(N6,N7,N8,N9)</f>
        <v>FOR THE PERIOD ENDED 31 DECEMBER, 2016</v>
      </c>
      <c r="B76" s="25"/>
      <c r="C76" s="25"/>
      <c r="D76" s="25"/>
      <c r="E76" s="25"/>
      <c r="F76" s="25"/>
      <c r="G76" s="25"/>
      <c r="H76" s="25"/>
      <c r="I76" s="25"/>
      <c r="J76" s="25"/>
      <c r="K76" s="25"/>
      <c r="L76" s="25"/>
      <c r="M76" s="25"/>
      <c r="O76" s="628"/>
    </row>
    <row r="77" spans="1:33">
      <c r="A77" s="1049" t="str">
        <f>+CONCATENATE(N77,N78,N79)</f>
        <v>(Expressed in United States Dollars)</v>
      </c>
      <c r="B77" s="1049"/>
      <c r="C77" s="1049"/>
      <c r="D77" s="1049"/>
      <c r="E77" s="1049"/>
      <c r="F77" s="1049"/>
      <c r="G77" s="1049"/>
      <c r="H77" s="1049"/>
      <c r="I77" s="1049"/>
      <c r="J77" s="1049"/>
      <c r="K77" s="1049"/>
      <c r="L77" s="1049"/>
      <c r="M77" s="1049"/>
      <c r="N77" s="610" t="s">
        <v>764</v>
      </c>
      <c r="O77" s="628"/>
    </row>
    <row r="78" spans="1:33">
      <c r="A78" s="42"/>
      <c r="N78" s="610" t="str">
        <f>+Control!D67</f>
        <v>United States Dollars</v>
      </c>
    </row>
    <row r="79" spans="1:33">
      <c r="A79" s="42"/>
      <c r="N79" s="610" t="s">
        <v>5</v>
      </c>
    </row>
    <row r="80" spans="1:33">
      <c r="A80" s="42"/>
    </row>
    <row r="81" spans="1:257" s="199" customFormat="1" ht="15">
      <c r="F81" s="471" t="s">
        <v>765</v>
      </c>
      <c r="H81" s="463">
        <v>2013</v>
      </c>
      <c r="J81" s="1068">
        <v>2012</v>
      </c>
      <c r="K81" s="1068"/>
      <c r="L81" s="1068"/>
      <c r="M81" s="1068"/>
      <c r="N81" s="634"/>
      <c r="O81" s="634"/>
      <c r="P81" s="634"/>
      <c r="Q81" s="634"/>
      <c r="R81" s="634"/>
      <c r="S81" s="634"/>
      <c r="T81" s="634"/>
      <c r="U81" s="634"/>
      <c r="V81" s="634"/>
      <c r="W81" s="634"/>
      <c r="X81" s="634"/>
      <c r="Y81" s="634"/>
      <c r="Z81" s="634"/>
      <c r="AA81" s="634"/>
      <c r="AB81" s="634"/>
      <c r="AC81" s="634"/>
      <c r="AD81" s="634"/>
      <c r="AE81" s="634"/>
      <c r="AF81" s="634"/>
      <c r="AG81" s="634"/>
    </row>
    <row r="82" spans="1:257" s="199" customFormat="1" ht="15">
      <c r="F82" s="200"/>
      <c r="H82" s="201"/>
      <c r="J82" s="201"/>
      <c r="N82" s="634"/>
      <c r="O82" s="634"/>
      <c r="P82" s="634"/>
      <c r="Q82" s="634"/>
      <c r="R82" s="634"/>
      <c r="S82" s="634"/>
      <c r="T82" s="634"/>
      <c r="U82" s="634"/>
      <c r="V82" s="634"/>
      <c r="W82" s="634"/>
      <c r="X82" s="634"/>
      <c r="Y82" s="634"/>
      <c r="Z82" s="634"/>
      <c r="AA82" s="634"/>
      <c r="AB82" s="634"/>
      <c r="AC82" s="634"/>
      <c r="AD82" s="634"/>
      <c r="AE82" s="634"/>
      <c r="AF82" s="634"/>
      <c r="AG82" s="634"/>
    </row>
    <row r="83" spans="1:257" s="199" customFormat="1" ht="24.95" customHeight="1">
      <c r="A83" s="199" t="s">
        <v>766</v>
      </c>
      <c r="F83" s="200">
        <v>4</v>
      </c>
      <c r="H83" s="201">
        <v>46613021</v>
      </c>
      <c r="J83" s="1069">
        <v>59956413</v>
      </c>
      <c r="K83" s="1069"/>
      <c r="L83" s="1069"/>
      <c r="M83" s="1069"/>
      <c r="N83" s="634"/>
      <c r="O83" s="634"/>
      <c r="P83" s="634"/>
      <c r="Q83" s="634"/>
      <c r="R83" s="634"/>
      <c r="S83" s="634"/>
      <c r="T83" s="634"/>
      <c r="U83" s="634"/>
      <c r="V83" s="634"/>
      <c r="W83" s="634"/>
      <c r="X83" s="634"/>
      <c r="Y83" s="634"/>
      <c r="Z83" s="634"/>
      <c r="AA83" s="634"/>
      <c r="AB83" s="634"/>
      <c r="AC83" s="634"/>
      <c r="AD83" s="634"/>
      <c r="AE83" s="634"/>
      <c r="AF83" s="634"/>
      <c r="AG83" s="634"/>
    </row>
    <row r="84" spans="1:257" s="199" customFormat="1" ht="24.95" customHeight="1">
      <c r="A84" s="199" t="s">
        <v>768</v>
      </c>
      <c r="B84" s="202"/>
      <c r="C84" s="202"/>
      <c r="D84" s="202"/>
      <c r="E84" s="202"/>
      <c r="F84" s="202"/>
      <c r="H84" s="203">
        <v>-43700929</v>
      </c>
      <c r="I84" s="202"/>
      <c r="J84" s="1070">
        <v>-57026605</v>
      </c>
      <c r="K84" s="1070"/>
      <c r="L84" s="1070"/>
      <c r="M84" s="1070"/>
      <c r="N84" s="635"/>
      <c r="O84" s="635"/>
      <c r="P84" s="635"/>
      <c r="Q84" s="635"/>
      <c r="R84" s="635"/>
      <c r="S84" s="635"/>
      <c r="T84" s="635"/>
      <c r="U84" s="635"/>
      <c r="V84" s="635"/>
      <c r="W84" s="635"/>
      <c r="X84" s="635"/>
      <c r="Y84" s="635"/>
      <c r="Z84" s="635"/>
      <c r="AA84" s="635"/>
      <c r="AB84" s="635"/>
      <c r="AC84" s="635"/>
      <c r="AD84" s="635"/>
      <c r="AE84" s="635"/>
      <c r="AF84" s="635"/>
      <c r="AG84" s="635"/>
      <c r="AH84" s="202"/>
      <c r="AI84" s="202"/>
      <c r="AJ84" s="202"/>
      <c r="AK84" s="202"/>
      <c r="AL84" s="202"/>
      <c r="AM84" s="202"/>
      <c r="AN84" s="202"/>
      <c r="AO84" s="202"/>
      <c r="AP84" s="202"/>
      <c r="AQ84" s="202"/>
      <c r="AR84" s="202"/>
      <c r="AS84" s="202"/>
      <c r="AT84" s="202"/>
      <c r="AU84" s="202"/>
      <c r="AV84" s="202"/>
      <c r="AW84" s="202"/>
      <c r="AX84" s="202"/>
      <c r="AY84" s="202"/>
      <c r="AZ84" s="202"/>
      <c r="BA84" s="202"/>
      <c r="BB84" s="202"/>
      <c r="BC84" s="202"/>
      <c r="BD84" s="202"/>
      <c r="BE84" s="202"/>
      <c r="BF84" s="202"/>
      <c r="BG84" s="202"/>
      <c r="BH84" s="202"/>
      <c r="BI84" s="202"/>
      <c r="BJ84" s="202"/>
      <c r="BK84" s="202"/>
      <c r="BL84" s="202"/>
      <c r="BM84" s="202"/>
      <c r="BN84" s="202"/>
      <c r="BO84" s="202"/>
      <c r="BP84" s="202"/>
      <c r="BQ84" s="202"/>
      <c r="BR84" s="202"/>
      <c r="BS84" s="202"/>
      <c r="BT84" s="202"/>
      <c r="BU84" s="202"/>
      <c r="BV84" s="202"/>
      <c r="BW84" s="202"/>
      <c r="BX84" s="202"/>
      <c r="BY84" s="202"/>
      <c r="BZ84" s="202"/>
      <c r="CA84" s="202"/>
      <c r="CB84" s="202"/>
      <c r="CC84" s="202"/>
      <c r="CD84" s="202"/>
      <c r="CE84" s="202"/>
      <c r="CF84" s="202"/>
      <c r="CG84" s="202"/>
      <c r="CH84" s="202"/>
      <c r="CI84" s="202"/>
      <c r="CJ84" s="202"/>
      <c r="CK84" s="202"/>
      <c r="CL84" s="202"/>
      <c r="CM84" s="202"/>
      <c r="CN84" s="202"/>
      <c r="CO84" s="202"/>
      <c r="CP84" s="202"/>
      <c r="CQ84" s="202"/>
      <c r="CR84" s="202"/>
      <c r="CS84" s="202"/>
      <c r="CT84" s="202"/>
      <c r="CU84" s="202"/>
      <c r="CV84" s="202"/>
      <c r="CW84" s="202"/>
      <c r="CX84" s="202"/>
      <c r="CY84" s="202"/>
      <c r="CZ84" s="202"/>
      <c r="DA84" s="202"/>
      <c r="DB84" s="202"/>
      <c r="DC84" s="202"/>
      <c r="DD84" s="202"/>
      <c r="DE84" s="202"/>
      <c r="DF84" s="202"/>
      <c r="DG84" s="202"/>
      <c r="DH84" s="202"/>
      <c r="DI84" s="202"/>
      <c r="DJ84" s="202"/>
      <c r="DK84" s="202"/>
      <c r="DL84" s="202"/>
      <c r="DM84" s="202"/>
      <c r="DN84" s="202"/>
      <c r="DO84" s="202"/>
      <c r="DP84" s="202"/>
      <c r="DQ84" s="202"/>
      <c r="DR84" s="202"/>
      <c r="DS84" s="202"/>
      <c r="DT84" s="202"/>
      <c r="DU84" s="202"/>
      <c r="DV84" s="202"/>
      <c r="DW84" s="202"/>
      <c r="DX84" s="202"/>
      <c r="DY84" s="202"/>
      <c r="DZ84" s="202"/>
      <c r="EA84" s="202"/>
      <c r="EB84" s="202"/>
      <c r="EC84" s="202"/>
      <c r="ED84" s="202"/>
      <c r="EE84" s="202"/>
      <c r="EF84" s="202"/>
      <c r="EG84" s="202"/>
      <c r="EH84" s="202"/>
      <c r="EI84" s="202"/>
      <c r="EJ84" s="202"/>
      <c r="EK84" s="202"/>
      <c r="EL84" s="202"/>
      <c r="EM84" s="202"/>
      <c r="EN84" s="202"/>
      <c r="EO84" s="202"/>
      <c r="EP84" s="202"/>
      <c r="EQ84" s="202"/>
      <c r="ER84" s="202"/>
      <c r="ES84" s="202"/>
      <c r="ET84" s="202"/>
      <c r="EU84" s="202"/>
      <c r="EV84" s="202"/>
      <c r="EW84" s="202"/>
      <c r="EX84" s="202"/>
      <c r="EY84" s="202"/>
      <c r="EZ84" s="202"/>
      <c r="FA84" s="202"/>
      <c r="FB84" s="202"/>
      <c r="FC84" s="202"/>
      <c r="FD84" s="202"/>
      <c r="FE84" s="202"/>
      <c r="FF84" s="202"/>
      <c r="FG84" s="202"/>
      <c r="FH84" s="202"/>
      <c r="FI84" s="202"/>
      <c r="FJ84" s="202"/>
      <c r="FK84" s="202"/>
      <c r="FL84" s="202"/>
      <c r="FM84" s="202"/>
      <c r="FN84" s="202"/>
      <c r="FO84" s="202"/>
      <c r="FP84" s="202"/>
      <c r="FQ84" s="202"/>
      <c r="FR84" s="202"/>
      <c r="FS84" s="202"/>
      <c r="FT84" s="202"/>
      <c r="FU84" s="202"/>
      <c r="FV84" s="202"/>
      <c r="FW84" s="202"/>
      <c r="FX84" s="202"/>
      <c r="FY84" s="202"/>
      <c r="FZ84" s="202"/>
      <c r="GA84" s="202"/>
      <c r="GB84" s="202"/>
      <c r="GC84" s="202"/>
      <c r="GD84" s="202"/>
      <c r="GE84" s="202"/>
      <c r="GF84" s="202"/>
      <c r="GG84" s="202"/>
      <c r="GH84" s="202"/>
      <c r="GI84" s="202"/>
      <c r="GJ84" s="202"/>
      <c r="GK84" s="202"/>
      <c r="GL84" s="202"/>
      <c r="GM84" s="202"/>
      <c r="GN84" s="202"/>
      <c r="GO84" s="202"/>
      <c r="GP84" s="202"/>
      <c r="GQ84" s="202"/>
      <c r="GR84" s="202"/>
      <c r="GS84" s="202"/>
      <c r="GT84" s="202"/>
      <c r="GU84" s="202"/>
      <c r="GV84" s="202"/>
      <c r="GW84" s="202"/>
      <c r="GX84" s="202"/>
      <c r="GY84" s="202"/>
      <c r="GZ84" s="202"/>
      <c r="HA84" s="202"/>
      <c r="HB84" s="202"/>
      <c r="HC84" s="202"/>
      <c r="HD84" s="202"/>
      <c r="HE84" s="202"/>
      <c r="HF84" s="202"/>
      <c r="HG84" s="202"/>
      <c r="HH84" s="202"/>
      <c r="HI84" s="202"/>
      <c r="HJ84" s="202"/>
      <c r="HK84" s="202"/>
      <c r="HL84" s="202"/>
      <c r="HM84" s="202"/>
      <c r="HN84" s="202"/>
      <c r="HO84" s="202"/>
      <c r="HP84" s="202"/>
      <c r="HQ84" s="202"/>
      <c r="HR84" s="202"/>
      <c r="HS84" s="202"/>
      <c r="HT84" s="202"/>
      <c r="HU84" s="202"/>
      <c r="HV84" s="202"/>
      <c r="HW84" s="202"/>
      <c r="HX84" s="202"/>
      <c r="HY84" s="202"/>
      <c r="HZ84" s="202"/>
      <c r="IA84" s="202"/>
      <c r="IB84" s="202"/>
      <c r="IC84" s="202"/>
      <c r="ID84" s="202"/>
      <c r="IE84" s="202"/>
      <c r="IF84" s="202"/>
      <c r="IG84" s="202"/>
      <c r="IH84" s="202"/>
      <c r="II84" s="202"/>
      <c r="IJ84" s="202"/>
      <c r="IK84" s="202"/>
      <c r="IL84" s="202"/>
      <c r="IM84" s="202"/>
      <c r="IN84" s="202"/>
      <c r="IO84" s="202"/>
      <c r="IP84" s="202"/>
      <c r="IQ84" s="202"/>
      <c r="IR84" s="202"/>
      <c r="IS84" s="202"/>
      <c r="IT84" s="202"/>
      <c r="IU84" s="202"/>
      <c r="IV84" s="202"/>
      <c r="IW84" s="202"/>
    </row>
    <row r="85" spans="1:257" s="199" customFormat="1" ht="24.95" customHeight="1">
      <c r="B85" s="202"/>
      <c r="C85" s="202"/>
      <c r="D85" s="202"/>
      <c r="E85" s="202"/>
      <c r="F85" s="202"/>
      <c r="H85" s="201">
        <f>+H83+H84</f>
        <v>2912092</v>
      </c>
      <c r="I85" s="202"/>
      <c r="J85" s="1069">
        <f>+J83+J84</f>
        <v>2929808</v>
      </c>
      <c r="K85" s="1069"/>
      <c r="L85" s="1069"/>
      <c r="M85" s="1069"/>
      <c r="N85" s="635"/>
      <c r="O85" s="635"/>
      <c r="P85" s="635"/>
      <c r="Q85" s="635"/>
      <c r="R85" s="635"/>
      <c r="S85" s="635"/>
      <c r="T85" s="635"/>
      <c r="U85" s="635"/>
      <c r="V85" s="635"/>
      <c r="W85" s="635"/>
      <c r="X85" s="635"/>
      <c r="Y85" s="635"/>
      <c r="Z85" s="635"/>
      <c r="AA85" s="635"/>
      <c r="AB85" s="635"/>
      <c r="AC85" s="635"/>
      <c r="AD85" s="635"/>
      <c r="AE85" s="635"/>
      <c r="AF85" s="635"/>
      <c r="AG85" s="635"/>
      <c r="AH85" s="202"/>
      <c r="AI85" s="202"/>
      <c r="AJ85" s="202"/>
      <c r="AK85" s="202"/>
      <c r="AL85" s="202"/>
      <c r="AM85" s="202"/>
      <c r="AN85" s="202"/>
      <c r="AO85" s="202"/>
      <c r="AP85" s="202"/>
      <c r="AQ85" s="202"/>
      <c r="AR85" s="202"/>
      <c r="AS85" s="202"/>
      <c r="AT85" s="202"/>
      <c r="AU85" s="202"/>
      <c r="AV85" s="202"/>
      <c r="AW85" s="202"/>
      <c r="AX85" s="202"/>
      <c r="AY85" s="202"/>
      <c r="AZ85" s="202"/>
      <c r="BA85" s="202"/>
      <c r="BB85" s="202"/>
      <c r="BC85" s="202"/>
      <c r="BD85" s="202"/>
      <c r="BE85" s="202"/>
      <c r="BF85" s="202"/>
      <c r="BG85" s="202"/>
      <c r="BH85" s="202"/>
      <c r="BI85" s="202"/>
      <c r="BJ85" s="202"/>
      <c r="BK85" s="202"/>
      <c r="BL85" s="202"/>
      <c r="BM85" s="202"/>
      <c r="BN85" s="202"/>
      <c r="BO85" s="202"/>
      <c r="BP85" s="202"/>
      <c r="BQ85" s="202"/>
      <c r="BR85" s="202"/>
      <c r="BS85" s="202"/>
      <c r="BT85" s="202"/>
      <c r="BU85" s="202"/>
      <c r="BV85" s="202"/>
      <c r="BW85" s="202"/>
      <c r="BX85" s="202"/>
      <c r="BY85" s="202"/>
      <c r="BZ85" s="202"/>
      <c r="CA85" s="202"/>
      <c r="CB85" s="202"/>
      <c r="CC85" s="202"/>
      <c r="CD85" s="202"/>
      <c r="CE85" s="202"/>
      <c r="CF85" s="202"/>
      <c r="CG85" s="202"/>
      <c r="CH85" s="202"/>
      <c r="CI85" s="202"/>
      <c r="CJ85" s="202"/>
      <c r="CK85" s="202"/>
      <c r="CL85" s="202"/>
      <c r="CM85" s="202"/>
      <c r="CN85" s="202"/>
      <c r="CO85" s="202"/>
      <c r="CP85" s="202"/>
      <c r="CQ85" s="202"/>
      <c r="CR85" s="202"/>
      <c r="CS85" s="202"/>
      <c r="CT85" s="202"/>
      <c r="CU85" s="202"/>
      <c r="CV85" s="202"/>
      <c r="CW85" s="202"/>
      <c r="CX85" s="202"/>
      <c r="CY85" s="202"/>
      <c r="CZ85" s="202"/>
      <c r="DA85" s="202"/>
      <c r="DB85" s="202"/>
      <c r="DC85" s="202"/>
      <c r="DD85" s="202"/>
      <c r="DE85" s="202"/>
      <c r="DF85" s="202"/>
      <c r="DG85" s="202"/>
      <c r="DH85" s="202"/>
      <c r="DI85" s="202"/>
      <c r="DJ85" s="202"/>
      <c r="DK85" s="202"/>
      <c r="DL85" s="202"/>
      <c r="DM85" s="202"/>
      <c r="DN85" s="202"/>
      <c r="DO85" s="202"/>
      <c r="DP85" s="202"/>
      <c r="DQ85" s="202"/>
      <c r="DR85" s="202"/>
      <c r="DS85" s="202"/>
      <c r="DT85" s="202"/>
      <c r="DU85" s="202"/>
      <c r="DV85" s="202"/>
      <c r="DW85" s="202"/>
      <c r="DX85" s="202"/>
      <c r="DY85" s="202"/>
      <c r="DZ85" s="202"/>
      <c r="EA85" s="202"/>
      <c r="EB85" s="202"/>
      <c r="EC85" s="202"/>
      <c r="ED85" s="202"/>
      <c r="EE85" s="202"/>
      <c r="EF85" s="202"/>
      <c r="EG85" s="202"/>
      <c r="EH85" s="202"/>
      <c r="EI85" s="202"/>
      <c r="EJ85" s="202"/>
      <c r="EK85" s="202"/>
      <c r="EL85" s="202"/>
      <c r="EM85" s="202"/>
      <c r="EN85" s="202"/>
      <c r="EO85" s="202"/>
      <c r="EP85" s="202"/>
      <c r="EQ85" s="202"/>
      <c r="ER85" s="202"/>
      <c r="ES85" s="202"/>
      <c r="ET85" s="202"/>
      <c r="EU85" s="202"/>
      <c r="EV85" s="202"/>
      <c r="EW85" s="202"/>
      <c r="EX85" s="202"/>
      <c r="EY85" s="202"/>
      <c r="EZ85" s="202"/>
      <c r="FA85" s="202"/>
      <c r="FB85" s="202"/>
      <c r="FC85" s="202"/>
      <c r="FD85" s="202"/>
      <c r="FE85" s="202"/>
      <c r="FF85" s="202"/>
      <c r="FG85" s="202"/>
      <c r="FH85" s="202"/>
      <c r="FI85" s="202"/>
      <c r="FJ85" s="202"/>
      <c r="FK85" s="202"/>
      <c r="FL85" s="202"/>
      <c r="FM85" s="202"/>
      <c r="FN85" s="202"/>
      <c r="FO85" s="202"/>
      <c r="FP85" s="202"/>
      <c r="FQ85" s="202"/>
      <c r="FR85" s="202"/>
      <c r="FS85" s="202"/>
      <c r="FT85" s="202"/>
      <c r="FU85" s="202"/>
      <c r="FV85" s="202"/>
      <c r="FW85" s="202"/>
      <c r="FX85" s="202"/>
      <c r="FY85" s="202"/>
      <c r="FZ85" s="202"/>
      <c r="GA85" s="202"/>
      <c r="GB85" s="202"/>
      <c r="GC85" s="202"/>
      <c r="GD85" s="202"/>
      <c r="GE85" s="202"/>
      <c r="GF85" s="202"/>
      <c r="GG85" s="202"/>
      <c r="GH85" s="202"/>
      <c r="GI85" s="202"/>
      <c r="GJ85" s="202"/>
      <c r="GK85" s="202"/>
      <c r="GL85" s="202"/>
      <c r="GM85" s="202"/>
      <c r="GN85" s="202"/>
      <c r="GO85" s="202"/>
      <c r="GP85" s="202"/>
      <c r="GQ85" s="202"/>
      <c r="GR85" s="202"/>
      <c r="GS85" s="202"/>
      <c r="GT85" s="202"/>
      <c r="GU85" s="202"/>
      <c r="GV85" s="202"/>
      <c r="GW85" s="202"/>
      <c r="GX85" s="202"/>
      <c r="GY85" s="202"/>
      <c r="GZ85" s="202"/>
      <c r="HA85" s="202"/>
      <c r="HB85" s="202"/>
      <c r="HC85" s="202"/>
      <c r="HD85" s="202"/>
      <c r="HE85" s="202"/>
      <c r="HF85" s="202"/>
      <c r="HG85" s="202"/>
      <c r="HH85" s="202"/>
      <c r="HI85" s="202"/>
      <c r="HJ85" s="202"/>
      <c r="HK85" s="202"/>
      <c r="HL85" s="202"/>
      <c r="HM85" s="202"/>
      <c r="HN85" s="202"/>
      <c r="HO85" s="202"/>
      <c r="HP85" s="202"/>
      <c r="HQ85" s="202"/>
      <c r="HR85" s="202"/>
      <c r="HS85" s="202"/>
      <c r="HT85" s="202"/>
      <c r="HU85" s="202"/>
      <c r="HV85" s="202"/>
      <c r="HW85" s="202"/>
      <c r="HX85" s="202"/>
      <c r="HY85" s="202"/>
      <c r="HZ85" s="202"/>
      <c r="IA85" s="202"/>
      <c r="IB85" s="202"/>
      <c r="IC85" s="202"/>
      <c r="ID85" s="202"/>
      <c r="IE85" s="202"/>
      <c r="IF85" s="202"/>
      <c r="IG85" s="202"/>
      <c r="IH85" s="202"/>
      <c r="II85" s="202"/>
      <c r="IJ85" s="202"/>
      <c r="IK85" s="202"/>
      <c r="IL85" s="202"/>
      <c r="IM85" s="202"/>
      <c r="IN85" s="202"/>
      <c r="IO85" s="202"/>
      <c r="IP85" s="202"/>
      <c r="IQ85" s="202"/>
      <c r="IR85" s="202"/>
      <c r="IS85" s="202"/>
      <c r="IT85" s="202"/>
      <c r="IU85" s="202"/>
      <c r="IV85" s="202"/>
      <c r="IW85" s="202"/>
    </row>
    <row r="86" spans="1:257" s="199" customFormat="1" ht="24.95" customHeight="1">
      <c r="A86" s="199" t="s">
        <v>769</v>
      </c>
      <c r="F86" s="200">
        <v>4</v>
      </c>
      <c r="H86" s="201">
        <v>17</v>
      </c>
      <c r="J86" s="1069">
        <v>15</v>
      </c>
      <c r="K86" s="1069"/>
      <c r="L86" s="1069"/>
      <c r="M86" s="1069"/>
      <c r="N86" s="636" t="str">
        <f>+IF(H88&lt;0,"Loss","Profit")</f>
        <v>Profit</v>
      </c>
      <c r="O86" s="636"/>
      <c r="P86" s="637"/>
      <c r="Q86" s="637"/>
      <c r="R86" s="637"/>
      <c r="S86" s="637"/>
      <c r="T86" s="637"/>
      <c r="U86" s="634"/>
      <c r="V86" s="634"/>
      <c r="W86" s="634"/>
      <c r="X86" s="634"/>
      <c r="Y86" s="634"/>
      <c r="Z86" s="634"/>
      <c r="AA86" s="634"/>
      <c r="AB86" s="634"/>
      <c r="AC86" s="634"/>
      <c r="AD86" s="634"/>
      <c r="AE86" s="634"/>
      <c r="AF86" s="634"/>
      <c r="AG86" s="634"/>
    </row>
    <row r="87" spans="1:257" s="199" customFormat="1" ht="24.95" customHeight="1">
      <c r="A87" s="199" t="s">
        <v>770</v>
      </c>
      <c r="F87" s="200"/>
      <c r="H87" s="204">
        <v>-2869789</v>
      </c>
      <c r="I87" s="205"/>
      <c r="J87" s="1071">
        <v>-3043180</v>
      </c>
      <c r="K87" s="1071"/>
      <c r="L87" s="1071"/>
      <c r="M87" s="1071"/>
      <c r="N87" s="637" t="str">
        <f>+IF(H88&gt;0,"1","2")</f>
        <v>1</v>
      </c>
      <c r="O87" s="637"/>
      <c r="P87" s="637" t="str">
        <f>+IF(J88&gt;0,"1","2")</f>
        <v>2</v>
      </c>
      <c r="Q87" s="637"/>
      <c r="R87" s="637"/>
      <c r="S87" s="637"/>
      <c r="T87" s="637"/>
      <c r="U87" s="634"/>
      <c r="V87" s="634"/>
      <c r="W87" s="634"/>
      <c r="X87" s="634"/>
      <c r="Y87" s="634"/>
      <c r="Z87" s="634"/>
      <c r="AA87" s="634"/>
      <c r="AB87" s="634"/>
      <c r="AC87" s="634"/>
      <c r="AD87" s="634"/>
      <c r="AE87" s="634"/>
      <c r="AF87" s="634"/>
      <c r="AG87" s="634"/>
    </row>
    <row r="88" spans="1:257" s="199" customFormat="1" ht="24.95" customHeight="1">
      <c r="A88" s="199" t="str">
        <f>IF(N87=P87,+CONCATENATE(N86,Q88),+CONCATENATE(N88,O88,P88,Q88))</f>
        <v>Profit/(loss) from operations and before taxation</v>
      </c>
      <c r="F88" s="200">
        <v>5</v>
      </c>
      <c r="H88" s="201">
        <f>+H85+H86+H87</f>
        <v>42320</v>
      </c>
      <c r="J88" s="1069">
        <f>+J85+J86+J87</f>
        <v>-113357</v>
      </c>
      <c r="K88" s="1069"/>
      <c r="L88" s="1069"/>
      <c r="M88" s="1069"/>
      <c r="N88" s="637" t="str">
        <f>+IF(H88&lt;0,"(Loss)","Profit")</f>
        <v>Profit</v>
      </c>
      <c r="O88" s="637" t="s">
        <v>487</v>
      </c>
      <c r="P88" s="637" t="str">
        <f>+IF(J88&lt;0,"(loss)","profit")</f>
        <v>(loss)</v>
      </c>
      <c r="Q88" s="637" t="s">
        <v>771</v>
      </c>
      <c r="R88" s="637"/>
      <c r="S88" s="637"/>
      <c r="T88" s="637"/>
      <c r="U88" s="634"/>
      <c r="V88" s="634"/>
      <c r="W88" s="634"/>
      <c r="X88" s="634"/>
      <c r="Y88" s="634"/>
      <c r="Z88" s="634"/>
      <c r="AA88" s="634"/>
      <c r="AB88" s="634"/>
      <c r="AC88" s="634"/>
      <c r="AD88" s="634"/>
      <c r="AE88" s="634"/>
      <c r="AF88" s="634"/>
      <c r="AG88" s="634"/>
    </row>
    <row r="89" spans="1:257" s="199" customFormat="1" ht="23.25" customHeight="1">
      <c r="A89" s="199" t="s">
        <v>772</v>
      </c>
      <c r="F89" s="200">
        <v>6</v>
      </c>
      <c r="H89" s="203">
        <v>0</v>
      </c>
      <c r="J89" s="1072">
        <v>0</v>
      </c>
      <c r="K89" s="1072"/>
      <c r="L89" s="1072"/>
      <c r="M89" s="1072"/>
      <c r="N89" s="638" t="str">
        <f>+IF(H90&lt;0,"Loss","Profit")</f>
        <v>Profit</v>
      </c>
      <c r="O89" s="638"/>
      <c r="P89" s="638"/>
      <c r="Q89" s="638"/>
      <c r="R89" s="638"/>
      <c r="S89" s="638"/>
      <c r="T89" s="638"/>
      <c r="U89" s="634"/>
      <c r="V89" s="634"/>
      <c r="W89" s="634"/>
      <c r="X89" s="634"/>
      <c r="Y89" s="634"/>
      <c r="Z89" s="634"/>
      <c r="AA89" s="634"/>
      <c r="AB89" s="634"/>
      <c r="AC89" s="634"/>
      <c r="AD89" s="634"/>
      <c r="AE89" s="634"/>
      <c r="AF89" s="634"/>
      <c r="AG89" s="634"/>
    </row>
    <row r="90" spans="1:257" s="199" customFormat="1" ht="24.95" customHeight="1" thickBot="1">
      <c r="A90" s="199" t="str">
        <f>IF(N90=P90,+CONCATENATE(N89,Q91),+CONCATENATE(N91,O91,P91,Q91))</f>
        <v>Profit/(loss) after taxation</v>
      </c>
      <c r="F90" s="200"/>
      <c r="H90" s="206">
        <f>+H88+H89</f>
        <v>42320</v>
      </c>
      <c r="J90" s="1073">
        <f>+J88+J89</f>
        <v>-113357</v>
      </c>
      <c r="K90" s="1073"/>
      <c r="L90" s="1073"/>
      <c r="M90" s="1073"/>
      <c r="N90" s="638" t="str">
        <f>+IF(H90&gt;0,"1","2")</f>
        <v>1</v>
      </c>
      <c r="O90" s="638"/>
      <c r="P90" s="638" t="str">
        <f>+IF(J90&gt;0,"1","2")</f>
        <v>2</v>
      </c>
      <c r="Q90" s="638"/>
      <c r="R90" s="638"/>
      <c r="S90" s="638"/>
      <c r="T90" s="638"/>
      <c r="U90" s="634"/>
      <c r="V90" s="634"/>
      <c r="W90" s="634"/>
      <c r="X90" s="634"/>
      <c r="Y90" s="634"/>
      <c r="Z90" s="634"/>
      <c r="AA90" s="634"/>
      <c r="AB90" s="634"/>
      <c r="AC90" s="634"/>
      <c r="AD90" s="634"/>
      <c r="AE90" s="634"/>
      <c r="AF90" s="634"/>
      <c r="AG90" s="634"/>
    </row>
    <row r="91" spans="1:257" s="199" customFormat="1" thickTop="1">
      <c r="F91" s="200"/>
      <c r="H91" s="201"/>
      <c r="J91" s="201"/>
      <c r="N91" s="638" t="str">
        <f>+IF(H90&lt;0,"(Loss)","Profit")</f>
        <v>Profit</v>
      </c>
      <c r="O91" s="638" t="s">
        <v>487</v>
      </c>
      <c r="P91" s="638" t="str">
        <f>+IF(J90&lt;0,"(loss)","profit")</f>
        <v>(loss)</v>
      </c>
      <c r="Q91" s="638" t="s">
        <v>774</v>
      </c>
      <c r="R91" s="638"/>
      <c r="S91" s="638"/>
      <c r="T91" s="638"/>
      <c r="U91" s="634"/>
      <c r="V91" s="634"/>
      <c r="W91" s="634"/>
      <c r="X91" s="634"/>
      <c r="Y91" s="634"/>
      <c r="Z91" s="634"/>
      <c r="AA91" s="634"/>
      <c r="AB91" s="634"/>
      <c r="AC91" s="634"/>
      <c r="AD91" s="634"/>
      <c r="AE91" s="634"/>
      <c r="AF91" s="634"/>
      <c r="AG91" s="634"/>
    </row>
    <row r="101" spans="1:20">
      <c r="A101" s="43" t="s">
        <v>972</v>
      </c>
    </row>
    <row r="103" spans="1:20">
      <c r="A103" s="43" t="str">
        <f>+CONCATENATE(N103,N104,N105,N106,N107)</f>
        <v>There were no recognised profits or losses other than the profit for the period.</v>
      </c>
      <c r="N103" s="610" t="s">
        <v>776</v>
      </c>
      <c r="O103" s="610"/>
      <c r="P103" s="610"/>
      <c r="Q103" s="610"/>
      <c r="R103" s="610"/>
      <c r="S103" s="610"/>
      <c r="T103" s="610"/>
    </row>
    <row r="104" spans="1:20">
      <c r="A104" s="43"/>
      <c r="N104" s="610" t="str">
        <f>+LOWER(N91)</f>
        <v>profit</v>
      </c>
      <c r="O104" s="610"/>
      <c r="P104" s="610"/>
      <c r="Q104" s="610"/>
      <c r="R104" s="610"/>
      <c r="S104" s="610"/>
      <c r="T104" s="610"/>
    </row>
    <row r="105" spans="1:20">
      <c r="A105" s="43"/>
      <c r="N105" s="610" t="s">
        <v>659</v>
      </c>
      <c r="O105" s="610"/>
      <c r="P105" s="610"/>
      <c r="Q105" s="610"/>
      <c r="R105" s="610"/>
      <c r="S105" s="610"/>
      <c r="T105" s="610"/>
    </row>
    <row r="106" spans="1:20">
      <c r="A106" s="43"/>
      <c r="N106" s="610" t="str">
        <f>+LOWER(Control!D9)</f>
        <v>period</v>
      </c>
      <c r="O106" s="610"/>
      <c r="P106" s="610"/>
      <c r="Q106" s="610"/>
      <c r="R106" s="610"/>
      <c r="S106" s="610"/>
      <c r="T106" s="610"/>
    </row>
    <row r="107" spans="1:20">
      <c r="N107" s="610" t="s">
        <v>239</v>
      </c>
      <c r="O107" s="610"/>
      <c r="P107" s="610"/>
      <c r="Q107" s="610"/>
      <c r="R107" s="610"/>
      <c r="S107" s="610"/>
      <c r="T107" s="610"/>
    </row>
    <row r="115" spans="1:33">
      <c r="M115" s="197">
        <v>4</v>
      </c>
    </row>
    <row r="116" spans="1:33">
      <c r="A116" s="175" t="str">
        <f>+Control!D3</f>
        <v>MIC INCORPORATION LIMITED </v>
      </c>
    </row>
    <row r="117" spans="1:33">
      <c r="A117" s="175"/>
    </row>
    <row r="118" spans="1:33">
      <c r="A118" s="175" t="str">
        <f>+A16</f>
        <v>BALANCE SHEET</v>
      </c>
      <c r="N118" s="633"/>
    </row>
    <row r="119" spans="1:33">
      <c r="A119" s="193" t="str">
        <f>+CONCATENATE(N119,N120)</f>
        <v>AS AT 31 DECEMBER, 2016</v>
      </c>
      <c r="B119" s="25"/>
      <c r="C119" s="25"/>
      <c r="D119" s="25"/>
      <c r="E119" s="25"/>
      <c r="F119" s="25"/>
      <c r="G119" s="25"/>
      <c r="H119" s="25"/>
      <c r="I119" s="25"/>
      <c r="J119" s="25"/>
      <c r="K119" s="25"/>
      <c r="L119" s="25"/>
      <c r="M119" s="25"/>
      <c r="N119" s="610" t="s">
        <v>777</v>
      </c>
      <c r="O119" s="628"/>
    </row>
    <row r="120" spans="1:33">
      <c r="A120" s="1049" t="str">
        <f>+A77</f>
        <v>(Expressed in United States Dollars)</v>
      </c>
      <c r="B120" s="1049"/>
      <c r="C120" s="1049"/>
      <c r="D120" s="1049"/>
      <c r="E120" s="1049"/>
      <c r="F120" s="1049"/>
      <c r="G120" s="1049"/>
      <c r="H120" s="1049"/>
      <c r="I120" s="1049"/>
      <c r="J120" s="1049"/>
      <c r="K120" s="1049"/>
      <c r="L120" s="1049"/>
      <c r="M120" s="1049"/>
      <c r="N120" s="610" t="str">
        <f>+Control!D7</f>
        <v>31 DECEMBER, 2016</v>
      </c>
    </row>
    <row r="122" spans="1:33" ht="15" customHeight="1"/>
    <row r="123" spans="1:33" s="199" customFormat="1" ht="15" customHeight="1">
      <c r="F123" s="207" t="s">
        <v>765</v>
      </c>
      <c r="H123" s="464" t="s">
        <v>973</v>
      </c>
      <c r="J123" s="1075" t="s">
        <v>974</v>
      </c>
      <c r="K123" s="1075"/>
      <c r="L123" s="1075"/>
      <c r="M123" s="1075"/>
      <c r="N123" s="634"/>
      <c r="O123" s="634"/>
      <c r="P123" s="634"/>
      <c r="Q123" s="634"/>
      <c r="R123" s="634"/>
      <c r="S123" s="634"/>
      <c r="T123" s="634"/>
      <c r="U123" s="634"/>
      <c r="V123" s="634"/>
      <c r="W123" s="634"/>
      <c r="X123" s="634"/>
      <c r="Y123" s="634"/>
      <c r="Z123" s="634"/>
      <c r="AA123" s="634"/>
      <c r="AB123" s="634"/>
      <c r="AC123" s="634"/>
      <c r="AD123" s="634"/>
      <c r="AE123" s="634"/>
      <c r="AF123" s="634"/>
      <c r="AG123" s="634"/>
    </row>
    <row r="124" spans="1:33" s="199" customFormat="1" ht="15" customHeight="1">
      <c r="F124" s="208"/>
      <c r="H124" s="201"/>
      <c r="J124" s="209"/>
      <c r="N124" s="634"/>
      <c r="O124" s="634"/>
      <c r="P124" s="634"/>
      <c r="Q124" s="634"/>
      <c r="R124" s="634"/>
      <c r="S124" s="634"/>
      <c r="T124" s="634"/>
      <c r="U124" s="634"/>
      <c r="V124" s="634"/>
      <c r="W124" s="634"/>
      <c r="X124" s="634"/>
      <c r="Y124" s="634"/>
      <c r="Z124" s="634"/>
      <c r="AA124" s="634"/>
      <c r="AB124" s="634"/>
      <c r="AC124" s="634"/>
      <c r="AD124" s="634"/>
      <c r="AE124" s="634"/>
      <c r="AF124" s="634"/>
      <c r="AG124" s="634"/>
    </row>
    <row r="125" spans="1:33" s="199" customFormat="1" ht="15" customHeight="1">
      <c r="A125" s="210" t="s">
        <v>778</v>
      </c>
      <c r="F125" s="208"/>
      <c r="H125" s="201"/>
      <c r="J125" s="209"/>
      <c r="N125" s="634"/>
      <c r="O125" s="634"/>
      <c r="P125" s="634"/>
      <c r="Q125" s="634"/>
      <c r="R125" s="634"/>
      <c r="S125" s="634"/>
      <c r="T125" s="634"/>
      <c r="U125" s="634"/>
      <c r="V125" s="634"/>
      <c r="W125" s="634"/>
      <c r="X125" s="634"/>
      <c r="Y125" s="634"/>
      <c r="Z125" s="634"/>
      <c r="AA125" s="634"/>
      <c r="AB125" s="634"/>
      <c r="AC125" s="634"/>
      <c r="AD125" s="634"/>
      <c r="AE125" s="634"/>
      <c r="AF125" s="634"/>
      <c r="AG125" s="634"/>
    </row>
    <row r="126" spans="1:33" s="199" customFormat="1" ht="15" customHeight="1">
      <c r="A126" s="43" t="s">
        <v>975</v>
      </c>
      <c r="F126" s="208">
        <v>7</v>
      </c>
      <c r="H126" s="201">
        <v>304669</v>
      </c>
      <c r="J126" s="1076">
        <v>211795</v>
      </c>
      <c r="K126" s="1076"/>
      <c r="L126" s="1076"/>
      <c r="M126" s="1076"/>
      <c r="N126" s="634"/>
      <c r="O126" s="634"/>
      <c r="P126" s="634"/>
      <c r="Q126" s="634"/>
      <c r="R126" s="634"/>
      <c r="S126" s="634"/>
      <c r="T126" s="634"/>
      <c r="U126" s="634"/>
      <c r="V126" s="634"/>
      <c r="W126" s="634"/>
      <c r="X126" s="634"/>
      <c r="Y126" s="634"/>
      <c r="Z126" s="634"/>
      <c r="AA126" s="634"/>
      <c r="AB126" s="634"/>
      <c r="AC126" s="634"/>
      <c r="AD126" s="634"/>
      <c r="AE126" s="634"/>
      <c r="AF126" s="634"/>
      <c r="AG126" s="634"/>
    </row>
    <row r="127" spans="1:33" s="199" customFormat="1" ht="15" customHeight="1">
      <c r="F127" s="208"/>
      <c r="H127" s="201"/>
      <c r="J127" s="209"/>
      <c r="N127" s="634"/>
      <c r="O127" s="634"/>
      <c r="P127" s="634"/>
      <c r="Q127" s="634"/>
      <c r="R127" s="634"/>
      <c r="S127" s="634"/>
      <c r="T127" s="634"/>
      <c r="U127" s="634"/>
      <c r="V127" s="634"/>
      <c r="W127" s="634"/>
      <c r="X127" s="634"/>
      <c r="Y127" s="634"/>
      <c r="Z127" s="634"/>
      <c r="AA127" s="634"/>
      <c r="AB127" s="634"/>
      <c r="AC127" s="634"/>
      <c r="AD127" s="634"/>
      <c r="AE127" s="634"/>
      <c r="AF127" s="634"/>
      <c r="AG127" s="634"/>
    </row>
    <row r="128" spans="1:33" s="199" customFormat="1" ht="15" customHeight="1">
      <c r="A128" s="210" t="s">
        <v>780</v>
      </c>
      <c r="F128" s="208"/>
      <c r="H128" s="201"/>
      <c r="J128" s="209"/>
      <c r="N128" s="634"/>
      <c r="O128" s="634"/>
      <c r="P128" s="634"/>
      <c r="Q128" s="634"/>
      <c r="R128" s="634"/>
      <c r="S128" s="634"/>
      <c r="T128" s="634"/>
      <c r="U128" s="634"/>
      <c r="V128" s="634"/>
      <c r="W128" s="634"/>
      <c r="X128" s="634"/>
      <c r="Y128" s="634"/>
      <c r="Z128" s="634"/>
      <c r="AA128" s="634"/>
      <c r="AB128" s="634"/>
      <c r="AC128" s="634"/>
      <c r="AD128" s="634"/>
      <c r="AE128" s="634"/>
      <c r="AF128" s="634"/>
      <c r="AG128" s="634"/>
    </row>
    <row r="129" spans="1:33" s="199" customFormat="1" ht="15" customHeight="1">
      <c r="A129" s="43" t="s">
        <v>976</v>
      </c>
      <c r="F129" s="208"/>
      <c r="H129" s="201">
        <v>68880</v>
      </c>
      <c r="J129" s="1076">
        <v>68880</v>
      </c>
      <c r="K129" s="1076"/>
      <c r="L129" s="1076"/>
      <c r="M129" s="1076"/>
      <c r="N129" s="634"/>
      <c r="O129" s="634"/>
      <c r="P129" s="634"/>
      <c r="Q129" s="634"/>
      <c r="R129" s="634"/>
      <c r="S129" s="634"/>
      <c r="T129" s="634"/>
      <c r="U129" s="634"/>
      <c r="V129" s="634"/>
      <c r="W129" s="634"/>
      <c r="X129" s="634"/>
      <c r="Y129" s="634"/>
      <c r="Z129" s="634"/>
      <c r="AA129" s="634"/>
      <c r="AB129" s="634"/>
      <c r="AC129" s="634"/>
      <c r="AD129" s="634"/>
      <c r="AE129" s="634"/>
      <c r="AF129" s="634"/>
      <c r="AG129" s="634"/>
    </row>
    <row r="130" spans="1:33" s="199" customFormat="1" ht="15" customHeight="1">
      <c r="A130" s="43" t="s">
        <v>977</v>
      </c>
      <c r="F130" s="465"/>
      <c r="H130" s="201">
        <f>757559+164994</f>
        <v>922553</v>
      </c>
      <c r="J130" s="1076">
        <v>1698798</v>
      </c>
      <c r="K130" s="1076"/>
      <c r="L130" s="1076"/>
      <c r="M130" s="1076"/>
      <c r="N130" s="634"/>
      <c r="O130" s="634"/>
      <c r="P130" s="634"/>
      <c r="Q130" s="634"/>
      <c r="R130" s="634"/>
      <c r="S130" s="634"/>
      <c r="T130" s="634"/>
      <c r="U130" s="634"/>
      <c r="V130" s="634"/>
      <c r="W130" s="634"/>
      <c r="X130" s="634"/>
      <c r="Y130" s="634"/>
      <c r="Z130" s="634"/>
      <c r="AA130" s="634"/>
      <c r="AB130" s="634"/>
      <c r="AC130" s="634"/>
      <c r="AD130" s="634"/>
      <c r="AE130" s="634"/>
      <c r="AF130" s="634"/>
      <c r="AG130" s="634"/>
    </row>
    <row r="131" spans="1:33" s="199" customFormat="1" ht="6" customHeight="1">
      <c r="F131" s="208"/>
      <c r="H131" s="201"/>
      <c r="J131" s="204"/>
      <c r="K131" s="218"/>
      <c r="L131" s="218"/>
      <c r="M131" s="218"/>
      <c r="N131" s="634"/>
      <c r="O131" s="634"/>
      <c r="P131" s="634"/>
      <c r="Q131" s="634"/>
      <c r="R131" s="634"/>
      <c r="S131" s="634"/>
      <c r="T131" s="634"/>
      <c r="U131" s="634"/>
      <c r="V131" s="634"/>
      <c r="W131" s="634"/>
      <c r="X131" s="634"/>
      <c r="Y131" s="634"/>
      <c r="Z131" s="634"/>
      <c r="AA131" s="634"/>
      <c r="AB131" s="634"/>
      <c r="AC131" s="634"/>
      <c r="AD131" s="634"/>
      <c r="AE131" s="634"/>
      <c r="AF131" s="634"/>
      <c r="AG131" s="634"/>
    </row>
    <row r="132" spans="1:33" s="199" customFormat="1" ht="15" customHeight="1">
      <c r="F132" s="208"/>
      <c r="H132" s="211">
        <f>+H130+H129</f>
        <v>991433</v>
      </c>
      <c r="J132" s="1072">
        <f>+J130+J129</f>
        <v>1767678</v>
      </c>
      <c r="K132" s="1072"/>
      <c r="L132" s="1072"/>
      <c r="M132" s="1072"/>
      <c r="N132" s="634"/>
      <c r="O132" s="634"/>
      <c r="P132" s="634"/>
      <c r="Q132" s="634"/>
      <c r="R132" s="634"/>
      <c r="S132" s="634"/>
      <c r="T132" s="634"/>
      <c r="U132" s="634"/>
      <c r="V132" s="634"/>
      <c r="W132" s="634"/>
      <c r="X132" s="634"/>
      <c r="Y132" s="634"/>
      <c r="Z132" s="634"/>
      <c r="AA132" s="634"/>
      <c r="AB132" s="634"/>
      <c r="AC132" s="634"/>
      <c r="AD132" s="634"/>
      <c r="AE132" s="634"/>
      <c r="AF132" s="634"/>
      <c r="AG132" s="634"/>
    </row>
    <row r="133" spans="1:33" s="199" customFormat="1" ht="6" customHeight="1">
      <c r="F133" s="208"/>
      <c r="H133" s="203"/>
      <c r="J133" s="204"/>
      <c r="K133" s="218"/>
      <c r="L133" s="218"/>
      <c r="M133" s="218"/>
      <c r="N133" s="634"/>
      <c r="O133" s="634"/>
      <c r="P133" s="634"/>
      <c r="Q133" s="634"/>
      <c r="R133" s="634"/>
      <c r="S133" s="634"/>
      <c r="T133" s="634"/>
      <c r="U133" s="634"/>
      <c r="V133" s="634"/>
      <c r="W133" s="634"/>
      <c r="X133" s="634"/>
      <c r="Y133" s="634"/>
      <c r="Z133" s="634"/>
      <c r="AA133" s="634"/>
      <c r="AB133" s="634"/>
      <c r="AC133" s="634"/>
      <c r="AD133" s="634"/>
      <c r="AE133" s="634"/>
      <c r="AF133" s="634"/>
      <c r="AG133" s="634"/>
    </row>
    <row r="134" spans="1:33" s="199" customFormat="1" ht="15" customHeight="1">
      <c r="A134" s="210" t="s">
        <v>788</v>
      </c>
      <c r="F134" s="208"/>
      <c r="H134" s="201"/>
      <c r="J134" s="209"/>
      <c r="N134" s="634"/>
      <c r="O134" s="634"/>
      <c r="P134" s="634"/>
      <c r="Q134" s="634"/>
      <c r="R134" s="634"/>
      <c r="S134" s="634"/>
      <c r="T134" s="634"/>
      <c r="U134" s="634"/>
      <c r="V134" s="634"/>
      <c r="W134" s="634"/>
      <c r="X134" s="634"/>
      <c r="Y134" s="634"/>
      <c r="Z134" s="634"/>
      <c r="AA134" s="634"/>
      <c r="AB134" s="634"/>
      <c r="AC134" s="634"/>
      <c r="AD134" s="634"/>
      <c r="AE134" s="634"/>
      <c r="AF134" s="634"/>
      <c r="AG134" s="634"/>
    </row>
    <row r="135" spans="1:33" s="199" customFormat="1" ht="15" customHeight="1">
      <c r="A135" s="43" t="s">
        <v>978</v>
      </c>
      <c r="F135" s="208"/>
      <c r="H135" s="201">
        <v>11500</v>
      </c>
      <c r="J135" s="1076">
        <v>23000</v>
      </c>
      <c r="K135" s="1076"/>
      <c r="L135" s="1076"/>
      <c r="M135" s="1076"/>
      <c r="N135" s="634"/>
      <c r="O135" s="634"/>
      <c r="P135" s="634"/>
      <c r="Q135" s="634"/>
      <c r="R135" s="634"/>
      <c r="S135" s="634"/>
      <c r="T135" s="634"/>
      <c r="U135" s="634"/>
      <c r="V135" s="634"/>
      <c r="W135" s="634"/>
      <c r="X135" s="634"/>
      <c r="Y135" s="634"/>
      <c r="Z135" s="634"/>
      <c r="AA135" s="634"/>
      <c r="AB135" s="634"/>
      <c r="AC135" s="634"/>
      <c r="AD135" s="634"/>
      <c r="AE135" s="634"/>
      <c r="AF135" s="634"/>
      <c r="AG135" s="634"/>
    </row>
    <row r="136" spans="1:33" s="212" customFormat="1" ht="15" customHeight="1">
      <c r="A136" s="43" t="s">
        <v>787</v>
      </c>
      <c r="F136" s="208">
        <v>8</v>
      </c>
      <c r="H136" s="209">
        <f>1656151-1</f>
        <v>1656150</v>
      </c>
      <c r="J136" s="1076">
        <v>2370341</v>
      </c>
      <c r="K136" s="1076"/>
      <c r="L136" s="1076"/>
      <c r="M136" s="1076"/>
      <c r="N136" s="639"/>
      <c r="O136" s="639"/>
      <c r="P136" s="639"/>
      <c r="Q136" s="639"/>
      <c r="R136" s="639"/>
      <c r="S136" s="639"/>
      <c r="T136" s="639"/>
      <c r="U136" s="639"/>
      <c r="V136" s="639"/>
      <c r="W136" s="639"/>
      <c r="X136" s="639"/>
      <c r="Y136" s="639"/>
      <c r="Z136" s="639"/>
      <c r="AA136" s="639"/>
      <c r="AB136" s="639"/>
      <c r="AC136" s="639"/>
      <c r="AD136" s="639"/>
      <c r="AE136" s="639"/>
      <c r="AF136" s="639"/>
      <c r="AG136" s="639"/>
    </row>
    <row r="137" spans="1:33" s="199" customFormat="1" ht="6" customHeight="1">
      <c r="F137" s="208"/>
      <c r="H137" s="203"/>
      <c r="J137" s="204"/>
      <c r="K137" s="218"/>
      <c r="L137" s="218"/>
      <c r="M137" s="218"/>
      <c r="N137" s="634"/>
      <c r="O137" s="634"/>
      <c r="P137" s="634"/>
      <c r="Q137" s="634"/>
      <c r="R137" s="634"/>
      <c r="S137" s="634"/>
      <c r="T137" s="634"/>
      <c r="U137" s="634"/>
      <c r="V137" s="634"/>
      <c r="W137" s="634"/>
      <c r="X137" s="634"/>
      <c r="Y137" s="634"/>
      <c r="Z137" s="634"/>
      <c r="AA137" s="634"/>
      <c r="AB137" s="634"/>
      <c r="AC137" s="634"/>
      <c r="AD137" s="634"/>
      <c r="AE137" s="634"/>
      <c r="AF137" s="634"/>
      <c r="AG137" s="634"/>
    </row>
    <row r="138" spans="1:33" s="199" customFormat="1" ht="15" customHeight="1">
      <c r="F138" s="208"/>
      <c r="H138" s="213">
        <f>+H135+H136</f>
        <v>1667650</v>
      </c>
      <c r="J138" s="1074">
        <f>+J135+J136</f>
        <v>2393341</v>
      </c>
      <c r="K138" s="1074"/>
      <c r="L138" s="1074"/>
      <c r="M138" s="1074"/>
      <c r="N138" s="634"/>
      <c r="O138" s="634"/>
      <c r="P138" s="634"/>
      <c r="Q138" s="634"/>
      <c r="R138" s="634"/>
      <c r="S138" s="634"/>
      <c r="T138" s="634"/>
      <c r="U138" s="634"/>
      <c r="V138" s="634"/>
      <c r="W138" s="634"/>
      <c r="X138" s="634"/>
      <c r="Y138" s="634"/>
      <c r="Z138" s="634"/>
      <c r="AA138" s="634"/>
      <c r="AB138" s="634"/>
      <c r="AC138" s="634"/>
      <c r="AD138" s="634"/>
      <c r="AE138" s="634"/>
      <c r="AF138" s="634"/>
      <c r="AG138" s="634"/>
    </row>
    <row r="139" spans="1:33" s="199" customFormat="1" ht="6" customHeight="1">
      <c r="B139" s="210"/>
      <c r="F139" s="208"/>
      <c r="H139" s="214"/>
      <c r="J139" s="204"/>
      <c r="K139" s="218"/>
      <c r="L139" s="218"/>
      <c r="M139" s="218"/>
      <c r="N139" s="634"/>
      <c r="O139" s="634"/>
      <c r="P139" s="634"/>
      <c r="Q139" s="634"/>
      <c r="R139" s="634"/>
      <c r="S139" s="634"/>
      <c r="T139" s="634"/>
      <c r="U139" s="634"/>
      <c r="V139" s="634"/>
      <c r="W139" s="634"/>
      <c r="X139" s="634"/>
      <c r="Y139" s="634"/>
      <c r="Z139" s="634"/>
      <c r="AA139" s="634"/>
      <c r="AB139" s="634"/>
      <c r="AC139" s="634"/>
      <c r="AD139" s="634"/>
      <c r="AE139" s="634"/>
      <c r="AF139" s="634"/>
      <c r="AG139" s="634"/>
    </row>
    <row r="140" spans="1:33" s="199" customFormat="1" ht="15" customHeight="1">
      <c r="A140" s="210" t="str">
        <f>+IF(H140&lt;0,"NET CURRENT LIABILITIES","NET CURRENT ASSETS")</f>
        <v>NET CURRENT LIABILITIES</v>
      </c>
      <c r="B140" s="210"/>
      <c r="F140" s="208"/>
      <c r="H140" s="215">
        <f>+H132-H138</f>
        <v>-676217</v>
      </c>
      <c r="J140" s="1074">
        <f>+J132-J138</f>
        <v>-625663</v>
      </c>
      <c r="K140" s="1074"/>
      <c r="L140" s="1074"/>
      <c r="M140" s="1074"/>
      <c r="N140" s="634"/>
      <c r="O140" s="634"/>
      <c r="P140" s="634"/>
      <c r="Q140" s="634"/>
      <c r="R140" s="634"/>
      <c r="S140" s="634"/>
      <c r="T140" s="634"/>
      <c r="U140" s="634"/>
      <c r="V140" s="634"/>
      <c r="W140" s="634"/>
      <c r="X140" s="634"/>
      <c r="Y140" s="634"/>
      <c r="Z140" s="634"/>
      <c r="AA140" s="634"/>
      <c r="AB140" s="634"/>
      <c r="AC140" s="634"/>
      <c r="AD140" s="634"/>
      <c r="AE140" s="634"/>
      <c r="AF140" s="634"/>
      <c r="AG140" s="634"/>
    </row>
    <row r="141" spans="1:33" s="199" customFormat="1" ht="8.25" customHeight="1">
      <c r="F141" s="208"/>
      <c r="H141" s="201"/>
      <c r="J141" s="204"/>
      <c r="K141" s="218"/>
      <c r="L141" s="218"/>
      <c r="M141" s="218"/>
      <c r="N141" s="634"/>
      <c r="O141" s="634"/>
      <c r="P141" s="634"/>
      <c r="Q141" s="634"/>
      <c r="R141" s="634"/>
      <c r="S141" s="634"/>
      <c r="T141" s="634"/>
      <c r="U141" s="634"/>
      <c r="V141" s="634"/>
      <c r="W141" s="634"/>
      <c r="X141" s="634"/>
      <c r="Y141" s="634"/>
      <c r="Z141" s="634"/>
      <c r="AA141" s="634"/>
      <c r="AB141" s="634"/>
      <c r="AC141" s="634"/>
      <c r="AD141" s="634"/>
      <c r="AE141" s="634"/>
      <c r="AF141" s="634"/>
      <c r="AG141" s="634"/>
    </row>
    <row r="142" spans="1:33" s="199" customFormat="1" ht="15" customHeight="1">
      <c r="A142" s="210" t="str">
        <f>+IF(H142&lt;0,"NET LIABILITIES","NET ASSETS")</f>
        <v>NET LIABILITIES</v>
      </c>
      <c r="F142" s="208"/>
      <c r="H142" s="215">
        <f>+H140+H126</f>
        <v>-371548</v>
      </c>
      <c r="J142" s="1074">
        <f>+J140+J126</f>
        <v>-413868</v>
      </c>
      <c r="K142" s="1074"/>
      <c r="L142" s="1074"/>
      <c r="M142" s="1074"/>
      <c r="N142" s="634"/>
      <c r="O142" s="634"/>
      <c r="P142" s="634"/>
      <c r="Q142" s="634"/>
      <c r="R142" s="634"/>
      <c r="S142" s="634"/>
      <c r="T142" s="634"/>
      <c r="U142" s="634"/>
      <c r="V142" s="634"/>
      <c r="W142" s="634"/>
      <c r="X142" s="634"/>
      <c r="Y142" s="634"/>
      <c r="Z142" s="634"/>
      <c r="AA142" s="634"/>
      <c r="AB142" s="634"/>
      <c r="AC142" s="634"/>
      <c r="AD142" s="634"/>
      <c r="AE142" s="634"/>
      <c r="AF142" s="634"/>
      <c r="AG142" s="634"/>
    </row>
    <row r="143" spans="1:33" s="199" customFormat="1" ht="6" customHeight="1" thickBot="1">
      <c r="A143" s="210"/>
      <c r="F143" s="208"/>
      <c r="H143" s="216"/>
      <c r="J143" s="217"/>
      <c r="K143" s="219"/>
      <c r="L143" s="219"/>
      <c r="M143" s="219"/>
      <c r="N143" s="634"/>
      <c r="O143" s="634"/>
      <c r="P143" s="634"/>
      <c r="Q143" s="634"/>
      <c r="R143" s="634"/>
      <c r="S143" s="634"/>
      <c r="T143" s="634"/>
      <c r="U143" s="634"/>
      <c r="V143" s="634"/>
      <c r="W143" s="634"/>
      <c r="X143" s="634"/>
      <c r="Y143" s="634"/>
      <c r="Z143" s="634"/>
      <c r="AA143" s="634"/>
      <c r="AB143" s="634"/>
      <c r="AC143" s="634"/>
      <c r="AD143" s="634"/>
      <c r="AE143" s="634"/>
      <c r="AF143" s="634"/>
      <c r="AG143" s="634"/>
    </row>
    <row r="144" spans="1:33" s="199" customFormat="1" ht="15" customHeight="1" thickTop="1">
      <c r="F144" s="208"/>
      <c r="H144" s="201"/>
      <c r="J144" s="209"/>
      <c r="N144" s="634"/>
      <c r="O144" s="634"/>
      <c r="P144" s="634"/>
      <c r="Q144" s="634"/>
      <c r="R144" s="634"/>
      <c r="S144" s="634"/>
      <c r="T144" s="634"/>
      <c r="U144" s="634"/>
      <c r="V144" s="634"/>
      <c r="W144" s="634"/>
      <c r="X144" s="634"/>
      <c r="Y144" s="634"/>
      <c r="Z144" s="634"/>
      <c r="AA144" s="634"/>
      <c r="AB144" s="634"/>
      <c r="AC144" s="634"/>
      <c r="AD144" s="634"/>
      <c r="AE144" s="634"/>
      <c r="AF144" s="634"/>
      <c r="AG144" s="634"/>
    </row>
    <row r="145" spans="1:33" s="199" customFormat="1" ht="15" customHeight="1">
      <c r="A145" s="210" t="s">
        <v>794</v>
      </c>
      <c r="F145" s="208"/>
      <c r="H145" s="201"/>
      <c r="J145" s="209"/>
      <c r="N145" s="634"/>
      <c r="O145" s="634"/>
      <c r="P145" s="634"/>
      <c r="Q145" s="634"/>
      <c r="R145" s="634"/>
      <c r="S145" s="634"/>
      <c r="T145" s="634"/>
      <c r="U145" s="634"/>
      <c r="V145" s="634"/>
      <c r="W145" s="634"/>
      <c r="X145" s="634"/>
      <c r="Y145" s="634"/>
      <c r="Z145" s="634"/>
      <c r="AA145" s="634"/>
      <c r="AB145" s="634"/>
      <c r="AC145" s="634"/>
      <c r="AD145" s="634"/>
      <c r="AE145" s="634"/>
      <c r="AF145" s="634"/>
      <c r="AG145" s="634"/>
    </row>
    <row r="146" spans="1:33" s="199" customFormat="1" ht="15" customHeight="1">
      <c r="A146" s="43" t="s">
        <v>979</v>
      </c>
      <c r="F146" s="208">
        <v>9</v>
      </c>
      <c r="H146" s="201">
        <v>10000</v>
      </c>
      <c r="J146" s="1076">
        <v>10000</v>
      </c>
      <c r="K146" s="1076"/>
      <c r="L146" s="1076"/>
      <c r="M146" s="1076"/>
      <c r="N146" s="634"/>
      <c r="O146" s="634"/>
      <c r="P146" s="634"/>
      <c r="Q146" s="634"/>
      <c r="R146" s="634"/>
      <c r="S146" s="634"/>
      <c r="T146" s="634"/>
      <c r="U146" s="634"/>
      <c r="V146" s="634"/>
      <c r="W146" s="634"/>
      <c r="X146" s="634"/>
      <c r="Y146" s="634"/>
      <c r="Z146" s="634"/>
      <c r="AA146" s="634"/>
      <c r="AB146" s="634"/>
      <c r="AC146" s="634"/>
      <c r="AD146" s="634"/>
      <c r="AE146" s="634"/>
      <c r="AF146" s="634"/>
      <c r="AG146" s="634"/>
    </row>
    <row r="147" spans="1:33" s="199" customFormat="1" ht="15" customHeight="1">
      <c r="A147" s="43" t="str">
        <f>+IF(H147&lt;0,"Accumulated losses","Retained profits")</f>
        <v>Accumulated losses</v>
      </c>
      <c r="F147" s="208"/>
      <c r="H147" s="214">
        <f>+J147+42320</f>
        <v>-381548</v>
      </c>
      <c r="J147" s="1074">
        <v>-423868</v>
      </c>
      <c r="K147" s="1074"/>
      <c r="L147" s="1074"/>
      <c r="M147" s="1074"/>
      <c r="N147" s="634"/>
      <c r="O147" s="634"/>
      <c r="P147" s="634"/>
      <c r="Q147" s="634"/>
      <c r="R147" s="634"/>
      <c r="S147" s="634"/>
      <c r="T147" s="634"/>
      <c r="U147" s="634"/>
      <c r="V147" s="634"/>
      <c r="W147" s="634"/>
      <c r="X147" s="634"/>
      <c r="Y147" s="634"/>
      <c r="Z147" s="634"/>
      <c r="AA147" s="634"/>
      <c r="AB147" s="634"/>
      <c r="AC147" s="634"/>
      <c r="AD147" s="634"/>
      <c r="AE147" s="634"/>
      <c r="AF147" s="634"/>
      <c r="AG147" s="634"/>
    </row>
    <row r="148" spans="1:33" s="199" customFormat="1" ht="6" customHeight="1">
      <c r="F148" s="208"/>
      <c r="H148" s="203"/>
      <c r="J148" s="204"/>
      <c r="K148" s="218"/>
      <c r="L148" s="218"/>
      <c r="M148" s="218"/>
      <c r="N148" s="634"/>
      <c r="O148" s="634"/>
      <c r="P148" s="634"/>
      <c r="Q148" s="634"/>
      <c r="R148" s="634"/>
      <c r="S148" s="634"/>
      <c r="T148" s="634"/>
      <c r="U148" s="634"/>
      <c r="V148" s="634"/>
      <c r="W148" s="634"/>
      <c r="X148" s="634"/>
      <c r="Y148" s="634"/>
      <c r="Z148" s="634"/>
      <c r="AA148" s="634"/>
      <c r="AB148" s="634"/>
      <c r="AC148" s="634"/>
      <c r="AD148" s="634"/>
      <c r="AE148" s="634"/>
      <c r="AF148" s="634"/>
      <c r="AG148" s="634"/>
    </row>
    <row r="149" spans="1:33" s="199" customFormat="1" ht="15" customHeight="1">
      <c r="A149" s="210"/>
      <c r="F149" s="208"/>
      <c r="H149" s="211">
        <f>+H146+H147</f>
        <v>-371548</v>
      </c>
      <c r="J149" s="1074">
        <f>+J146+J147</f>
        <v>-413868</v>
      </c>
      <c r="K149" s="1074"/>
      <c r="L149" s="1074"/>
      <c r="M149" s="1074"/>
      <c r="N149" s="634"/>
      <c r="O149" s="634"/>
      <c r="P149" s="634"/>
      <c r="Q149" s="634"/>
      <c r="R149" s="634"/>
      <c r="S149" s="634"/>
      <c r="T149" s="634"/>
      <c r="U149" s="634"/>
      <c r="V149" s="634"/>
      <c r="W149" s="634"/>
      <c r="X149" s="634"/>
      <c r="Y149" s="634"/>
      <c r="Z149" s="634"/>
      <c r="AA149" s="634"/>
      <c r="AB149" s="634"/>
      <c r="AC149" s="634"/>
      <c r="AD149" s="634"/>
      <c r="AE149" s="634"/>
      <c r="AF149" s="634"/>
      <c r="AG149" s="634"/>
    </row>
    <row r="150" spans="1:33" s="199" customFormat="1" ht="6" customHeight="1" thickBot="1">
      <c r="F150" s="208"/>
      <c r="H150" s="216"/>
      <c r="J150" s="217"/>
      <c r="K150" s="219"/>
      <c r="L150" s="219"/>
      <c r="M150" s="219"/>
      <c r="N150" s="634"/>
      <c r="O150" s="634"/>
      <c r="P150" s="634"/>
      <c r="Q150" s="634"/>
      <c r="R150" s="634"/>
      <c r="S150" s="634"/>
      <c r="T150" s="634"/>
      <c r="U150" s="634"/>
      <c r="V150" s="634"/>
      <c r="W150" s="634"/>
      <c r="X150" s="634"/>
      <c r="Y150" s="634"/>
      <c r="Z150" s="634"/>
      <c r="AA150" s="634"/>
      <c r="AB150" s="634"/>
      <c r="AC150" s="634"/>
      <c r="AD150" s="634"/>
      <c r="AE150" s="634"/>
      <c r="AF150" s="634"/>
      <c r="AG150" s="634"/>
    </row>
    <row r="151" spans="1:33" s="199" customFormat="1" thickTop="1">
      <c r="F151" s="208"/>
      <c r="H151" s="201"/>
      <c r="J151" s="209"/>
      <c r="N151" s="634"/>
      <c r="O151" s="634"/>
      <c r="P151" s="634"/>
      <c r="Q151" s="634"/>
      <c r="R151" s="634"/>
      <c r="S151" s="634"/>
      <c r="T151" s="634"/>
      <c r="U151" s="634"/>
      <c r="V151" s="634"/>
      <c r="W151" s="634"/>
      <c r="X151" s="634"/>
      <c r="Y151" s="634"/>
      <c r="Z151" s="634"/>
      <c r="AA151" s="634"/>
      <c r="AB151" s="634"/>
      <c r="AC151" s="634"/>
      <c r="AD151" s="634"/>
      <c r="AE151" s="634"/>
      <c r="AF151" s="634"/>
      <c r="AG151" s="634"/>
    </row>
    <row r="153" spans="1:33" ht="6" customHeight="1"/>
    <row r="155" spans="1:33">
      <c r="A155" s="43" t="s">
        <v>980</v>
      </c>
    </row>
    <row r="157" spans="1:33">
      <c r="A157" s="43" t="str">
        <f>+CONCATENATE(N157,N158,N159,N160,N161,N162,N163)</f>
        <v xml:space="preserve">The financial statements on pages 4 to 11 have been approved by the Board of Director on </v>
      </c>
      <c r="N157" s="610" t="s">
        <v>797</v>
      </c>
    </row>
    <row r="158" spans="1:33" ht="15" customHeight="1">
      <c r="A158" s="43" t="s">
        <v>798</v>
      </c>
      <c r="N158" s="610">
        <f>+L14</f>
        <v>4</v>
      </c>
    </row>
    <row r="159" spans="1:33" ht="15" customHeight="1">
      <c r="N159" s="610" t="s">
        <v>651</v>
      </c>
    </row>
    <row r="160" spans="1:33" ht="15" customHeight="1">
      <c r="N160" s="610">
        <f>+M20</f>
        <v>11</v>
      </c>
    </row>
    <row r="161" spans="1:14" ht="15" customHeight="1">
      <c r="N161" s="610" t="s">
        <v>799</v>
      </c>
    </row>
    <row r="162" spans="1:14">
      <c r="N162" s="610" t="str">
        <f>IF(Control!D78&gt;1,"Directors","Director")</f>
        <v>Director</v>
      </c>
    </row>
    <row r="163" spans="1:14" ht="15" customHeight="1">
      <c r="A163" t="s">
        <v>981</v>
      </c>
      <c r="G163" t="str">
        <f>+IF(Control!D78&gt;1,"____________________________"," ")</f>
        <v xml:space="preserve"> </v>
      </c>
      <c r="N163" s="610" t="s">
        <v>800</v>
      </c>
    </row>
    <row r="164" spans="1:14">
      <c r="A164" s="43" t="s">
        <v>982</v>
      </c>
      <c r="G164" s="43" t="str">
        <f>+IF(Control!D78&gt;1,"Director"," ")</f>
        <v xml:space="preserve"> </v>
      </c>
    </row>
    <row r="165" spans="1:14">
      <c r="A165" s="43"/>
      <c r="G165" s="43"/>
    </row>
    <row r="166" spans="1:14">
      <c r="A166" s="43"/>
      <c r="G166" s="43"/>
    </row>
    <row r="167" spans="1:14">
      <c r="A167" s="43"/>
      <c r="G167" s="43"/>
    </row>
    <row r="168" spans="1:14">
      <c r="A168" s="43"/>
      <c r="G168" s="43"/>
    </row>
    <row r="170" spans="1:14">
      <c r="M170" s="197">
        <f>+L16</f>
        <v>5</v>
      </c>
    </row>
    <row r="171" spans="1:14">
      <c r="A171" s="175" t="str">
        <f>+Control!D3</f>
        <v>MIC INCORPORATION LIMITED </v>
      </c>
    </row>
    <row r="172" spans="1:14">
      <c r="A172" s="175"/>
    </row>
    <row r="173" spans="1:14">
      <c r="A173" s="175" t="str">
        <f>+A18</f>
        <v>STATEMENT OF CHANGES IN EQUITY</v>
      </c>
    </row>
    <row r="174" spans="1:14">
      <c r="A174" s="193" t="str">
        <f>+A76</f>
        <v>FOR THE PERIOD ENDED 31 DECEMBER, 2016</v>
      </c>
      <c r="B174" s="25"/>
      <c r="C174" s="25"/>
      <c r="D174" s="25"/>
      <c r="E174" s="25"/>
      <c r="F174" s="25"/>
      <c r="G174" s="25"/>
      <c r="H174" s="25"/>
      <c r="I174" s="25"/>
      <c r="J174" s="25"/>
      <c r="K174" s="25"/>
      <c r="L174" s="25"/>
      <c r="M174" s="25"/>
    </row>
    <row r="175" spans="1:14">
      <c r="A175" s="1049" t="str">
        <f>+A120</f>
        <v>(Expressed in United States Dollars)</v>
      </c>
      <c r="B175" s="1049"/>
      <c r="C175" s="1049"/>
      <c r="D175" s="1049"/>
      <c r="E175" s="1049"/>
      <c r="F175" s="1049"/>
      <c r="G175" s="1049"/>
      <c r="H175" s="1049"/>
      <c r="I175" s="1049"/>
      <c r="J175" s="1049"/>
      <c r="K175" s="1049"/>
      <c r="L175" s="1049"/>
      <c r="M175" s="1049"/>
    </row>
    <row r="178" spans="1:33" s="221" customFormat="1" ht="15">
      <c r="H178" s="221" t="str">
        <f>+IF(H147&lt;0,"Accumulated","Retained")</f>
        <v>Accumulated</v>
      </c>
      <c r="J178" s="467"/>
      <c r="N178" s="640"/>
      <c r="O178" s="640"/>
      <c r="P178" s="640"/>
      <c r="Q178" s="640"/>
      <c r="R178" s="640"/>
      <c r="S178" s="640"/>
      <c r="T178" s="640"/>
      <c r="U178" s="640"/>
      <c r="V178" s="640"/>
      <c r="W178" s="640"/>
      <c r="X178" s="640"/>
      <c r="Y178" s="640"/>
      <c r="Z178" s="640"/>
      <c r="AA178" s="640"/>
      <c r="AB178" s="640"/>
      <c r="AC178" s="640"/>
      <c r="AD178" s="640"/>
      <c r="AE178" s="640"/>
      <c r="AF178" s="640"/>
      <c r="AG178" s="640"/>
    </row>
    <row r="179" spans="1:33" s="326" customFormat="1" ht="15" customHeight="1">
      <c r="A179" s="467"/>
      <c r="B179" s="467"/>
      <c r="C179" s="467"/>
      <c r="D179" s="467"/>
      <c r="E179" s="1078" t="s">
        <v>983</v>
      </c>
      <c r="F179" s="1078"/>
      <c r="G179" s="467"/>
      <c r="H179" s="467" t="str">
        <f>+IF(H147&lt;0,"losses","profits")</f>
        <v>losses</v>
      </c>
      <c r="I179" s="467"/>
      <c r="J179" s="1078" t="s">
        <v>802</v>
      </c>
      <c r="K179" s="1078"/>
      <c r="L179" s="1078"/>
      <c r="M179" s="1078"/>
      <c r="N179" s="641"/>
      <c r="O179" s="641"/>
      <c r="P179" s="641"/>
      <c r="Q179" s="641"/>
      <c r="R179" s="641"/>
      <c r="S179" s="641"/>
      <c r="T179" s="641"/>
      <c r="U179" s="641"/>
      <c r="V179" s="641"/>
      <c r="W179" s="641"/>
      <c r="X179" s="641"/>
      <c r="Y179" s="641"/>
      <c r="Z179" s="641"/>
      <c r="AA179" s="641"/>
      <c r="AB179" s="641"/>
      <c r="AC179" s="641"/>
      <c r="AD179" s="641"/>
      <c r="AE179" s="641"/>
      <c r="AF179" s="641"/>
      <c r="AG179" s="641"/>
    </row>
    <row r="180" spans="1:33" s="221" customFormat="1" ht="15" customHeight="1">
      <c r="N180" s="640"/>
      <c r="O180" s="640"/>
      <c r="P180" s="640"/>
      <c r="Q180" s="640"/>
      <c r="R180" s="640"/>
      <c r="S180" s="640"/>
      <c r="T180" s="640"/>
      <c r="U180" s="640"/>
      <c r="V180" s="640"/>
      <c r="W180" s="640"/>
      <c r="X180" s="640"/>
      <c r="Y180" s="640"/>
      <c r="Z180" s="640"/>
      <c r="AA180" s="640"/>
      <c r="AB180" s="640"/>
      <c r="AC180" s="640"/>
      <c r="AD180" s="640"/>
      <c r="AE180" s="640"/>
      <c r="AF180" s="640"/>
      <c r="AG180" s="640"/>
    </row>
    <row r="181" spans="1:33" s="221" customFormat="1" ht="15" customHeight="1">
      <c r="A181" s="223" t="s">
        <v>984</v>
      </c>
      <c r="E181" s="1079">
        <f>+E190</f>
        <v>10000</v>
      </c>
      <c r="F181" s="1079"/>
      <c r="H181" s="468">
        <f>+H190</f>
        <v>-423868</v>
      </c>
      <c r="J181" s="1077">
        <f>+E181+H181</f>
        <v>-413868</v>
      </c>
      <c r="K181" s="1077"/>
      <c r="L181" s="1077"/>
      <c r="M181" s="1077"/>
      <c r="N181" s="640"/>
      <c r="O181" s="640"/>
      <c r="P181" s="640"/>
      <c r="Q181" s="640"/>
      <c r="R181" s="640"/>
      <c r="S181" s="640"/>
      <c r="T181" s="640"/>
      <c r="U181" s="640"/>
      <c r="V181" s="640"/>
      <c r="W181" s="640"/>
      <c r="X181" s="640"/>
      <c r="Y181" s="640"/>
      <c r="Z181" s="640"/>
      <c r="AA181" s="640"/>
      <c r="AB181" s="640"/>
      <c r="AC181" s="640"/>
      <c r="AD181" s="640"/>
      <c r="AE181" s="640"/>
      <c r="AF181" s="640"/>
      <c r="AG181" s="640"/>
    </row>
    <row r="182" spans="1:33" s="221" customFormat="1" ht="15" customHeight="1">
      <c r="A182" s="205" t="s">
        <v>985</v>
      </c>
      <c r="F182" s="224">
        <v>0</v>
      </c>
      <c r="H182" s="224">
        <v>42320</v>
      </c>
      <c r="J182" s="1077">
        <f>+F182+H182</f>
        <v>42320</v>
      </c>
      <c r="K182" s="1077"/>
      <c r="L182" s="1077"/>
      <c r="M182" s="1077"/>
      <c r="N182" s="640"/>
      <c r="O182" s="640"/>
      <c r="P182" s="640"/>
      <c r="Q182" s="640"/>
      <c r="R182" s="640"/>
      <c r="S182" s="640"/>
      <c r="T182" s="640"/>
      <c r="U182" s="640"/>
      <c r="V182" s="640"/>
      <c r="W182" s="640"/>
      <c r="X182" s="640"/>
      <c r="Y182" s="640"/>
      <c r="Z182" s="640"/>
      <c r="AA182" s="640"/>
      <c r="AB182" s="640"/>
      <c r="AC182" s="640"/>
      <c r="AD182" s="640"/>
      <c r="AE182" s="640"/>
      <c r="AF182" s="640"/>
      <c r="AG182" s="640"/>
    </row>
    <row r="183" spans="1:33" s="221" customFormat="1" ht="4.5" customHeight="1">
      <c r="E183" s="229"/>
      <c r="F183" s="229"/>
      <c r="J183" s="229"/>
      <c r="K183" s="229"/>
      <c r="L183" s="229"/>
      <c r="M183" s="229"/>
      <c r="N183" s="640"/>
      <c r="O183" s="640"/>
      <c r="P183" s="640"/>
      <c r="Q183" s="640"/>
      <c r="R183" s="640"/>
      <c r="S183" s="640"/>
      <c r="T183" s="640"/>
      <c r="U183" s="640"/>
      <c r="V183" s="640"/>
      <c r="W183" s="640"/>
      <c r="X183" s="640"/>
      <c r="Y183" s="640"/>
      <c r="Z183" s="640"/>
      <c r="AA183" s="640"/>
      <c r="AB183" s="640"/>
      <c r="AC183" s="640"/>
      <c r="AD183" s="640"/>
      <c r="AE183" s="640"/>
      <c r="AF183" s="640"/>
      <c r="AG183" s="640"/>
    </row>
    <row r="184" spans="1:33" s="221" customFormat="1" ht="15" customHeight="1" thickBot="1">
      <c r="A184" s="223" t="s">
        <v>986</v>
      </c>
      <c r="E184" s="1080">
        <f>+E181+F182</f>
        <v>10000</v>
      </c>
      <c r="F184" s="1080"/>
      <c r="H184" s="225">
        <f>+H181+H182</f>
        <v>-381548</v>
      </c>
      <c r="J184" s="1080">
        <f>+J181+J182</f>
        <v>-371548</v>
      </c>
      <c r="K184" s="1080"/>
      <c r="L184" s="1080"/>
      <c r="M184" s="1080"/>
      <c r="N184" s="640"/>
      <c r="O184" s="640"/>
      <c r="P184" s="640"/>
      <c r="Q184" s="640"/>
      <c r="R184" s="640"/>
      <c r="S184" s="640"/>
      <c r="T184" s="640"/>
      <c r="U184" s="640"/>
      <c r="V184" s="640"/>
      <c r="W184" s="640"/>
      <c r="X184" s="640"/>
      <c r="Y184" s="640"/>
      <c r="Z184" s="640"/>
      <c r="AA184" s="640"/>
      <c r="AB184" s="640"/>
      <c r="AC184" s="640"/>
      <c r="AD184" s="640"/>
      <c r="AE184" s="640"/>
      <c r="AF184" s="640"/>
      <c r="AG184" s="640"/>
    </row>
    <row r="185" spans="1:33" s="221" customFormat="1" ht="15" customHeight="1" thickTop="1">
      <c r="N185" s="640"/>
      <c r="O185" s="640"/>
      <c r="P185" s="640"/>
      <c r="Q185" s="640"/>
      <c r="R185" s="640"/>
      <c r="S185" s="640"/>
      <c r="T185" s="640"/>
      <c r="U185" s="640"/>
      <c r="V185" s="640"/>
      <c r="W185" s="640"/>
      <c r="X185" s="640"/>
      <c r="Y185" s="640"/>
      <c r="Z185" s="640"/>
      <c r="AA185" s="640"/>
      <c r="AB185" s="640"/>
      <c r="AC185" s="640"/>
      <c r="AD185" s="640"/>
      <c r="AE185" s="640"/>
      <c r="AF185" s="640"/>
      <c r="AG185" s="640"/>
    </row>
    <row r="186" spans="1:33" s="221" customFormat="1" ht="15" customHeight="1">
      <c r="N186" s="640"/>
      <c r="O186" s="640"/>
      <c r="P186" s="640"/>
      <c r="Q186" s="640"/>
      <c r="R186" s="640"/>
      <c r="S186" s="640"/>
      <c r="T186" s="640"/>
      <c r="U186" s="640"/>
      <c r="V186" s="640"/>
      <c r="W186" s="640"/>
      <c r="X186" s="640"/>
      <c r="Y186" s="640"/>
      <c r="Z186" s="640"/>
      <c r="AA186" s="640"/>
      <c r="AB186" s="640"/>
      <c r="AC186" s="640"/>
      <c r="AD186" s="640"/>
      <c r="AE186" s="640"/>
      <c r="AF186" s="640"/>
      <c r="AG186" s="640"/>
    </row>
    <row r="187" spans="1:33" s="221" customFormat="1" ht="16.5" customHeight="1">
      <c r="A187" s="223" t="s">
        <v>987</v>
      </c>
      <c r="C187" s="466"/>
      <c r="E187" s="1077">
        <v>10000</v>
      </c>
      <c r="F187" s="1077"/>
      <c r="H187" s="466">
        <v>-310511</v>
      </c>
      <c r="J187" s="1077">
        <f>+E187+H187</f>
        <v>-300511</v>
      </c>
      <c r="K187" s="1077"/>
      <c r="L187" s="1077"/>
      <c r="M187" s="1077"/>
      <c r="N187" s="640"/>
      <c r="O187" s="640"/>
      <c r="P187" s="640"/>
      <c r="Q187" s="640"/>
      <c r="R187" s="640"/>
      <c r="S187" s="640"/>
      <c r="T187" s="640"/>
      <c r="U187" s="640"/>
      <c r="V187" s="640"/>
      <c r="W187" s="640"/>
      <c r="X187" s="640"/>
      <c r="Y187" s="640"/>
      <c r="Z187" s="640"/>
      <c r="AA187" s="640"/>
      <c r="AB187" s="640"/>
      <c r="AC187" s="640"/>
      <c r="AD187" s="640"/>
      <c r="AE187" s="640"/>
      <c r="AF187" s="640"/>
      <c r="AG187" s="640"/>
    </row>
    <row r="188" spans="1:33" s="205" customFormat="1" ht="15">
      <c r="A188" s="205" t="s">
        <v>988</v>
      </c>
      <c r="C188" s="466"/>
      <c r="F188" s="224">
        <v>0</v>
      </c>
      <c r="H188" s="226">
        <v>-113357</v>
      </c>
      <c r="J188" s="1077">
        <f>+F188+H188</f>
        <v>-113357</v>
      </c>
      <c r="K188" s="1077"/>
      <c r="L188" s="1077"/>
      <c r="M188" s="1077"/>
      <c r="N188" s="642"/>
      <c r="O188" s="642"/>
      <c r="P188" s="642"/>
      <c r="Q188" s="642"/>
      <c r="R188" s="642"/>
      <c r="S188" s="642"/>
      <c r="T188" s="642"/>
      <c r="U188" s="642"/>
      <c r="V188" s="642"/>
      <c r="W188" s="642"/>
      <c r="X188" s="642"/>
      <c r="Y188" s="642"/>
      <c r="Z188" s="642"/>
      <c r="AA188" s="642"/>
      <c r="AB188" s="642"/>
      <c r="AC188" s="642"/>
      <c r="AD188" s="642"/>
      <c r="AE188" s="642"/>
      <c r="AF188" s="642"/>
      <c r="AG188" s="642"/>
    </row>
    <row r="189" spans="1:33" s="205" customFormat="1" ht="6" customHeight="1">
      <c r="C189" s="466"/>
      <c r="E189" s="218"/>
      <c r="F189" s="230"/>
      <c r="H189" s="466"/>
      <c r="J189" s="230"/>
      <c r="K189" s="218"/>
      <c r="L189" s="218"/>
      <c r="M189" s="218"/>
      <c r="N189" s="642"/>
      <c r="O189" s="642"/>
      <c r="P189" s="642"/>
      <c r="Q189" s="642"/>
      <c r="R189" s="642"/>
      <c r="S189" s="642"/>
      <c r="T189" s="642"/>
      <c r="U189" s="642"/>
      <c r="V189" s="642"/>
      <c r="W189" s="642"/>
      <c r="X189" s="642"/>
      <c r="Y189" s="642"/>
      <c r="Z189" s="642"/>
      <c r="AA189" s="642"/>
      <c r="AB189" s="642"/>
      <c r="AC189" s="642"/>
      <c r="AD189" s="642"/>
      <c r="AE189" s="642"/>
      <c r="AF189" s="642"/>
      <c r="AG189" s="642"/>
    </row>
    <row r="190" spans="1:33" s="205" customFormat="1" ht="16.5" customHeight="1">
      <c r="A190" s="223" t="s">
        <v>989</v>
      </c>
      <c r="C190" s="466"/>
      <c r="E190" s="1077">
        <f>+E187+F188</f>
        <v>10000</v>
      </c>
      <c r="F190" s="1077"/>
      <c r="H190" s="227">
        <f>+H187+H188</f>
        <v>-423868</v>
      </c>
      <c r="J190" s="1077">
        <f>SUM(J187:J188)</f>
        <v>-413868</v>
      </c>
      <c r="K190" s="1077"/>
      <c r="L190" s="1077"/>
      <c r="M190" s="1077"/>
      <c r="N190" s="642"/>
      <c r="O190" s="642"/>
      <c r="P190" s="642"/>
      <c r="Q190" s="642"/>
      <c r="R190" s="642"/>
      <c r="S190" s="642"/>
      <c r="T190" s="642"/>
      <c r="U190" s="642"/>
      <c r="V190" s="642"/>
      <c r="W190" s="642"/>
      <c r="X190" s="642"/>
      <c r="Y190" s="642"/>
      <c r="Z190" s="642"/>
      <c r="AA190" s="642"/>
      <c r="AB190" s="642"/>
      <c r="AC190" s="642"/>
      <c r="AD190" s="642"/>
      <c r="AE190" s="642"/>
      <c r="AF190" s="642"/>
      <c r="AG190" s="642"/>
    </row>
    <row r="191" spans="1:33" s="205" customFormat="1" ht="6" customHeight="1" thickBot="1">
      <c r="C191" s="466"/>
      <c r="E191" s="219"/>
      <c r="F191" s="228"/>
      <c r="H191" s="470"/>
      <c r="J191" s="228"/>
      <c r="K191" s="219"/>
      <c r="L191" s="219"/>
      <c r="M191" s="219"/>
      <c r="N191" s="642"/>
      <c r="O191" s="642"/>
      <c r="P191" s="642"/>
      <c r="Q191" s="642"/>
      <c r="R191" s="642"/>
      <c r="S191" s="642"/>
      <c r="T191" s="642"/>
      <c r="U191" s="642"/>
      <c r="V191" s="642"/>
      <c r="W191" s="642"/>
      <c r="X191" s="642"/>
      <c r="Y191" s="642"/>
      <c r="Z191" s="642"/>
      <c r="AA191" s="642"/>
      <c r="AB191" s="642"/>
      <c r="AC191" s="642"/>
      <c r="AD191" s="642"/>
      <c r="AE191" s="642"/>
      <c r="AF191" s="642"/>
      <c r="AG191" s="642"/>
    </row>
    <row r="192" spans="1:33" s="205" customFormat="1" thickTop="1">
      <c r="C192" s="466"/>
      <c r="F192" s="224"/>
      <c r="H192" s="466"/>
      <c r="J192" s="224"/>
      <c r="N192" s="642"/>
      <c r="O192" s="642"/>
      <c r="P192" s="642"/>
      <c r="Q192" s="642"/>
      <c r="R192" s="642"/>
      <c r="S192" s="642"/>
      <c r="T192" s="642"/>
      <c r="U192" s="642"/>
      <c r="V192" s="642"/>
      <c r="W192" s="642"/>
      <c r="X192" s="642"/>
      <c r="Y192" s="642"/>
      <c r="Z192" s="642"/>
      <c r="AA192" s="642"/>
      <c r="AB192" s="642"/>
      <c r="AC192" s="642"/>
      <c r="AD192" s="642"/>
      <c r="AE192" s="642"/>
      <c r="AF192" s="642"/>
      <c r="AG192" s="642"/>
    </row>
    <row r="219" spans="1:13">
      <c r="M219" s="197">
        <f>+L18</f>
        <v>6</v>
      </c>
    </row>
    <row r="220" spans="1:13">
      <c r="A220" s="175" t="str">
        <f>+A171</f>
        <v>MIC INCORPORATION LIMITED </v>
      </c>
    </row>
    <row r="221" spans="1:13">
      <c r="A221" s="175"/>
    </row>
    <row r="222" spans="1:13">
      <c r="A222" s="175" t="str">
        <f>+A20</f>
        <v>NOTES TO THE FINANCIAL STATEMENTS</v>
      </c>
    </row>
    <row r="223" spans="1:13">
      <c r="A223" s="193" t="str">
        <f>+A174</f>
        <v>FOR THE PERIOD ENDED 31 DECEMBER, 2016</v>
      </c>
      <c r="B223" s="25"/>
      <c r="C223" s="25"/>
      <c r="D223" s="25"/>
      <c r="E223" s="25"/>
      <c r="F223" s="25"/>
      <c r="G223" s="25"/>
      <c r="H223" s="25"/>
      <c r="I223" s="25"/>
      <c r="J223" s="25"/>
      <c r="K223" s="25"/>
      <c r="L223" s="25"/>
      <c r="M223" s="25"/>
    </row>
    <row r="224" spans="1:13">
      <c r="A224" s="1049" t="str">
        <f>+A175</f>
        <v>(Expressed in United States Dollars)</v>
      </c>
      <c r="B224" s="1049"/>
      <c r="C224" s="1049"/>
      <c r="D224" s="1049"/>
      <c r="E224" s="1049"/>
      <c r="F224" s="1049"/>
      <c r="G224" s="1049"/>
      <c r="H224" s="1049"/>
      <c r="I224" s="1049"/>
      <c r="J224" s="1049"/>
      <c r="K224" s="1049"/>
      <c r="L224" s="1049"/>
      <c r="M224" s="1049"/>
    </row>
    <row r="226" spans="1:13">
      <c r="A226" s="164" t="s">
        <v>990</v>
      </c>
      <c r="B226" s="164" t="s">
        <v>991</v>
      </c>
    </row>
    <row r="228" spans="1:13">
      <c r="A228" s="39"/>
      <c r="B228" s="903" t="s">
        <v>992</v>
      </c>
      <c r="C228" s="903"/>
      <c r="D228" s="903"/>
      <c r="E228" s="903"/>
      <c r="F228" s="903"/>
      <c r="G228" s="903"/>
      <c r="H228" s="903"/>
      <c r="I228" s="903"/>
      <c r="J228" s="903"/>
      <c r="K228" s="903"/>
      <c r="L228" s="903"/>
      <c r="M228" s="903"/>
    </row>
    <row r="229" spans="1:13">
      <c r="A229" s="39"/>
      <c r="B229" s="903"/>
      <c r="C229" s="903"/>
      <c r="D229" s="903"/>
      <c r="E229" s="903"/>
      <c r="F229" s="903"/>
      <c r="G229" s="903"/>
      <c r="H229" s="903"/>
      <c r="I229" s="903"/>
      <c r="J229" s="903"/>
      <c r="K229" s="903"/>
      <c r="L229" s="903"/>
      <c r="M229" s="903"/>
    </row>
    <row r="230" spans="1:13">
      <c r="A230" s="39"/>
      <c r="B230" s="903"/>
      <c r="C230" s="903"/>
      <c r="D230" s="903"/>
      <c r="E230" s="903"/>
      <c r="F230" s="903"/>
      <c r="G230" s="903"/>
      <c r="H230" s="903"/>
      <c r="I230" s="903"/>
      <c r="J230" s="903"/>
      <c r="K230" s="903"/>
      <c r="L230" s="903"/>
      <c r="M230" s="903"/>
    </row>
    <row r="231" spans="1:13">
      <c r="A231" s="39"/>
      <c r="B231" s="903"/>
      <c r="C231" s="903"/>
      <c r="D231" s="903"/>
      <c r="E231" s="903"/>
      <c r="F231" s="903"/>
      <c r="G231" s="903"/>
      <c r="H231" s="903"/>
      <c r="I231" s="903"/>
      <c r="J231" s="903"/>
      <c r="K231" s="903"/>
      <c r="L231" s="903"/>
      <c r="M231" s="903"/>
    </row>
    <row r="233" spans="1:13">
      <c r="A233" s="175" t="s">
        <v>993</v>
      </c>
      <c r="B233" s="164" t="s">
        <v>994</v>
      </c>
    </row>
    <row r="235" spans="1:13">
      <c r="A235" s="39"/>
      <c r="B235" s="903" t="s">
        <v>995</v>
      </c>
      <c r="C235" s="903"/>
      <c r="D235" s="903"/>
      <c r="E235" s="903"/>
      <c r="F235" s="903"/>
      <c r="G235" s="903"/>
      <c r="H235" s="903"/>
      <c r="I235" s="903"/>
      <c r="J235" s="903"/>
      <c r="K235" s="903"/>
      <c r="L235" s="903"/>
      <c r="M235" s="903"/>
    </row>
    <row r="236" spans="1:13">
      <c r="A236" s="39"/>
      <c r="B236" s="903"/>
      <c r="C236" s="903"/>
      <c r="D236" s="903"/>
      <c r="E236" s="903"/>
      <c r="F236" s="903"/>
      <c r="G236" s="903"/>
      <c r="H236" s="903"/>
      <c r="I236" s="903"/>
      <c r="J236" s="903"/>
      <c r="K236" s="903"/>
      <c r="L236" s="903"/>
      <c r="M236" s="903"/>
    </row>
    <row r="237" spans="1:13">
      <c r="A237" s="39"/>
      <c r="B237" s="903"/>
      <c r="C237" s="903"/>
      <c r="D237" s="903"/>
      <c r="E237" s="903"/>
      <c r="F237" s="903"/>
      <c r="G237" s="903"/>
      <c r="H237" s="903"/>
      <c r="I237" s="903"/>
      <c r="J237" s="903"/>
      <c r="K237" s="903"/>
      <c r="L237" s="903"/>
      <c r="M237" s="903"/>
    </row>
    <row r="238" spans="1:13">
      <c r="A238" s="39"/>
      <c r="B238" s="903"/>
      <c r="C238" s="903"/>
      <c r="D238" s="903"/>
      <c r="E238" s="903"/>
      <c r="F238" s="903"/>
      <c r="G238" s="903"/>
      <c r="H238" s="903"/>
      <c r="I238" s="903"/>
      <c r="J238" s="903"/>
      <c r="K238" s="903"/>
      <c r="L238" s="903"/>
      <c r="M238" s="903"/>
    </row>
    <row r="239" spans="1:13">
      <c r="A239" s="39"/>
      <c r="B239" s="903"/>
      <c r="C239" s="903"/>
      <c r="D239" s="903"/>
      <c r="E239" s="903"/>
      <c r="F239" s="903"/>
      <c r="G239" s="903"/>
      <c r="H239" s="903"/>
      <c r="I239" s="903"/>
      <c r="J239" s="903"/>
      <c r="K239" s="903"/>
      <c r="L239" s="903"/>
      <c r="M239" s="903"/>
    </row>
    <row r="240" spans="1:13">
      <c r="A240" s="39"/>
      <c r="B240" s="903" t="s">
        <v>996</v>
      </c>
      <c r="C240" s="903"/>
      <c r="D240" s="903"/>
      <c r="E240" s="903"/>
      <c r="F240" s="903"/>
      <c r="G240" s="903"/>
      <c r="H240" s="903"/>
      <c r="I240" s="903"/>
      <c r="J240" s="903"/>
      <c r="K240" s="903"/>
      <c r="L240" s="903"/>
      <c r="M240" s="903"/>
    </row>
    <row r="241" spans="1:13">
      <c r="A241" s="39"/>
      <c r="B241" s="903"/>
      <c r="C241" s="903"/>
      <c r="D241" s="903"/>
      <c r="E241" s="903"/>
      <c r="F241" s="903"/>
      <c r="G241" s="903"/>
      <c r="H241" s="903"/>
      <c r="I241" s="903"/>
      <c r="J241" s="903"/>
      <c r="K241" s="903"/>
      <c r="L241" s="903"/>
      <c r="M241" s="903"/>
    </row>
    <row r="242" spans="1:13">
      <c r="A242" s="39"/>
      <c r="B242" s="903"/>
      <c r="C242" s="903"/>
      <c r="D242" s="903"/>
      <c r="E242" s="903"/>
      <c r="F242" s="903"/>
      <c r="G242" s="903"/>
      <c r="H242" s="903"/>
      <c r="I242" s="903"/>
      <c r="J242" s="903"/>
      <c r="K242" s="903"/>
      <c r="L242" s="903"/>
      <c r="M242" s="903"/>
    </row>
    <row r="243" spans="1:13">
      <c r="A243" s="39"/>
      <c r="B243" s="903"/>
      <c r="C243" s="903"/>
      <c r="D243" s="903"/>
      <c r="E243" s="903"/>
      <c r="F243" s="903"/>
      <c r="G243" s="903"/>
      <c r="H243" s="903"/>
      <c r="I243" s="903"/>
      <c r="J243" s="903"/>
      <c r="K243" s="903"/>
      <c r="L243" s="903"/>
      <c r="M243" s="903"/>
    </row>
    <row r="244" spans="1:13">
      <c r="A244" s="39"/>
      <c r="B244" s="903" t="s">
        <v>817</v>
      </c>
      <c r="C244" s="903"/>
      <c r="D244" s="903"/>
      <c r="E244" s="903"/>
      <c r="F244" s="903"/>
      <c r="G244" s="903"/>
      <c r="H244" s="903"/>
      <c r="I244" s="903"/>
      <c r="J244" s="903"/>
      <c r="K244" s="903"/>
      <c r="L244" s="903"/>
      <c r="M244" s="903"/>
    </row>
    <row r="245" spans="1:13">
      <c r="A245" s="39"/>
      <c r="B245" s="903"/>
      <c r="C245" s="903"/>
      <c r="D245" s="903"/>
      <c r="E245" s="903"/>
      <c r="F245" s="903"/>
      <c r="G245" s="903"/>
      <c r="H245" s="903"/>
      <c r="I245" s="903"/>
      <c r="J245" s="903"/>
      <c r="K245" s="903"/>
      <c r="L245" s="903"/>
      <c r="M245" s="903"/>
    </row>
    <row r="246" spans="1:13">
      <c r="A246" s="39"/>
      <c r="B246" s="903"/>
      <c r="C246" s="903"/>
      <c r="D246" s="903"/>
      <c r="E246" s="903"/>
      <c r="F246" s="903"/>
      <c r="G246" s="903"/>
      <c r="H246" s="903"/>
      <c r="I246" s="903"/>
      <c r="J246" s="903"/>
      <c r="K246" s="903"/>
      <c r="L246" s="903"/>
      <c r="M246" s="903"/>
    </row>
    <row r="247" spans="1:13">
      <c r="A247" s="39"/>
      <c r="B247" s="903"/>
      <c r="C247" s="903"/>
      <c r="D247" s="903"/>
      <c r="E247" s="903"/>
      <c r="F247" s="903"/>
      <c r="G247" s="903"/>
      <c r="H247" s="903"/>
      <c r="I247" s="903"/>
      <c r="J247" s="903"/>
      <c r="K247" s="903"/>
      <c r="L247" s="903"/>
      <c r="M247" s="903"/>
    </row>
    <row r="248" spans="1:13">
      <c r="A248" s="39"/>
      <c r="B248" s="39" t="s">
        <v>997</v>
      </c>
      <c r="C248" s="39"/>
      <c r="D248" s="39"/>
    </row>
    <row r="249" spans="1:13">
      <c r="A249" s="39"/>
      <c r="B249" s="39"/>
      <c r="C249" s="39"/>
      <c r="D249" s="39"/>
    </row>
    <row r="251" spans="1:13">
      <c r="A251" s="231" t="s">
        <v>998</v>
      </c>
    </row>
    <row r="252" spans="1:13">
      <c r="A252" s="39" t="s">
        <v>999</v>
      </c>
    </row>
    <row r="253" spans="1:13" ht="45">
      <c r="A253" s="232" t="s">
        <v>1000</v>
      </c>
    </row>
    <row r="255" spans="1:13">
      <c r="A255" s="233" t="s">
        <v>1001</v>
      </c>
    </row>
    <row r="257" spans="1:13">
      <c r="A257" s="39" t="s">
        <v>1002</v>
      </c>
    </row>
    <row r="258" spans="1:13">
      <c r="A258" s="39" t="s">
        <v>1003</v>
      </c>
    </row>
    <row r="260" spans="1:13">
      <c r="A260" s="39" t="s">
        <v>1004</v>
      </c>
    </row>
    <row r="261" spans="1:13">
      <c r="A261" s="39" t="s">
        <v>1005</v>
      </c>
    </row>
    <row r="262" spans="1:13">
      <c r="A262" s="39" t="s">
        <v>1006</v>
      </c>
    </row>
    <row r="263" spans="1:13">
      <c r="A263" s="39"/>
    </row>
    <row r="264" spans="1:13">
      <c r="A264" s="39"/>
    </row>
    <row r="266" spans="1:13">
      <c r="M266" s="197">
        <f>+K20</f>
        <v>7</v>
      </c>
    </row>
    <row r="267" spans="1:13">
      <c r="A267" s="175" t="str">
        <f>+A220</f>
        <v>MIC INCORPORATION LIMITED </v>
      </c>
    </row>
    <row r="268" spans="1:13">
      <c r="A268" s="175"/>
    </row>
    <row r="269" spans="1:13">
      <c r="A269" s="175" t="str">
        <f>+A222</f>
        <v>NOTES TO THE FINANCIAL STATEMENTS</v>
      </c>
    </row>
    <row r="270" spans="1:13">
      <c r="A270" s="193" t="str">
        <f>+A223</f>
        <v>FOR THE PERIOD ENDED 31 DECEMBER, 2016</v>
      </c>
      <c r="B270" s="25"/>
      <c r="C270" s="25"/>
      <c r="D270" s="25"/>
      <c r="E270" s="25"/>
      <c r="F270" s="25"/>
      <c r="G270" s="25"/>
      <c r="H270" s="25"/>
      <c r="I270" s="25"/>
      <c r="J270" s="25"/>
      <c r="K270" s="25"/>
      <c r="L270" s="25"/>
      <c r="M270" s="25"/>
    </row>
    <row r="271" spans="1:13">
      <c r="A271" s="1049" t="str">
        <f>+A224</f>
        <v>(Expressed in United States Dollars)</v>
      </c>
      <c r="B271" s="1049"/>
      <c r="C271" s="1049"/>
      <c r="D271" s="1049"/>
      <c r="E271" s="1049"/>
      <c r="F271" s="1049"/>
      <c r="G271" s="1049"/>
      <c r="H271" s="1049"/>
      <c r="I271" s="1049"/>
      <c r="J271" s="1049"/>
      <c r="K271" s="1049"/>
      <c r="L271" s="1049"/>
      <c r="M271" s="1049"/>
    </row>
    <row r="273" spans="1:1">
      <c r="A273" s="231" t="s">
        <v>1007</v>
      </c>
    </row>
    <row r="275" spans="1:1">
      <c r="A275" s="233" t="s">
        <v>1008</v>
      </c>
    </row>
    <row r="276" spans="1:1">
      <c r="A276" s="233"/>
    </row>
    <row r="277" spans="1:1">
      <c r="A277" s="39" t="s">
        <v>1009</v>
      </c>
    </row>
    <row r="278" spans="1:1">
      <c r="A278" s="39" t="s">
        <v>1010</v>
      </c>
    </row>
    <row r="279" spans="1:1">
      <c r="A279" s="39" t="s">
        <v>1011</v>
      </c>
    </row>
    <row r="281" spans="1:1">
      <c r="A281" s="233" t="s">
        <v>824</v>
      </c>
    </row>
    <row r="283" spans="1:1">
      <c r="A283" s="233" t="s">
        <v>1012</v>
      </c>
    </row>
    <row r="285" spans="1:1">
      <c r="A285" s="39" t="s">
        <v>1013</v>
      </c>
    </row>
    <row r="286" spans="1:1">
      <c r="A286" s="39" t="s">
        <v>1014</v>
      </c>
    </row>
    <row r="287" spans="1:1">
      <c r="A287" s="39" t="s">
        <v>1015</v>
      </c>
    </row>
    <row r="289" spans="1:1">
      <c r="A289" s="233" t="s">
        <v>1016</v>
      </c>
    </row>
    <row r="290" spans="1:1">
      <c r="A290" s="233"/>
    </row>
    <row r="291" spans="1:1">
      <c r="A291" s="39" t="s">
        <v>1017</v>
      </c>
    </row>
    <row r="292" spans="1:1">
      <c r="A292" s="39" t="s">
        <v>1018</v>
      </c>
    </row>
    <row r="294" spans="1:1">
      <c r="A294" s="233" t="s">
        <v>1019</v>
      </c>
    </row>
    <row r="296" spans="1:1">
      <c r="A296" s="39" t="s">
        <v>1020</v>
      </c>
    </row>
    <row r="297" spans="1:1">
      <c r="A297" s="39" t="s">
        <v>1021</v>
      </c>
    </row>
    <row r="299" spans="1:1">
      <c r="A299" s="233" t="s">
        <v>1022</v>
      </c>
    </row>
    <row r="301" spans="1:1">
      <c r="A301" s="39" t="s">
        <v>1023</v>
      </c>
    </row>
    <row r="302" spans="1:1">
      <c r="A302" s="39" t="s">
        <v>1024</v>
      </c>
    </row>
    <row r="303" spans="1:1">
      <c r="A303" s="39" t="s">
        <v>1025</v>
      </c>
    </row>
    <row r="304" spans="1:1">
      <c r="A304" s="39" t="s">
        <v>1026</v>
      </c>
    </row>
    <row r="306" spans="1:13">
      <c r="A306" s="233" t="s">
        <v>1027</v>
      </c>
    </row>
    <row r="308" spans="1:13">
      <c r="A308" s="39" t="s">
        <v>1028</v>
      </c>
    </row>
    <row r="309" spans="1:13">
      <c r="A309" s="39" t="s">
        <v>1029</v>
      </c>
    </row>
    <row r="310" spans="1:13">
      <c r="A310" s="39" t="s">
        <v>1030</v>
      </c>
    </row>
    <row r="311" spans="1:13">
      <c r="A311" s="39" t="s">
        <v>1031</v>
      </c>
    </row>
    <row r="312" spans="1:13">
      <c r="A312" s="39" t="s">
        <v>1032</v>
      </c>
    </row>
    <row r="313" spans="1:13">
      <c r="M313" s="197">
        <f>+K20+1</f>
        <v>8</v>
      </c>
    </row>
    <row r="314" spans="1:13">
      <c r="A314" s="175" t="str">
        <f>+A220</f>
        <v>MIC INCORPORATION LIMITED </v>
      </c>
    </row>
    <row r="315" spans="1:13">
      <c r="A315" s="175"/>
    </row>
    <row r="316" spans="1:13">
      <c r="A316" s="175" t="str">
        <f>+A222</f>
        <v>NOTES TO THE FINANCIAL STATEMENTS</v>
      </c>
    </row>
    <row r="317" spans="1:13">
      <c r="A317" s="193" t="str">
        <f>+A223</f>
        <v>FOR THE PERIOD ENDED 31 DECEMBER, 2016</v>
      </c>
      <c r="B317" s="25"/>
      <c r="C317" s="25"/>
      <c r="D317" s="25"/>
      <c r="E317" s="25"/>
      <c r="F317" s="25"/>
      <c r="G317" s="25"/>
      <c r="H317" s="25"/>
      <c r="I317" s="25"/>
      <c r="J317" s="25"/>
      <c r="K317" s="25"/>
      <c r="L317" s="25"/>
      <c r="M317" s="25"/>
    </row>
    <row r="318" spans="1:13">
      <c r="A318" s="1049" t="str">
        <f>+A224</f>
        <v>(Expressed in United States Dollars)</v>
      </c>
      <c r="B318" s="1049"/>
      <c r="C318" s="1049"/>
      <c r="D318" s="1049"/>
      <c r="E318" s="1049"/>
      <c r="F318" s="1049"/>
      <c r="G318" s="1049"/>
      <c r="H318" s="1049"/>
      <c r="I318" s="1049"/>
      <c r="J318" s="1049"/>
      <c r="K318" s="1049"/>
      <c r="L318" s="1049"/>
      <c r="M318" s="1049"/>
    </row>
    <row r="320" spans="1:13">
      <c r="A320" s="175" t="s">
        <v>1033</v>
      </c>
    </row>
    <row r="321" spans="1:4" ht="9" customHeight="1"/>
    <row r="322" spans="1:4">
      <c r="A322" s="233" t="s">
        <v>1034</v>
      </c>
    </row>
    <row r="323" spans="1:4">
      <c r="A323" s="233"/>
    </row>
    <row r="324" spans="1:4">
      <c r="A324" s="39" t="s">
        <v>1035</v>
      </c>
    </row>
    <row r="325" spans="1:4">
      <c r="A325" s="39" t="s">
        <v>1036</v>
      </c>
    </row>
    <row r="326" spans="1:4">
      <c r="A326" s="39"/>
    </row>
    <row r="327" spans="1:4">
      <c r="A327" s="39" t="s">
        <v>1037</v>
      </c>
    </row>
    <row r="328" spans="1:4">
      <c r="A328" s="39" t="s">
        <v>1038</v>
      </c>
    </row>
    <row r="329" spans="1:4">
      <c r="A329" s="39" t="s">
        <v>1039</v>
      </c>
    </row>
    <row r="330" spans="1:4">
      <c r="A330" s="39"/>
    </row>
    <row r="331" spans="1:4">
      <c r="A331" s="39" t="s">
        <v>832</v>
      </c>
      <c r="D331" s="234">
        <v>0.2</v>
      </c>
    </row>
    <row r="332" spans="1:4">
      <c r="A332" s="39" t="s">
        <v>833</v>
      </c>
      <c r="C332" s="234">
        <v>0.2</v>
      </c>
    </row>
    <row r="333" spans="1:4">
      <c r="A333" s="39" t="s">
        <v>834</v>
      </c>
      <c r="D333" s="234">
        <v>0.2</v>
      </c>
    </row>
    <row r="334" spans="1:4">
      <c r="A334" s="39" t="s">
        <v>835</v>
      </c>
      <c r="D334" s="235">
        <v>0.2</v>
      </c>
    </row>
    <row r="335" spans="1:4">
      <c r="A335" s="39"/>
    </row>
    <row r="336" spans="1:4">
      <c r="A336" s="233" t="s">
        <v>1040</v>
      </c>
    </row>
    <row r="337" spans="1:1" ht="8.25" customHeight="1">
      <c r="A337" s="233"/>
    </row>
    <row r="338" spans="1:1">
      <c r="A338" s="39" t="s">
        <v>1041</v>
      </c>
    </row>
    <row r="339" spans="1:1">
      <c r="A339" s="39" t="s">
        <v>1042</v>
      </c>
    </row>
    <row r="340" spans="1:1">
      <c r="A340" s="39" t="s">
        <v>1043</v>
      </c>
    </row>
    <row r="341" spans="1:1">
      <c r="A341" s="39" t="s">
        <v>1044</v>
      </c>
    </row>
    <row r="342" spans="1:1">
      <c r="A342" s="39" t="s">
        <v>1045</v>
      </c>
    </row>
    <row r="343" spans="1:1">
      <c r="A343" s="39" t="s">
        <v>1046</v>
      </c>
    </row>
    <row r="344" spans="1:1">
      <c r="A344" s="39" t="s">
        <v>1047</v>
      </c>
    </row>
    <row r="345" spans="1:1">
      <c r="A345" s="39" t="s">
        <v>1048</v>
      </c>
    </row>
    <row r="346" spans="1:1">
      <c r="A346" s="39" t="s">
        <v>1049</v>
      </c>
    </row>
    <row r="347" spans="1:1">
      <c r="A347" s="39"/>
    </row>
    <row r="348" spans="1:1">
      <c r="A348" s="233" t="s">
        <v>1050</v>
      </c>
    </row>
    <row r="349" spans="1:1" ht="7.5" customHeight="1">
      <c r="A349" s="233"/>
    </row>
    <row r="350" spans="1:1">
      <c r="A350" s="39" t="s">
        <v>1051</v>
      </c>
    </row>
    <row r="351" spans="1:1">
      <c r="A351" s="39" t="s">
        <v>1052</v>
      </c>
    </row>
    <row r="352" spans="1:1">
      <c r="A352" s="39" t="s">
        <v>1053</v>
      </c>
    </row>
    <row r="353" spans="1:13">
      <c r="A353" s="39" t="s">
        <v>1054</v>
      </c>
    </row>
    <row r="354" spans="1:13">
      <c r="A354" s="39"/>
    </row>
    <row r="355" spans="1:13">
      <c r="A355" s="39" t="s">
        <v>1055</v>
      </c>
    </row>
    <row r="356" spans="1:13">
      <c r="A356" s="39" t="s">
        <v>1056</v>
      </c>
    </row>
    <row r="357" spans="1:13">
      <c r="A357" s="39" t="s">
        <v>1057</v>
      </c>
    </row>
    <row r="358" spans="1:13">
      <c r="A358" s="39" t="s">
        <v>1058</v>
      </c>
    </row>
    <row r="359" spans="1:13">
      <c r="A359" s="39" t="s">
        <v>1059</v>
      </c>
    </row>
    <row r="360" spans="1:13">
      <c r="A360" s="39" t="s">
        <v>1060</v>
      </c>
    </row>
    <row r="361" spans="1:13">
      <c r="A361" s="39"/>
      <c r="M361" s="197">
        <f>+K20+2</f>
        <v>9</v>
      </c>
    </row>
    <row r="362" spans="1:13">
      <c r="A362" s="175" t="str">
        <f>+A267</f>
        <v>MIC INCORPORATION LIMITED </v>
      </c>
    </row>
    <row r="363" spans="1:13">
      <c r="A363" s="175"/>
    </row>
    <row r="364" spans="1:13">
      <c r="A364" s="175" t="str">
        <f>+A269</f>
        <v>NOTES TO THE FINANCIAL STATEMENTS</v>
      </c>
    </row>
    <row r="365" spans="1:13">
      <c r="A365" s="193" t="str">
        <f>+A270</f>
        <v>FOR THE PERIOD ENDED 31 DECEMBER, 2016</v>
      </c>
      <c r="B365" s="25"/>
      <c r="C365" s="25"/>
      <c r="D365" s="25"/>
      <c r="E365" s="25"/>
      <c r="F365" s="25"/>
      <c r="G365" s="25"/>
      <c r="H365" s="25"/>
      <c r="I365" s="25"/>
      <c r="J365" s="25"/>
      <c r="K365" s="25"/>
      <c r="L365" s="25"/>
      <c r="M365" s="25"/>
    </row>
    <row r="366" spans="1:13">
      <c r="A366" s="1049" t="str">
        <f>+A271</f>
        <v>(Expressed in United States Dollars)</v>
      </c>
      <c r="B366" s="1049"/>
      <c r="C366" s="1049"/>
      <c r="D366" s="1049"/>
      <c r="E366" s="1049"/>
      <c r="F366" s="1049"/>
      <c r="G366" s="1049"/>
      <c r="H366" s="1049"/>
      <c r="I366" s="1049"/>
      <c r="J366" s="1049"/>
      <c r="K366" s="1049"/>
      <c r="L366" s="1049"/>
      <c r="M366" s="1049"/>
    </row>
    <row r="367" spans="1:13">
      <c r="A367" s="39"/>
    </row>
    <row r="368" spans="1:13">
      <c r="A368" s="236" t="s">
        <v>1061</v>
      </c>
    </row>
    <row r="369" spans="1:33">
      <c r="A369" s="39"/>
    </row>
    <row r="370" spans="1:33">
      <c r="A370" s="39" t="s">
        <v>1062</v>
      </c>
    </row>
    <row r="371" spans="1:33">
      <c r="A371" s="39"/>
    </row>
    <row r="372" spans="1:33">
      <c r="A372" s="39"/>
    </row>
    <row r="373" spans="1:33">
      <c r="A373" s="164" t="s">
        <v>1063</v>
      </c>
    </row>
    <row r="374" spans="1:33">
      <c r="A374" s="39"/>
    </row>
    <row r="375" spans="1:33">
      <c r="A375" s="39" t="s">
        <v>1064</v>
      </c>
    </row>
    <row r="376" spans="1:33">
      <c r="A376" s="39"/>
    </row>
    <row r="377" spans="1:33" s="199" customFormat="1" ht="16.5" customHeight="1">
      <c r="H377" s="469" t="s">
        <v>973</v>
      </c>
      <c r="J377" s="1081" t="s">
        <v>974</v>
      </c>
      <c r="K377" s="1081"/>
      <c r="L377" s="1081"/>
      <c r="M377" s="1081"/>
      <c r="N377" s="634"/>
      <c r="O377" s="634"/>
      <c r="P377" s="634"/>
      <c r="Q377" s="634"/>
      <c r="R377" s="634"/>
      <c r="S377" s="634"/>
      <c r="T377" s="634"/>
      <c r="U377" s="634"/>
      <c r="V377" s="634"/>
      <c r="W377" s="634"/>
      <c r="X377" s="634"/>
      <c r="Y377" s="634"/>
      <c r="Z377" s="634"/>
      <c r="AA377" s="634"/>
      <c r="AB377" s="634"/>
      <c r="AC377" s="634"/>
      <c r="AD377" s="634"/>
      <c r="AE377" s="634"/>
      <c r="AF377" s="634"/>
      <c r="AG377" s="634"/>
    </row>
    <row r="378" spans="1:33" s="199" customFormat="1" ht="15">
      <c r="A378" s="199" t="s">
        <v>1065</v>
      </c>
      <c r="H378" s="205"/>
      <c r="N378" s="634"/>
      <c r="O378" s="634"/>
      <c r="P378" s="634"/>
      <c r="Q378" s="634"/>
      <c r="R378" s="634"/>
      <c r="S378" s="634"/>
      <c r="T378" s="634"/>
      <c r="U378" s="634"/>
      <c r="V378" s="634"/>
      <c r="W378" s="634"/>
      <c r="X378" s="634"/>
      <c r="Y378" s="634"/>
      <c r="Z378" s="634"/>
      <c r="AA378" s="634"/>
      <c r="AB378" s="634"/>
      <c r="AC378" s="634"/>
      <c r="AD378" s="634"/>
      <c r="AE378" s="634"/>
      <c r="AF378" s="634"/>
      <c r="AG378" s="634"/>
    </row>
    <row r="379" spans="1:33" s="199" customFormat="1" ht="15.75" customHeight="1">
      <c r="H379" s="214"/>
      <c r="K379" s="201"/>
      <c r="N379" s="634"/>
      <c r="O379" s="634"/>
      <c r="P379" s="634"/>
      <c r="Q379" s="634"/>
      <c r="R379" s="634"/>
      <c r="S379" s="634"/>
      <c r="T379" s="634"/>
      <c r="U379" s="634"/>
      <c r="V379" s="634"/>
      <c r="W379" s="634"/>
      <c r="X379" s="634"/>
      <c r="Y379" s="634"/>
      <c r="Z379" s="634"/>
      <c r="AA379" s="634"/>
      <c r="AB379" s="634"/>
      <c r="AC379" s="634"/>
      <c r="AD379" s="634"/>
      <c r="AE379" s="634"/>
      <c r="AF379" s="634"/>
      <c r="AG379" s="634"/>
    </row>
    <row r="380" spans="1:33" s="199" customFormat="1" ht="15.75" customHeight="1">
      <c r="A380" s="199" t="s">
        <v>1066</v>
      </c>
      <c r="H380" s="201">
        <v>8500</v>
      </c>
      <c r="J380" s="1069">
        <v>8250</v>
      </c>
      <c r="K380" s="1069"/>
      <c r="L380" s="1069"/>
      <c r="M380" s="1069"/>
      <c r="N380" s="634"/>
      <c r="O380" s="634"/>
      <c r="P380" s="634"/>
      <c r="Q380" s="634"/>
      <c r="R380" s="634"/>
      <c r="S380" s="634"/>
      <c r="T380" s="634"/>
      <c r="U380" s="634"/>
      <c r="V380" s="634"/>
      <c r="W380" s="634"/>
      <c r="X380" s="634"/>
      <c r="Y380" s="634"/>
      <c r="Z380" s="634"/>
      <c r="AA380" s="634"/>
      <c r="AB380" s="634"/>
      <c r="AC380" s="634"/>
      <c r="AD380" s="634"/>
      <c r="AE380" s="634"/>
      <c r="AF380" s="634"/>
      <c r="AG380" s="634"/>
    </row>
    <row r="381" spans="1:33" s="199" customFormat="1" ht="15.75" customHeight="1">
      <c r="A381" s="199" t="s">
        <v>1067</v>
      </c>
      <c r="H381" s="201">
        <v>112751</v>
      </c>
      <c r="J381" s="1069">
        <v>105897</v>
      </c>
      <c r="K381" s="1069"/>
      <c r="L381" s="1069"/>
      <c r="M381" s="1069"/>
      <c r="N381" s="634"/>
      <c r="O381" s="634"/>
      <c r="P381" s="634"/>
      <c r="Q381" s="634"/>
      <c r="R381" s="634"/>
      <c r="S381" s="634"/>
      <c r="T381" s="634"/>
      <c r="U381" s="634"/>
      <c r="V381" s="634"/>
      <c r="W381" s="634"/>
      <c r="X381" s="634"/>
      <c r="Y381" s="634"/>
      <c r="Z381" s="634"/>
      <c r="AA381" s="634"/>
      <c r="AB381" s="634"/>
      <c r="AC381" s="634"/>
      <c r="AD381" s="634"/>
      <c r="AE381" s="634"/>
      <c r="AF381" s="634"/>
      <c r="AG381" s="634"/>
    </row>
    <row r="382" spans="1:33" s="199" customFormat="1" ht="15.75" customHeight="1">
      <c r="A382" s="199" t="s">
        <v>1068</v>
      </c>
      <c r="H382" s="201">
        <v>3011</v>
      </c>
      <c r="J382" s="1069">
        <v>2885</v>
      </c>
      <c r="K382" s="1069"/>
      <c r="L382" s="1069"/>
      <c r="M382" s="1069"/>
      <c r="N382" s="634"/>
      <c r="O382" s="634"/>
      <c r="P382" s="634"/>
      <c r="Q382" s="634"/>
      <c r="R382" s="634"/>
      <c r="S382" s="634"/>
      <c r="T382" s="634"/>
      <c r="U382" s="634"/>
      <c r="V382" s="634"/>
      <c r="W382" s="634"/>
      <c r="X382" s="634"/>
      <c r="Y382" s="634"/>
      <c r="Z382" s="634"/>
      <c r="AA382" s="634"/>
      <c r="AB382" s="634"/>
      <c r="AC382" s="634"/>
      <c r="AD382" s="634"/>
      <c r="AE382" s="634"/>
      <c r="AF382" s="634"/>
      <c r="AG382" s="634"/>
    </row>
    <row r="383" spans="1:33" s="199" customFormat="1" ht="15.75" customHeight="1">
      <c r="A383" s="199" t="s">
        <v>1069</v>
      </c>
      <c r="H383" s="201">
        <v>300000</v>
      </c>
      <c r="J383" s="1069">
        <v>435420</v>
      </c>
      <c r="K383" s="1069"/>
      <c r="L383" s="1069"/>
      <c r="M383" s="1069"/>
      <c r="N383" s="634"/>
      <c r="O383" s="634"/>
      <c r="P383" s="634"/>
      <c r="Q383" s="634"/>
      <c r="R383" s="634"/>
      <c r="S383" s="634"/>
      <c r="T383" s="634"/>
      <c r="U383" s="634"/>
      <c r="V383" s="634"/>
      <c r="W383" s="634"/>
      <c r="X383" s="634"/>
      <c r="Y383" s="634"/>
      <c r="Z383" s="634"/>
      <c r="AA383" s="634"/>
      <c r="AB383" s="634"/>
      <c r="AC383" s="634"/>
      <c r="AD383" s="634"/>
      <c r="AE383" s="634"/>
      <c r="AF383" s="634"/>
      <c r="AG383" s="634"/>
    </row>
    <row r="384" spans="1:33" s="199" customFormat="1" ht="15.75" customHeight="1">
      <c r="A384" s="199" t="s">
        <v>1070</v>
      </c>
      <c r="H384" s="201">
        <v>1998656</v>
      </c>
      <c r="J384" s="1069">
        <v>1966267</v>
      </c>
      <c r="K384" s="1069"/>
      <c r="L384" s="1069"/>
      <c r="M384" s="1069"/>
      <c r="N384" s="634"/>
      <c r="O384" s="634"/>
      <c r="P384" s="634"/>
      <c r="Q384" s="634"/>
      <c r="R384" s="634"/>
      <c r="S384" s="634"/>
      <c r="T384" s="634"/>
      <c r="U384" s="634"/>
      <c r="V384" s="634"/>
      <c r="W384" s="634"/>
      <c r="X384" s="634"/>
      <c r="Y384" s="634"/>
      <c r="Z384" s="634"/>
      <c r="AA384" s="634"/>
      <c r="AB384" s="634"/>
      <c r="AC384" s="634"/>
      <c r="AD384" s="634"/>
      <c r="AE384" s="634"/>
      <c r="AF384" s="634"/>
      <c r="AG384" s="634"/>
    </row>
    <row r="385" spans="1:33" s="199" customFormat="1" ht="15.75" customHeight="1">
      <c r="A385" s="199" t="s">
        <v>855</v>
      </c>
      <c r="H385" s="214"/>
      <c r="K385" s="201"/>
      <c r="N385" s="634"/>
      <c r="O385" s="634"/>
      <c r="P385" s="634"/>
      <c r="Q385" s="634"/>
      <c r="R385" s="634"/>
      <c r="S385" s="634"/>
      <c r="T385" s="634"/>
      <c r="U385" s="634"/>
      <c r="V385" s="634"/>
      <c r="W385" s="634"/>
      <c r="X385" s="634"/>
      <c r="Y385" s="634"/>
      <c r="Z385" s="634"/>
      <c r="AA385" s="634"/>
      <c r="AB385" s="634"/>
      <c r="AC385" s="634"/>
      <c r="AD385" s="634"/>
      <c r="AE385" s="634"/>
      <c r="AF385" s="634"/>
      <c r="AG385" s="634"/>
    </row>
    <row r="386" spans="1:33" s="199" customFormat="1" ht="15.75" customHeight="1">
      <c r="A386" s="199" t="s">
        <v>857</v>
      </c>
      <c r="F386" s="212"/>
      <c r="H386" s="213">
        <v>0</v>
      </c>
      <c r="J386" s="1076">
        <v>0</v>
      </c>
      <c r="K386" s="1076"/>
      <c r="L386" s="1076"/>
      <c r="M386" s="1076"/>
      <c r="N386" s="634"/>
      <c r="O386" s="634"/>
      <c r="P386" s="634"/>
      <c r="Q386" s="634"/>
      <c r="R386" s="634"/>
      <c r="S386" s="634"/>
      <c r="T386" s="634"/>
      <c r="U386" s="634"/>
      <c r="V386" s="634"/>
      <c r="W386" s="634"/>
      <c r="X386" s="634"/>
      <c r="Y386" s="634"/>
      <c r="Z386" s="634"/>
      <c r="AA386" s="634"/>
      <c r="AB386" s="634"/>
      <c r="AC386" s="634"/>
      <c r="AD386" s="634"/>
      <c r="AE386" s="634"/>
      <c r="AF386" s="634"/>
      <c r="AG386" s="634"/>
    </row>
    <row r="387" spans="1:33" s="199" customFormat="1" ht="15.75" customHeight="1">
      <c r="A387" s="199" t="s">
        <v>859</v>
      </c>
      <c r="F387" s="212"/>
      <c r="H387" s="213">
        <v>0</v>
      </c>
      <c r="J387" s="1076">
        <v>133276</v>
      </c>
      <c r="K387" s="1076"/>
      <c r="L387" s="1076"/>
      <c r="M387" s="1076"/>
      <c r="N387" s="634"/>
      <c r="O387" s="634"/>
      <c r="P387" s="634"/>
      <c r="Q387" s="634"/>
      <c r="R387" s="634"/>
      <c r="S387" s="634"/>
      <c r="T387" s="634"/>
      <c r="U387" s="634"/>
      <c r="V387" s="634"/>
      <c r="W387" s="634"/>
      <c r="X387" s="634"/>
      <c r="Y387" s="634"/>
      <c r="Z387" s="634"/>
      <c r="AA387" s="634"/>
      <c r="AB387" s="634"/>
      <c r="AC387" s="634"/>
      <c r="AD387" s="634"/>
      <c r="AE387" s="634"/>
      <c r="AF387" s="634"/>
      <c r="AG387" s="634"/>
    </row>
    <row r="388" spans="1:33" s="199" customFormat="1" ht="15.75" customHeight="1">
      <c r="A388" s="199" t="s">
        <v>115</v>
      </c>
      <c r="F388" s="212"/>
      <c r="H388" s="213">
        <v>-5</v>
      </c>
      <c r="J388" s="1076">
        <v>0</v>
      </c>
      <c r="K388" s="1076"/>
      <c r="L388" s="1076"/>
      <c r="M388" s="1076"/>
      <c r="N388" s="634"/>
      <c r="O388" s="634"/>
      <c r="P388" s="634"/>
      <c r="Q388" s="634"/>
      <c r="R388" s="634"/>
      <c r="S388" s="634"/>
      <c r="T388" s="634"/>
      <c r="U388" s="634"/>
      <c r="V388" s="634"/>
      <c r="W388" s="634"/>
      <c r="X388" s="634"/>
      <c r="Y388" s="634"/>
      <c r="Z388" s="634"/>
      <c r="AA388" s="634"/>
      <c r="AB388" s="634"/>
      <c r="AC388" s="634"/>
      <c r="AD388" s="634"/>
      <c r="AE388" s="634"/>
      <c r="AF388" s="634"/>
      <c r="AG388" s="634"/>
    </row>
    <row r="389" spans="1:33" s="199" customFormat="1" ht="3.75" customHeight="1" thickBot="1">
      <c r="F389" s="212"/>
      <c r="H389" s="217"/>
      <c r="J389" s="219"/>
      <c r="K389" s="217"/>
      <c r="L389" s="219"/>
      <c r="M389" s="219"/>
      <c r="N389" s="634"/>
      <c r="O389" s="634"/>
      <c r="P389" s="634"/>
      <c r="Q389" s="634"/>
      <c r="R389" s="634"/>
      <c r="S389" s="634"/>
      <c r="T389" s="634"/>
      <c r="U389" s="634"/>
      <c r="V389" s="634"/>
      <c r="W389" s="634"/>
      <c r="X389" s="634"/>
      <c r="Y389" s="634"/>
      <c r="Z389" s="634"/>
      <c r="AA389" s="634"/>
      <c r="AB389" s="634"/>
      <c r="AC389" s="634"/>
      <c r="AD389" s="634"/>
      <c r="AE389" s="634"/>
      <c r="AF389" s="634"/>
      <c r="AG389" s="634"/>
    </row>
    <row r="390" spans="1:33" s="199" customFormat="1" thickTop="1">
      <c r="H390" s="205"/>
      <c r="N390" s="634"/>
      <c r="O390" s="634"/>
      <c r="P390" s="634"/>
      <c r="Q390" s="634"/>
      <c r="R390" s="634"/>
      <c r="S390" s="634"/>
      <c r="T390" s="634"/>
      <c r="U390" s="634"/>
      <c r="V390" s="634"/>
      <c r="W390" s="634"/>
      <c r="X390" s="634"/>
      <c r="Y390" s="634"/>
      <c r="Z390" s="634"/>
      <c r="AA390" s="634"/>
      <c r="AB390" s="634"/>
      <c r="AC390" s="634"/>
      <c r="AD390" s="634"/>
      <c r="AE390" s="634"/>
      <c r="AF390" s="634"/>
      <c r="AG390" s="634"/>
    </row>
    <row r="391" spans="1:33">
      <c r="A391" s="39"/>
    </row>
    <row r="392" spans="1:33">
      <c r="A392" s="164" t="s">
        <v>1071</v>
      </c>
    </row>
    <row r="393" spans="1:33">
      <c r="A393" s="39"/>
    </row>
    <row r="394" spans="1:33">
      <c r="A394" s="39" t="s">
        <v>1072</v>
      </c>
    </row>
    <row r="395" spans="1:33">
      <c r="A395" s="39" t="s">
        <v>1073</v>
      </c>
    </row>
    <row r="396" spans="1:33">
      <c r="A396" s="39"/>
    </row>
    <row r="397" spans="1:33">
      <c r="A397" s="39"/>
    </row>
    <row r="398" spans="1:33">
      <c r="A398" s="39"/>
    </row>
    <row r="399" spans="1:33">
      <c r="A399" s="39"/>
    </row>
    <row r="400" spans="1:33">
      <c r="A400" s="39"/>
    </row>
    <row r="401" spans="1:13">
      <c r="A401" s="39"/>
    </row>
    <row r="402" spans="1:13">
      <c r="A402" s="39"/>
    </row>
    <row r="403" spans="1:13">
      <c r="A403" s="39"/>
    </row>
    <row r="404" spans="1:13">
      <c r="A404" s="39"/>
    </row>
    <row r="405" spans="1:13">
      <c r="A405" s="39"/>
    </row>
    <row r="406" spans="1:13">
      <c r="A406" s="39"/>
    </row>
    <row r="407" spans="1:13">
      <c r="A407" s="39"/>
    </row>
    <row r="408" spans="1:13">
      <c r="A408" s="39"/>
    </row>
    <row r="409" spans="1:13">
      <c r="A409" s="39"/>
      <c r="M409" s="197">
        <f>+K20+3</f>
        <v>10</v>
      </c>
    </row>
    <row r="410" spans="1:13">
      <c r="A410" s="175" t="str">
        <f>+A362</f>
        <v>MIC INCORPORATION LIMITED </v>
      </c>
    </row>
    <row r="411" spans="1:13">
      <c r="A411" s="175"/>
    </row>
    <row r="412" spans="1:13">
      <c r="A412" s="175" t="str">
        <f>+A364</f>
        <v>NOTES TO THE FINANCIAL STATEMENTS</v>
      </c>
    </row>
    <row r="413" spans="1:13">
      <c r="A413" s="193" t="str">
        <f>+A365</f>
        <v>FOR THE PERIOD ENDED 31 DECEMBER, 2016</v>
      </c>
      <c r="B413" s="25"/>
      <c r="C413" s="25"/>
      <c r="D413" s="25"/>
      <c r="E413" s="25"/>
      <c r="F413" s="25"/>
      <c r="G413" s="25"/>
      <c r="H413" s="25"/>
      <c r="I413" s="25"/>
      <c r="J413" s="25"/>
      <c r="K413" s="25"/>
      <c r="L413" s="25"/>
      <c r="M413" s="25"/>
    </row>
    <row r="414" spans="1:13">
      <c r="A414" s="1049" t="str">
        <f>+A366</f>
        <v>(Expressed in United States Dollars)</v>
      </c>
      <c r="B414" s="1049"/>
      <c r="C414" s="1049"/>
      <c r="D414" s="1049"/>
      <c r="E414" s="1049"/>
      <c r="F414" s="1049"/>
      <c r="G414" s="1049"/>
      <c r="H414" s="1049"/>
      <c r="I414" s="1049"/>
      <c r="J414" s="1049"/>
      <c r="K414" s="1049"/>
      <c r="L414" s="1049"/>
      <c r="M414" s="1049"/>
    </row>
    <row r="415" spans="1:13">
      <c r="A415" s="39"/>
    </row>
    <row r="416" spans="1:13">
      <c r="A416" s="164" t="s">
        <v>1074</v>
      </c>
    </row>
    <row r="417" spans="1:8">
      <c r="A417" s="39"/>
      <c r="F417" s="221" t="s">
        <v>1075</v>
      </c>
      <c r="H417" s="467"/>
    </row>
    <row r="418" spans="1:8">
      <c r="A418" s="39"/>
      <c r="D418" s="467" t="s">
        <v>1076</v>
      </c>
      <c r="F418" s="467" t="s">
        <v>1077</v>
      </c>
      <c r="H418" s="467" t="s">
        <v>1078</v>
      </c>
    </row>
    <row r="419" spans="1:8">
      <c r="A419" s="240" t="s">
        <v>1079</v>
      </c>
      <c r="D419" s="205"/>
      <c r="F419" s="243"/>
      <c r="H419" s="243"/>
    </row>
    <row r="420" spans="1:8">
      <c r="A420" s="240" t="s">
        <v>1080</v>
      </c>
      <c r="D420" s="224">
        <v>274946</v>
      </c>
      <c r="F420" s="224">
        <v>42556</v>
      </c>
      <c r="H420" s="224">
        <v>211984</v>
      </c>
    </row>
    <row r="421" spans="1:8">
      <c r="A421" s="240" t="s">
        <v>1081</v>
      </c>
      <c r="D421" s="224">
        <v>0</v>
      </c>
      <c r="F421" s="224">
        <v>0</v>
      </c>
      <c r="H421" s="224">
        <v>0</v>
      </c>
    </row>
    <row r="422" spans="1:8">
      <c r="A422" s="240" t="s">
        <v>1082</v>
      </c>
      <c r="D422" s="242">
        <f>+D420+D421</f>
        <v>274946</v>
      </c>
      <c r="F422" s="242">
        <f>+F420+F421</f>
        <v>42556</v>
      </c>
      <c r="H422" s="242">
        <f>+H420+H421</f>
        <v>211984</v>
      </c>
    </row>
    <row r="423" spans="1:8">
      <c r="A423" s="241"/>
      <c r="D423" s="224"/>
      <c r="F423" s="224"/>
      <c r="H423" s="224"/>
    </row>
    <row r="424" spans="1:8">
      <c r="A424" s="238" t="s">
        <v>1083</v>
      </c>
      <c r="D424" s="224"/>
      <c r="F424" s="224"/>
      <c r="H424" s="224"/>
    </row>
    <row r="425" spans="1:8">
      <c r="A425" s="240" t="s">
        <v>1080</v>
      </c>
      <c r="D425" s="224">
        <v>164967</v>
      </c>
      <c r="F425" s="224">
        <v>25533</v>
      </c>
      <c r="H425" s="224">
        <v>127191</v>
      </c>
    </row>
    <row r="426" spans="1:8">
      <c r="A426" s="238" t="s">
        <v>1084</v>
      </c>
      <c r="D426" s="224">
        <v>54989</v>
      </c>
      <c r="F426" s="224">
        <v>8511</v>
      </c>
      <c r="H426" s="224">
        <v>42397</v>
      </c>
    </row>
    <row r="427" spans="1:8">
      <c r="A427" s="240" t="s">
        <v>1082</v>
      </c>
      <c r="D427" s="242">
        <f>+D425+D426</f>
        <v>219956</v>
      </c>
      <c r="F427" s="242">
        <f>+F425+F426</f>
        <v>34044</v>
      </c>
      <c r="H427" s="242">
        <f>+H425+H426</f>
        <v>169588</v>
      </c>
    </row>
    <row r="428" spans="1:8">
      <c r="A428" s="238"/>
      <c r="D428" s="224"/>
      <c r="F428" s="224"/>
      <c r="H428" s="224"/>
    </row>
    <row r="429" spans="1:8">
      <c r="A429" s="238" t="s">
        <v>1085</v>
      </c>
      <c r="D429" s="224"/>
      <c r="F429" s="224"/>
      <c r="H429" s="224"/>
    </row>
    <row r="430" spans="1:8" ht="16.5" thickBot="1">
      <c r="A430" s="240" t="s">
        <v>1082</v>
      </c>
      <c r="D430" s="228">
        <f>+D422-D427</f>
        <v>54990</v>
      </c>
      <c r="F430" s="228">
        <f>+F422-F427</f>
        <v>8512</v>
      </c>
      <c r="H430" s="228">
        <f>+H422-H427</f>
        <v>42396</v>
      </c>
    </row>
    <row r="431" spans="1:8" ht="16.5" thickTop="1">
      <c r="A431" s="238"/>
      <c r="D431" s="224"/>
      <c r="F431" s="224"/>
      <c r="H431" s="224"/>
    </row>
    <row r="432" spans="1:8" ht="16.5" thickBot="1">
      <c r="A432" s="240" t="s">
        <v>1086</v>
      </c>
      <c r="D432" s="228">
        <v>109979</v>
      </c>
      <c r="F432" s="228">
        <v>17023</v>
      </c>
      <c r="H432" s="228">
        <v>84793</v>
      </c>
    </row>
    <row r="433" spans="1:13" ht="16.5" thickTop="1">
      <c r="A433" s="39"/>
      <c r="D433" s="224"/>
      <c r="F433" s="224"/>
      <c r="H433" s="224"/>
    </row>
    <row r="434" spans="1:13">
      <c r="A434" s="39"/>
    </row>
    <row r="435" spans="1:13">
      <c r="A435" s="164" t="s">
        <v>1087</v>
      </c>
    </row>
    <row r="436" spans="1:13">
      <c r="A436" s="39"/>
    </row>
    <row r="437" spans="1:13">
      <c r="A437" s="39" t="s">
        <v>887</v>
      </c>
    </row>
    <row r="438" spans="1:13">
      <c r="A438" s="39"/>
    </row>
    <row r="439" spans="1:13">
      <c r="A439" s="164" t="s">
        <v>1088</v>
      </c>
    </row>
    <row r="440" spans="1:13">
      <c r="A440" s="39"/>
    </row>
    <row r="441" spans="1:13">
      <c r="A441" s="39"/>
      <c r="H441" s="471" t="s">
        <v>973</v>
      </c>
      <c r="I441" s="249"/>
      <c r="J441" s="1083" t="s">
        <v>1089</v>
      </c>
      <c r="K441" s="1083"/>
      <c r="L441" s="1083"/>
      <c r="M441" s="1083"/>
    </row>
    <row r="442" spans="1:13">
      <c r="A442" s="244" t="s">
        <v>1090</v>
      </c>
    </row>
    <row r="443" spans="1:13" ht="16.5" thickBot="1">
      <c r="A443" s="244" t="s">
        <v>1091</v>
      </c>
      <c r="H443" s="245">
        <v>10000</v>
      </c>
      <c r="J443" s="1082">
        <v>10000</v>
      </c>
      <c r="K443" s="1082"/>
      <c r="L443" s="1082"/>
      <c r="M443" s="1082"/>
    </row>
    <row r="444" spans="1:13" ht="16.5" thickTop="1">
      <c r="A444" s="244"/>
      <c r="H444" s="246"/>
      <c r="J444" s="246"/>
    </row>
    <row r="445" spans="1:13">
      <c r="A445" s="244" t="s">
        <v>1092</v>
      </c>
      <c r="H445" s="247"/>
      <c r="J445" s="247"/>
    </row>
    <row r="446" spans="1:13" ht="16.5" thickBot="1">
      <c r="A446" s="244" t="s">
        <v>1093</v>
      </c>
      <c r="H446" s="248">
        <v>10000</v>
      </c>
      <c r="J446" s="1082">
        <v>10000</v>
      </c>
      <c r="K446" s="1082"/>
      <c r="L446" s="1082"/>
      <c r="M446" s="1082"/>
    </row>
    <row r="447" spans="1:13" ht="16.5" thickTop="1">
      <c r="A447" s="39"/>
    </row>
    <row r="448" spans="1:13">
      <c r="A448" s="255"/>
      <c r="B448" s="25"/>
      <c r="C448" s="25"/>
      <c r="D448" s="25"/>
      <c r="E448" s="25"/>
      <c r="F448" s="25"/>
      <c r="G448" s="25"/>
      <c r="H448" s="25"/>
      <c r="I448" s="25"/>
      <c r="J448" s="25"/>
      <c r="K448" s="25"/>
      <c r="L448" s="25"/>
      <c r="M448" s="25"/>
    </row>
    <row r="449" spans="1:13">
      <c r="A449" s="39"/>
    </row>
    <row r="450" spans="1:13">
      <c r="A450" s="39"/>
    </row>
    <row r="451" spans="1:13">
      <c r="A451" s="39"/>
    </row>
    <row r="452" spans="1:13">
      <c r="A452" s="39"/>
    </row>
    <row r="453" spans="1:13">
      <c r="A453" s="39"/>
    </row>
    <row r="454" spans="1:13">
      <c r="A454" s="39"/>
    </row>
    <row r="455" spans="1:13">
      <c r="A455" s="39"/>
      <c r="M455" s="197">
        <f>+M20</f>
        <v>11</v>
      </c>
    </row>
    <row r="456" spans="1:13">
      <c r="A456" s="39"/>
    </row>
    <row r="457" spans="1:13">
      <c r="A457" s="39"/>
    </row>
    <row r="458" spans="1:13">
      <c r="A458" s="39"/>
    </row>
    <row r="459" spans="1:13">
      <c r="A459" s="39"/>
    </row>
    <row r="460" spans="1:13">
      <c r="A460" s="39"/>
    </row>
    <row r="461" spans="1:13">
      <c r="A461" s="39"/>
    </row>
    <row r="462" spans="1:13">
      <c r="A462" s="39"/>
    </row>
    <row r="463" spans="1:13">
      <c r="A463" s="39"/>
    </row>
    <row r="464" spans="1:13">
      <c r="A464" s="39"/>
    </row>
    <row r="465" spans="1:1">
      <c r="A465" s="39"/>
    </row>
    <row r="466" spans="1:1">
      <c r="A466" s="39"/>
    </row>
    <row r="467" spans="1:1">
      <c r="A467" s="39"/>
    </row>
    <row r="468" spans="1:1">
      <c r="A468" s="39"/>
    </row>
    <row r="469" spans="1:1">
      <c r="A469" s="39"/>
    </row>
    <row r="470" spans="1:1">
      <c r="A470" s="39"/>
    </row>
    <row r="471" spans="1:1">
      <c r="A471" s="39"/>
    </row>
    <row r="472" spans="1:1">
      <c r="A472" s="39"/>
    </row>
    <row r="473" spans="1:1">
      <c r="A473" s="39"/>
    </row>
    <row r="474" spans="1:1">
      <c r="A474" s="39"/>
    </row>
    <row r="475" spans="1:1">
      <c r="A475" s="39"/>
    </row>
    <row r="476" spans="1:1">
      <c r="A476" s="39"/>
    </row>
    <row r="477" spans="1:1">
      <c r="A477" s="39"/>
    </row>
    <row r="478" spans="1:1">
      <c r="A478" s="39"/>
    </row>
    <row r="479" spans="1:1">
      <c r="A479" s="39"/>
    </row>
    <row r="480" spans="1:1">
      <c r="A480" s="39"/>
    </row>
    <row r="481" spans="1:1">
      <c r="A481" s="39"/>
    </row>
    <row r="482" spans="1:1">
      <c r="A482" s="39"/>
    </row>
    <row r="483" spans="1:1">
      <c r="A483" s="39"/>
    </row>
    <row r="484" spans="1:1">
      <c r="A484" s="39"/>
    </row>
    <row r="485" spans="1:1">
      <c r="A485" s="39"/>
    </row>
    <row r="486" spans="1:1">
      <c r="A486" s="39"/>
    </row>
    <row r="487" spans="1:1">
      <c r="A487" s="39"/>
    </row>
    <row r="488" spans="1:1">
      <c r="A488" s="39"/>
    </row>
    <row r="489" spans="1:1">
      <c r="A489" s="39"/>
    </row>
    <row r="490" spans="1:1">
      <c r="A490" s="39"/>
    </row>
    <row r="491" spans="1:1">
      <c r="A491" s="39"/>
    </row>
    <row r="492" spans="1:1">
      <c r="A492" s="39"/>
    </row>
    <row r="493" spans="1:1">
      <c r="A493" s="39"/>
    </row>
    <row r="494" spans="1:1">
      <c r="A494" s="39"/>
    </row>
    <row r="495" spans="1:1">
      <c r="A495" s="39"/>
    </row>
    <row r="496" spans="1:1">
      <c r="A496" s="39"/>
    </row>
    <row r="497" spans="1:1">
      <c r="A497" s="39"/>
    </row>
    <row r="498" spans="1:1">
      <c r="A498" s="39"/>
    </row>
    <row r="499" spans="1:1">
      <c r="A499" s="39"/>
    </row>
    <row r="500" spans="1:1">
      <c r="A500" s="39"/>
    </row>
    <row r="501" spans="1:1">
      <c r="A501" s="39"/>
    </row>
    <row r="502" spans="1:1">
      <c r="A502" s="39"/>
    </row>
    <row r="503" spans="1:1">
      <c r="A503" s="39"/>
    </row>
    <row r="504" spans="1:1">
      <c r="A504" s="39"/>
    </row>
    <row r="505" spans="1:1">
      <c r="A505" s="39"/>
    </row>
    <row r="506" spans="1:1">
      <c r="A506" s="39"/>
    </row>
    <row r="507" spans="1:1">
      <c r="A507" s="39"/>
    </row>
    <row r="508" spans="1:1">
      <c r="A508" s="39"/>
    </row>
    <row r="509" spans="1:1">
      <c r="A509" s="39"/>
    </row>
    <row r="510" spans="1:1">
      <c r="A510" s="39"/>
    </row>
    <row r="511" spans="1:1">
      <c r="A511" s="39"/>
    </row>
    <row r="512" spans="1:1">
      <c r="A512" s="39"/>
    </row>
    <row r="513" spans="1:1">
      <c r="A513" s="39"/>
    </row>
    <row r="514" spans="1:1">
      <c r="A514" s="39"/>
    </row>
    <row r="515" spans="1:1">
      <c r="A515" s="39"/>
    </row>
    <row r="516" spans="1:1">
      <c r="A516" s="39"/>
    </row>
    <row r="517" spans="1:1">
      <c r="A517" s="39"/>
    </row>
    <row r="518" spans="1:1">
      <c r="A518" s="39"/>
    </row>
    <row r="519" spans="1:1">
      <c r="A519" s="39"/>
    </row>
    <row r="520" spans="1:1">
      <c r="A520" s="39"/>
    </row>
    <row r="521" spans="1:1">
      <c r="A521" s="39"/>
    </row>
    <row r="522" spans="1:1">
      <c r="A522" s="39"/>
    </row>
    <row r="523" spans="1:1">
      <c r="A523" s="39"/>
    </row>
    <row r="524" spans="1:1">
      <c r="A524" s="39"/>
    </row>
    <row r="525" spans="1:1">
      <c r="A525" s="39"/>
    </row>
    <row r="526" spans="1:1">
      <c r="A526" s="39"/>
    </row>
    <row r="527" spans="1:1">
      <c r="A527" s="39"/>
    </row>
    <row r="528" spans="1:1">
      <c r="A528" s="39"/>
    </row>
    <row r="529" spans="1:1">
      <c r="A529" s="39"/>
    </row>
    <row r="530" spans="1:1">
      <c r="A530" s="39"/>
    </row>
    <row r="531" spans="1:1">
      <c r="A531" s="39"/>
    </row>
    <row r="532" spans="1:1">
      <c r="A532" s="39"/>
    </row>
    <row r="533" spans="1:1">
      <c r="A533" s="39"/>
    </row>
    <row r="534" spans="1:1">
      <c r="A534" s="39"/>
    </row>
    <row r="535" spans="1:1">
      <c r="A535" s="39"/>
    </row>
    <row r="536" spans="1:1">
      <c r="A536" s="39"/>
    </row>
    <row r="537" spans="1:1">
      <c r="A537" s="39"/>
    </row>
    <row r="538" spans="1:1">
      <c r="A538" s="39"/>
    </row>
    <row r="539" spans="1:1">
      <c r="A539" s="39"/>
    </row>
    <row r="540" spans="1:1">
      <c r="A540" s="39"/>
    </row>
    <row r="541" spans="1:1">
      <c r="A541" s="39"/>
    </row>
    <row r="542" spans="1:1">
      <c r="A542" s="39"/>
    </row>
    <row r="543" spans="1:1">
      <c r="A543" s="39"/>
    </row>
    <row r="544" spans="1:1">
      <c r="A544" s="39"/>
    </row>
    <row r="545" spans="1:1">
      <c r="A545" s="39"/>
    </row>
    <row r="546" spans="1:1">
      <c r="A546" s="39"/>
    </row>
    <row r="547" spans="1:1">
      <c r="A547" s="39"/>
    </row>
    <row r="548" spans="1:1">
      <c r="A548" s="39"/>
    </row>
    <row r="549" spans="1:1">
      <c r="A549" s="39"/>
    </row>
    <row r="550" spans="1:1">
      <c r="A550" s="39"/>
    </row>
    <row r="551" spans="1:1">
      <c r="A551" s="39"/>
    </row>
    <row r="552" spans="1:1">
      <c r="A552" s="39"/>
    </row>
    <row r="553" spans="1:1">
      <c r="A553" s="39"/>
    </row>
    <row r="554" spans="1:1">
      <c r="A554" s="39"/>
    </row>
    <row r="555" spans="1:1">
      <c r="A555" s="39"/>
    </row>
    <row r="556" spans="1:1">
      <c r="A556" s="39"/>
    </row>
    <row r="557" spans="1:1">
      <c r="A557" s="39"/>
    </row>
    <row r="558" spans="1:1">
      <c r="A558" s="39"/>
    </row>
    <row r="559" spans="1:1">
      <c r="A559" s="39"/>
    </row>
    <row r="560" spans="1:1">
      <c r="A560" s="39"/>
    </row>
    <row r="561" spans="1:1">
      <c r="A561" s="39"/>
    </row>
    <row r="562" spans="1:1">
      <c r="A562" s="39"/>
    </row>
    <row r="563" spans="1:1">
      <c r="A563" s="39"/>
    </row>
    <row r="564" spans="1:1">
      <c r="A564" s="39"/>
    </row>
  </sheetData>
  <mergeCells count="60">
    <mergeCell ref="J446:M446"/>
    <mergeCell ref="J380:M380"/>
    <mergeCell ref="J381:M381"/>
    <mergeCell ref="J382:M382"/>
    <mergeCell ref="J383:M383"/>
    <mergeCell ref="J384:M384"/>
    <mergeCell ref="J386:M386"/>
    <mergeCell ref="J387:M387"/>
    <mergeCell ref="J388:M388"/>
    <mergeCell ref="A414:M414"/>
    <mergeCell ref="J441:M441"/>
    <mergeCell ref="J443:M443"/>
    <mergeCell ref="J377:M377"/>
    <mergeCell ref="E190:F190"/>
    <mergeCell ref="J190:M190"/>
    <mergeCell ref="A224:M224"/>
    <mergeCell ref="B228:M231"/>
    <mergeCell ref="B235:M238"/>
    <mergeCell ref="B239:M239"/>
    <mergeCell ref="B240:M243"/>
    <mergeCell ref="B244:M247"/>
    <mergeCell ref="A271:M271"/>
    <mergeCell ref="A318:M318"/>
    <mergeCell ref="A366:M366"/>
    <mergeCell ref="J188:M188"/>
    <mergeCell ref="J149:M149"/>
    <mergeCell ref="A175:M175"/>
    <mergeCell ref="E179:F179"/>
    <mergeCell ref="J179:M179"/>
    <mergeCell ref="E181:F181"/>
    <mergeCell ref="J181:M181"/>
    <mergeCell ref="J182:M182"/>
    <mergeCell ref="E184:F184"/>
    <mergeCell ref="J184:M184"/>
    <mergeCell ref="E187:F187"/>
    <mergeCell ref="J187:M187"/>
    <mergeCell ref="J147:M147"/>
    <mergeCell ref="J123:M123"/>
    <mergeCell ref="J126:M126"/>
    <mergeCell ref="J129:M129"/>
    <mergeCell ref="J130:M130"/>
    <mergeCell ref="J132:M132"/>
    <mergeCell ref="J135:M135"/>
    <mergeCell ref="J136:M136"/>
    <mergeCell ref="J138:M138"/>
    <mergeCell ref="J140:M140"/>
    <mergeCell ref="J142:M142"/>
    <mergeCell ref="J146:M146"/>
    <mergeCell ref="A120:M120"/>
    <mergeCell ref="K8:M8"/>
    <mergeCell ref="A77:M77"/>
    <mergeCell ref="J81:M81"/>
    <mergeCell ref="J83:M83"/>
    <mergeCell ref="J84:M84"/>
    <mergeCell ref="J85:M85"/>
    <mergeCell ref="J86:M86"/>
    <mergeCell ref="J87:M87"/>
    <mergeCell ref="J88:M88"/>
    <mergeCell ref="J89:M89"/>
    <mergeCell ref="J90:M90"/>
  </mergeCells>
  <phoneticPr fontId="13" type="noConversion"/>
  <pageMargins left="0.9055118110236221" right="0.9055118110236221" top="0.74803149606299213" bottom="0.74803149606299213" header="0.31496062992125984" footer="0.31496062992125984"/>
  <pageSetup paperSize="9" orientation="portrait" r:id="rId1"/>
  <rowBreaks count="1" manualBreakCount="1">
    <brk id="27" max="16383" man="1"/>
  </rowBreak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theme="4" tint="0.39997558519241921"/>
  </sheetPr>
  <dimension ref="A1:Q53"/>
  <sheetViews>
    <sheetView tabSelected="1" topLeftCell="A34" workbookViewId="0">
      <selection activeCell="A48" sqref="A48"/>
    </sheetView>
  </sheetViews>
  <sheetFormatPr defaultRowHeight="15.75"/>
  <cols>
    <col min="1" max="9" width="4.625" style="73" customWidth="1" collapsed="1"/>
    <col min="10" max="10" width="12" style="73" customWidth="1" collapsed="1"/>
    <col min="11" max="14" width="4.625" style="73" customWidth="1" collapsed="1"/>
    <col min="15" max="15" width="7.125" style="73" customWidth="1" collapsed="1"/>
    <col min="16" max="16" width="4.625" style="73" customWidth="1" collapsed="1"/>
    <col min="17" max="256" width="9" style="73" collapsed="1"/>
    <col min="257" max="265" width="4.625" style="73" customWidth="1" collapsed="1"/>
    <col min="266" max="266" width="12" style="73" customWidth="1" collapsed="1"/>
    <col min="267" max="270" width="4.625" style="73" customWidth="1" collapsed="1"/>
    <col min="271" max="271" width="7.125" style="73" customWidth="1" collapsed="1"/>
    <col min="272" max="272" width="4.625" style="73" customWidth="1" collapsed="1"/>
    <col min="273" max="512" width="9" style="73" collapsed="1"/>
    <col min="513" max="521" width="4.625" style="73" customWidth="1" collapsed="1"/>
    <col min="522" max="522" width="12" style="73" customWidth="1" collapsed="1"/>
    <col min="523" max="526" width="4.625" style="73" customWidth="1" collapsed="1"/>
    <col min="527" max="527" width="7.125" style="73" customWidth="1" collapsed="1"/>
    <col min="528" max="528" width="4.625" style="73" customWidth="1" collapsed="1"/>
    <col min="529" max="768" width="9" style="73" collapsed="1"/>
    <col min="769" max="777" width="4.625" style="73" customWidth="1" collapsed="1"/>
    <col min="778" max="778" width="12" style="73" customWidth="1" collapsed="1"/>
    <col min="779" max="782" width="4.625" style="73" customWidth="1" collapsed="1"/>
    <col min="783" max="783" width="7.125" style="73" customWidth="1" collapsed="1"/>
    <col min="784" max="784" width="4.625" style="73" customWidth="1" collapsed="1"/>
    <col min="785" max="1024" width="9" style="73" collapsed="1"/>
    <col min="1025" max="1033" width="4.625" style="73" customWidth="1" collapsed="1"/>
    <col min="1034" max="1034" width="12" style="73" customWidth="1" collapsed="1"/>
    <col min="1035" max="1038" width="4.625" style="73" customWidth="1" collapsed="1"/>
    <col min="1039" max="1039" width="7.125" style="73" customWidth="1" collapsed="1"/>
    <col min="1040" max="1040" width="4.625" style="73" customWidth="1" collapsed="1"/>
    <col min="1041" max="1280" width="9" style="73" collapsed="1"/>
    <col min="1281" max="1289" width="4.625" style="73" customWidth="1" collapsed="1"/>
    <col min="1290" max="1290" width="12" style="73" customWidth="1" collapsed="1"/>
    <col min="1291" max="1294" width="4.625" style="73" customWidth="1" collapsed="1"/>
    <col min="1295" max="1295" width="7.125" style="73" customWidth="1" collapsed="1"/>
    <col min="1296" max="1296" width="4.625" style="73" customWidth="1" collapsed="1"/>
    <col min="1297" max="1536" width="9" style="73" collapsed="1"/>
    <col min="1537" max="1545" width="4.625" style="73" customWidth="1" collapsed="1"/>
    <col min="1546" max="1546" width="12" style="73" customWidth="1" collapsed="1"/>
    <col min="1547" max="1550" width="4.625" style="73" customWidth="1" collapsed="1"/>
    <col min="1551" max="1551" width="7.125" style="73" customWidth="1" collapsed="1"/>
    <col min="1552" max="1552" width="4.625" style="73" customWidth="1" collapsed="1"/>
    <col min="1553" max="1792" width="9" style="73" collapsed="1"/>
    <col min="1793" max="1801" width="4.625" style="73" customWidth="1" collapsed="1"/>
    <col min="1802" max="1802" width="12" style="73" customWidth="1" collapsed="1"/>
    <col min="1803" max="1806" width="4.625" style="73" customWidth="1" collapsed="1"/>
    <col min="1807" max="1807" width="7.125" style="73" customWidth="1" collapsed="1"/>
    <col min="1808" max="1808" width="4.625" style="73" customWidth="1" collapsed="1"/>
    <col min="1809" max="2048" width="9" style="73" collapsed="1"/>
    <col min="2049" max="2057" width="4.625" style="73" customWidth="1" collapsed="1"/>
    <col min="2058" max="2058" width="12" style="73" customWidth="1" collapsed="1"/>
    <col min="2059" max="2062" width="4.625" style="73" customWidth="1" collapsed="1"/>
    <col min="2063" max="2063" width="7.125" style="73" customWidth="1" collapsed="1"/>
    <col min="2064" max="2064" width="4.625" style="73" customWidth="1" collapsed="1"/>
    <col min="2065" max="2304" width="9" style="73" collapsed="1"/>
    <col min="2305" max="2313" width="4.625" style="73" customWidth="1" collapsed="1"/>
    <col min="2314" max="2314" width="12" style="73" customWidth="1" collapsed="1"/>
    <col min="2315" max="2318" width="4.625" style="73" customWidth="1" collapsed="1"/>
    <col min="2319" max="2319" width="7.125" style="73" customWidth="1" collapsed="1"/>
    <col min="2320" max="2320" width="4.625" style="73" customWidth="1" collapsed="1"/>
    <col min="2321" max="2560" width="9" style="73" collapsed="1"/>
    <col min="2561" max="2569" width="4.625" style="73" customWidth="1" collapsed="1"/>
    <col min="2570" max="2570" width="12" style="73" customWidth="1" collapsed="1"/>
    <col min="2571" max="2574" width="4.625" style="73" customWidth="1" collapsed="1"/>
    <col min="2575" max="2575" width="7.125" style="73" customWidth="1" collapsed="1"/>
    <col min="2576" max="2576" width="4.625" style="73" customWidth="1" collapsed="1"/>
    <col min="2577" max="2816" width="9" style="73" collapsed="1"/>
    <col min="2817" max="2825" width="4.625" style="73" customWidth="1" collapsed="1"/>
    <col min="2826" max="2826" width="12" style="73" customWidth="1" collapsed="1"/>
    <col min="2827" max="2830" width="4.625" style="73" customWidth="1" collapsed="1"/>
    <col min="2831" max="2831" width="7.125" style="73" customWidth="1" collapsed="1"/>
    <col min="2832" max="2832" width="4.625" style="73" customWidth="1" collapsed="1"/>
    <col min="2833" max="3072" width="9" style="73" collapsed="1"/>
    <col min="3073" max="3081" width="4.625" style="73" customWidth="1" collapsed="1"/>
    <col min="3082" max="3082" width="12" style="73" customWidth="1" collapsed="1"/>
    <col min="3083" max="3086" width="4.625" style="73" customWidth="1" collapsed="1"/>
    <col min="3087" max="3087" width="7.125" style="73" customWidth="1" collapsed="1"/>
    <col min="3088" max="3088" width="4.625" style="73" customWidth="1" collapsed="1"/>
    <col min="3089" max="3328" width="9" style="73" collapsed="1"/>
    <col min="3329" max="3337" width="4.625" style="73" customWidth="1" collapsed="1"/>
    <col min="3338" max="3338" width="12" style="73" customWidth="1" collapsed="1"/>
    <col min="3339" max="3342" width="4.625" style="73" customWidth="1" collapsed="1"/>
    <col min="3343" max="3343" width="7.125" style="73" customWidth="1" collapsed="1"/>
    <col min="3344" max="3344" width="4.625" style="73" customWidth="1" collapsed="1"/>
    <col min="3345" max="3584" width="9" style="73" collapsed="1"/>
    <col min="3585" max="3593" width="4.625" style="73" customWidth="1" collapsed="1"/>
    <col min="3594" max="3594" width="12" style="73" customWidth="1" collapsed="1"/>
    <col min="3595" max="3598" width="4.625" style="73" customWidth="1" collapsed="1"/>
    <col min="3599" max="3599" width="7.125" style="73" customWidth="1" collapsed="1"/>
    <col min="3600" max="3600" width="4.625" style="73" customWidth="1" collapsed="1"/>
    <col min="3601" max="3840" width="9" style="73" collapsed="1"/>
    <col min="3841" max="3849" width="4.625" style="73" customWidth="1" collapsed="1"/>
    <col min="3850" max="3850" width="12" style="73" customWidth="1" collapsed="1"/>
    <col min="3851" max="3854" width="4.625" style="73" customWidth="1" collapsed="1"/>
    <col min="3855" max="3855" width="7.125" style="73" customWidth="1" collapsed="1"/>
    <col min="3856" max="3856" width="4.625" style="73" customWidth="1" collapsed="1"/>
    <col min="3857" max="4096" width="9" style="73" collapsed="1"/>
    <col min="4097" max="4105" width="4.625" style="73" customWidth="1" collapsed="1"/>
    <col min="4106" max="4106" width="12" style="73" customWidth="1" collapsed="1"/>
    <col min="4107" max="4110" width="4.625" style="73" customWidth="1" collapsed="1"/>
    <col min="4111" max="4111" width="7.125" style="73" customWidth="1" collapsed="1"/>
    <col min="4112" max="4112" width="4.625" style="73" customWidth="1" collapsed="1"/>
    <col min="4113" max="4352" width="9" style="73" collapsed="1"/>
    <col min="4353" max="4361" width="4.625" style="73" customWidth="1" collapsed="1"/>
    <col min="4362" max="4362" width="12" style="73" customWidth="1" collapsed="1"/>
    <col min="4363" max="4366" width="4.625" style="73" customWidth="1" collapsed="1"/>
    <col min="4367" max="4367" width="7.125" style="73" customWidth="1" collapsed="1"/>
    <col min="4368" max="4368" width="4.625" style="73" customWidth="1" collapsed="1"/>
    <col min="4369" max="4608" width="9" style="73" collapsed="1"/>
    <col min="4609" max="4617" width="4.625" style="73" customWidth="1" collapsed="1"/>
    <col min="4618" max="4618" width="12" style="73" customWidth="1" collapsed="1"/>
    <col min="4619" max="4622" width="4.625" style="73" customWidth="1" collapsed="1"/>
    <col min="4623" max="4623" width="7.125" style="73" customWidth="1" collapsed="1"/>
    <col min="4624" max="4624" width="4.625" style="73" customWidth="1" collapsed="1"/>
    <col min="4625" max="4864" width="9" style="73" collapsed="1"/>
    <col min="4865" max="4873" width="4.625" style="73" customWidth="1" collapsed="1"/>
    <col min="4874" max="4874" width="12" style="73" customWidth="1" collapsed="1"/>
    <col min="4875" max="4878" width="4.625" style="73" customWidth="1" collapsed="1"/>
    <col min="4879" max="4879" width="7.125" style="73" customWidth="1" collapsed="1"/>
    <col min="4880" max="4880" width="4.625" style="73" customWidth="1" collapsed="1"/>
    <col min="4881" max="5120" width="9" style="73" collapsed="1"/>
    <col min="5121" max="5129" width="4.625" style="73" customWidth="1" collapsed="1"/>
    <col min="5130" max="5130" width="12" style="73" customWidth="1" collapsed="1"/>
    <col min="5131" max="5134" width="4.625" style="73" customWidth="1" collapsed="1"/>
    <col min="5135" max="5135" width="7.125" style="73" customWidth="1" collapsed="1"/>
    <col min="5136" max="5136" width="4.625" style="73" customWidth="1" collapsed="1"/>
    <col min="5137" max="5376" width="9" style="73" collapsed="1"/>
    <col min="5377" max="5385" width="4.625" style="73" customWidth="1" collapsed="1"/>
    <col min="5386" max="5386" width="12" style="73" customWidth="1" collapsed="1"/>
    <col min="5387" max="5390" width="4.625" style="73" customWidth="1" collapsed="1"/>
    <col min="5391" max="5391" width="7.125" style="73" customWidth="1" collapsed="1"/>
    <col min="5392" max="5392" width="4.625" style="73" customWidth="1" collapsed="1"/>
    <col min="5393" max="5632" width="9" style="73" collapsed="1"/>
    <col min="5633" max="5641" width="4.625" style="73" customWidth="1" collapsed="1"/>
    <col min="5642" max="5642" width="12" style="73" customWidth="1" collapsed="1"/>
    <col min="5643" max="5646" width="4.625" style="73" customWidth="1" collapsed="1"/>
    <col min="5647" max="5647" width="7.125" style="73" customWidth="1" collapsed="1"/>
    <col min="5648" max="5648" width="4.625" style="73" customWidth="1" collapsed="1"/>
    <col min="5649" max="5888" width="9" style="73" collapsed="1"/>
    <col min="5889" max="5897" width="4.625" style="73" customWidth="1" collapsed="1"/>
    <col min="5898" max="5898" width="12" style="73" customWidth="1" collapsed="1"/>
    <col min="5899" max="5902" width="4.625" style="73" customWidth="1" collapsed="1"/>
    <col min="5903" max="5903" width="7.125" style="73" customWidth="1" collapsed="1"/>
    <col min="5904" max="5904" width="4.625" style="73" customWidth="1" collapsed="1"/>
    <col min="5905" max="6144" width="9" style="73" collapsed="1"/>
    <col min="6145" max="6153" width="4.625" style="73" customWidth="1" collapsed="1"/>
    <col min="6154" max="6154" width="12" style="73" customWidth="1" collapsed="1"/>
    <col min="6155" max="6158" width="4.625" style="73" customWidth="1" collapsed="1"/>
    <col min="6159" max="6159" width="7.125" style="73" customWidth="1" collapsed="1"/>
    <col min="6160" max="6160" width="4.625" style="73" customWidth="1" collapsed="1"/>
    <col min="6161" max="6400" width="9" style="73" collapsed="1"/>
    <col min="6401" max="6409" width="4.625" style="73" customWidth="1" collapsed="1"/>
    <col min="6410" max="6410" width="12" style="73" customWidth="1" collapsed="1"/>
    <col min="6411" max="6414" width="4.625" style="73" customWidth="1" collapsed="1"/>
    <col min="6415" max="6415" width="7.125" style="73" customWidth="1" collapsed="1"/>
    <col min="6416" max="6416" width="4.625" style="73" customWidth="1" collapsed="1"/>
    <col min="6417" max="6656" width="9" style="73" collapsed="1"/>
    <col min="6657" max="6665" width="4.625" style="73" customWidth="1" collapsed="1"/>
    <col min="6666" max="6666" width="12" style="73" customWidth="1" collapsed="1"/>
    <col min="6667" max="6670" width="4.625" style="73" customWidth="1" collapsed="1"/>
    <col min="6671" max="6671" width="7.125" style="73" customWidth="1" collapsed="1"/>
    <col min="6672" max="6672" width="4.625" style="73" customWidth="1" collapsed="1"/>
    <col min="6673" max="6912" width="9" style="73" collapsed="1"/>
    <col min="6913" max="6921" width="4.625" style="73" customWidth="1" collapsed="1"/>
    <col min="6922" max="6922" width="12" style="73" customWidth="1" collapsed="1"/>
    <col min="6923" max="6926" width="4.625" style="73" customWidth="1" collapsed="1"/>
    <col min="6927" max="6927" width="7.125" style="73" customWidth="1" collapsed="1"/>
    <col min="6928" max="6928" width="4.625" style="73" customWidth="1" collapsed="1"/>
    <col min="6929" max="7168" width="9" style="73" collapsed="1"/>
    <col min="7169" max="7177" width="4.625" style="73" customWidth="1" collapsed="1"/>
    <col min="7178" max="7178" width="12" style="73" customWidth="1" collapsed="1"/>
    <col min="7179" max="7182" width="4.625" style="73" customWidth="1" collapsed="1"/>
    <col min="7183" max="7183" width="7.125" style="73" customWidth="1" collapsed="1"/>
    <col min="7184" max="7184" width="4.625" style="73" customWidth="1" collapsed="1"/>
    <col min="7185" max="7424" width="9" style="73" collapsed="1"/>
    <col min="7425" max="7433" width="4.625" style="73" customWidth="1" collapsed="1"/>
    <col min="7434" max="7434" width="12" style="73" customWidth="1" collapsed="1"/>
    <col min="7435" max="7438" width="4.625" style="73" customWidth="1" collapsed="1"/>
    <col min="7439" max="7439" width="7.125" style="73" customWidth="1" collapsed="1"/>
    <col min="7440" max="7440" width="4.625" style="73" customWidth="1" collapsed="1"/>
    <col min="7441" max="7680" width="9" style="73" collapsed="1"/>
    <col min="7681" max="7689" width="4.625" style="73" customWidth="1" collapsed="1"/>
    <col min="7690" max="7690" width="12" style="73" customWidth="1" collapsed="1"/>
    <col min="7691" max="7694" width="4.625" style="73" customWidth="1" collapsed="1"/>
    <col min="7695" max="7695" width="7.125" style="73" customWidth="1" collapsed="1"/>
    <col min="7696" max="7696" width="4.625" style="73" customWidth="1" collapsed="1"/>
    <col min="7697" max="7936" width="9" style="73" collapsed="1"/>
    <col min="7937" max="7945" width="4.625" style="73" customWidth="1" collapsed="1"/>
    <col min="7946" max="7946" width="12" style="73" customWidth="1" collapsed="1"/>
    <col min="7947" max="7950" width="4.625" style="73" customWidth="1" collapsed="1"/>
    <col min="7951" max="7951" width="7.125" style="73" customWidth="1" collapsed="1"/>
    <col min="7952" max="7952" width="4.625" style="73" customWidth="1" collapsed="1"/>
    <col min="7953" max="8192" width="9" style="73" collapsed="1"/>
    <col min="8193" max="8201" width="4.625" style="73" customWidth="1" collapsed="1"/>
    <col min="8202" max="8202" width="12" style="73" customWidth="1" collapsed="1"/>
    <col min="8203" max="8206" width="4.625" style="73" customWidth="1" collapsed="1"/>
    <col min="8207" max="8207" width="7.125" style="73" customWidth="1" collapsed="1"/>
    <col min="8208" max="8208" width="4.625" style="73" customWidth="1" collapsed="1"/>
    <col min="8209" max="8448" width="9" style="73" collapsed="1"/>
    <col min="8449" max="8457" width="4.625" style="73" customWidth="1" collapsed="1"/>
    <col min="8458" max="8458" width="12" style="73" customWidth="1" collapsed="1"/>
    <col min="8459" max="8462" width="4.625" style="73" customWidth="1" collapsed="1"/>
    <col min="8463" max="8463" width="7.125" style="73" customWidth="1" collapsed="1"/>
    <col min="8464" max="8464" width="4.625" style="73" customWidth="1" collapsed="1"/>
    <col min="8465" max="8704" width="9" style="73" collapsed="1"/>
    <col min="8705" max="8713" width="4.625" style="73" customWidth="1" collapsed="1"/>
    <col min="8714" max="8714" width="12" style="73" customWidth="1" collapsed="1"/>
    <col min="8715" max="8718" width="4.625" style="73" customWidth="1" collapsed="1"/>
    <col min="8719" max="8719" width="7.125" style="73" customWidth="1" collapsed="1"/>
    <col min="8720" max="8720" width="4.625" style="73" customWidth="1" collapsed="1"/>
    <col min="8721" max="8960" width="9" style="73" collapsed="1"/>
    <col min="8961" max="8969" width="4.625" style="73" customWidth="1" collapsed="1"/>
    <col min="8970" max="8970" width="12" style="73" customWidth="1" collapsed="1"/>
    <col min="8971" max="8974" width="4.625" style="73" customWidth="1" collapsed="1"/>
    <col min="8975" max="8975" width="7.125" style="73" customWidth="1" collapsed="1"/>
    <col min="8976" max="8976" width="4.625" style="73" customWidth="1" collapsed="1"/>
    <col min="8977" max="9216" width="9" style="73" collapsed="1"/>
    <col min="9217" max="9225" width="4.625" style="73" customWidth="1" collapsed="1"/>
    <col min="9226" max="9226" width="12" style="73" customWidth="1" collapsed="1"/>
    <col min="9227" max="9230" width="4.625" style="73" customWidth="1" collapsed="1"/>
    <col min="9231" max="9231" width="7.125" style="73" customWidth="1" collapsed="1"/>
    <col min="9232" max="9232" width="4.625" style="73" customWidth="1" collapsed="1"/>
    <col min="9233" max="9472" width="9" style="73" collapsed="1"/>
    <col min="9473" max="9481" width="4.625" style="73" customWidth="1" collapsed="1"/>
    <col min="9482" max="9482" width="12" style="73" customWidth="1" collapsed="1"/>
    <col min="9483" max="9486" width="4.625" style="73" customWidth="1" collapsed="1"/>
    <col min="9487" max="9487" width="7.125" style="73" customWidth="1" collapsed="1"/>
    <col min="9488" max="9488" width="4.625" style="73" customWidth="1" collapsed="1"/>
    <col min="9489" max="9728" width="9" style="73" collapsed="1"/>
    <col min="9729" max="9737" width="4.625" style="73" customWidth="1" collapsed="1"/>
    <col min="9738" max="9738" width="12" style="73" customWidth="1" collapsed="1"/>
    <col min="9739" max="9742" width="4.625" style="73" customWidth="1" collapsed="1"/>
    <col min="9743" max="9743" width="7.125" style="73" customWidth="1" collapsed="1"/>
    <col min="9744" max="9744" width="4.625" style="73" customWidth="1" collapsed="1"/>
    <col min="9745" max="9984" width="9" style="73" collapsed="1"/>
    <col min="9985" max="9993" width="4.625" style="73" customWidth="1" collapsed="1"/>
    <col min="9994" max="9994" width="12" style="73" customWidth="1" collapsed="1"/>
    <col min="9995" max="9998" width="4.625" style="73" customWidth="1" collapsed="1"/>
    <col min="9999" max="9999" width="7.125" style="73" customWidth="1" collapsed="1"/>
    <col min="10000" max="10000" width="4.625" style="73" customWidth="1" collapsed="1"/>
    <col min="10001" max="10240" width="9" style="73" collapsed="1"/>
    <col min="10241" max="10249" width="4.625" style="73" customWidth="1" collapsed="1"/>
    <col min="10250" max="10250" width="12" style="73" customWidth="1" collapsed="1"/>
    <col min="10251" max="10254" width="4.625" style="73" customWidth="1" collapsed="1"/>
    <col min="10255" max="10255" width="7.125" style="73" customWidth="1" collapsed="1"/>
    <col min="10256" max="10256" width="4.625" style="73" customWidth="1" collapsed="1"/>
    <col min="10257" max="10496" width="9" style="73" collapsed="1"/>
    <col min="10497" max="10505" width="4.625" style="73" customWidth="1" collapsed="1"/>
    <col min="10506" max="10506" width="12" style="73" customWidth="1" collapsed="1"/>
    <col min="10507" max="10510" width="4.625" style="73" customWidth="1" collapsed="1"/>
    <col min="10511" max="10511" width="7.125" style="73" customWidth="1" collapsed="1"/>
    <col min="10512" max="10512" width="4.625" style="73" customWidth="1" collapsed="1"/>
    <col min="10513" max="10752" width="9" style="73" collapsed="1"/>
    <col min="10753" max="10761" width="4.625" style="73" customWidth="1" collapsed="1"/>
    <col min="10762" max="10762" width="12" style="73" customWidth="1" collapsed="1"/>
    <col min="10763" max="10766" width="4.625" style="73" customWidth="1" collapsed="1"/>
    <col min="10767" max="10767" width="7.125" style="73" customWidth="1" collapsed="1"/>
    <col min="10768" max="10768" width="4.625" style="73" customWidth="1" collapsed="1"/>
    <col min="10769" max="11008" width="9" style="73" collapsed="1"/>
    <col min="11009" max="11017" width="4.625" style="73" customWidth="1" collapsed="1"/>
    <col min="11018" max="11018" width="12" style="73" customWidth="1" collapsed="1"/>
    <col min="11019" max="11022" width="4.625" style="73" customWidth="1" collapsed="1"/>
    <col min="11023" max="11023" width="7.125" style="73" customWidth="1" collapsed="1"/>
    <col min="11024" max="11024" width="4.625" style="73" customWidth="1" collapsed="1"/>
    <col min="11025" max="11264" width="9" style="73" collapsed="1"/>
    <col min="11265" max="11273" width="4.625" style="73" customWidth="1" collapsed="1"/>
    <col min="11274" max="11274" width="12" style="73" customWidth="1" collapsed="1"/>
    <col min="11275" max="11278" width="4.625" style="73" customWidth="1" collapsed="1"/>
    <col min="11279" max="11279" width="7.125" style="73" customWidth="1" collapsed="1"/>
    <col min="11280" max="11280" width="4.625" style="73" customWidth="1" collapsed="1"/>
    <col min="11281" max="11520" width="9" style="73" collapsed="1"/>
    <col min="11521" max="11529" width="4.625" style="73" customWidth="1" collapsed="1"/>
    <col min="11530" max="11530" width="12" style="73" customWidth="1" collapsed="1"/>
    <col min="11531" max="11534" width="4.625" style="73" customWidth="1" collapsed="1"/>
    <col min="11535" max="11535" width="7.125" style="73" customWidth="1" collapsed="1"/>
    <col min="11536" max="11536" width="4.625" style="73" customWidth="1" collapsed="1"/>
    <col min="11537" max="11776" width="9" style="73" collapsed="1"/>
    <col min="11777" max="11785" width="4.625" style="73" customWidth="1" collapsed="1"/>
    <col min="11786" max="11786" width="12" style="73" customWidth="1" collapsed="1"/>
    <col min="11787" max="11790" width="4.625" style="73" customWidth="1" collapsed="1"/>
    <col min="11791" max="11791" width="7.125" style="73" customWidth="1" collapsed="1"/>
    <col min="11792" max="11792" width="4.625" style="73" customWidth="1" collapsed="1"/>
    <col min="11793" max="12032" width="9" style="73" collapsed="1"/>
    <col min="12033" max="12041" width="4.625" style="73" customWidth="1" collapsed="1"/>
    <col min="12042" max="12042" width="12" style="73" customWidth="1" collapsed="1"/>
    <col min="12043" max="12046" width="4.625" style="73" customWidth="1" collapsed="1"/>
    <col min="12047" max="12047" width="7.125" style="73" customWidth="1" collapsed="1"/>
    <col min="12048" max="12048" width="4.625" style="73" customWidth="1" collapsed="1"/>
    <col min="12049" max="12288" width="9" style="73" collapsed="1"/>
    <col min="12289" max="12297" width="4.625" style="73" customWidth="1" collapsed="1"/>
    <col min="12298" max="12298" width="12" style="73" customWidth="1" collapsed="1"/>
    <col min="12299" max="12302" width="4.625" style="73" customWidth="1" collapsed="1"/>
    <col min="12303" max="12303" width="7.125" style="73" customWidth="1" collapsed="1"/>
    <col min="12304" max="12304" width="4.625" style="73" customWidth="1" collapsed="1"/>
    <col min="12305" max="12544" width="9" style="73" collapsed="1"/>
    <col min="12545" max="12553" width="4.625" style="73" customWidth="1" collapsed="1"/>
    <col min="12554" max="12554" width="12" style="73" customWidth="1" collapsed="1"/>
    <col min="12555" max="12558" width="4.625" style="73" customWidth="1" collapsed="1"/>
    <col min="12559" max="12559" width="7.125" style="73" customWidth="1" collapsed="1"/>
    <col min="12560" max="12560" width="4.625" style="73" customWidth="1" collapsed="1"/>
    <col min="12561" max="12800" width="9" style="73" collapsed="1"/>
    <col min="12801" max="12809" width="4.625" style="73" customWidth="1" collapsed="1"/>
    <col min="12810" max="12810" width="12" style="73" customWidth="1" collapsed="1"/>
    <col min="12811" max="12814" width="4.625" style="73" customWidth="1" collapsed="1"/>
    <col min="12815" max="12815" width="7.125" style="73" customWidth="1" collapsed="1"/>
    <col min="12816" max="12816" width="4.625" style="73" customWidth="1" collapsed="1"/>
    <col min="12817" max="13056" width="9" style="73" collapsed="1"/>
    <col min="13057" max="13065" width="4.625" style="73" customWidth="1" collapsed="1"/>
    <col min="13066" max="13066" width="12" style="73" customWidth="1" collapsed="1"/>
    <col min="13067" max="13070" width="4.625" style="73" customWidth="1" collapsed="1"/>
    <col min="13071" max="13071" width="7.125" style="73" customWidth="1" collapsed="1"/>
    <col min="13072" max="13072" width="4.625" style="73" customWidth="1" collapsed="1"/>
    <col min="13073" max="13312" width="9" style="73" collapsed="1"/>
    <col min="13313" max="13321" width="4.625" style="73" customWidth="1" collapsed="1"/>
    <col min="13322" max="13322" width="12" style="73" customWidth="1" collapsed="1"/>
    <col min="13323" max="13326" width="4.625" style="73" customWidth="1" collapsed="1"/>
    <col min="13327" max="13327" width="7.125" style="73" customWidth="1" collapsed="1"/>
    <col min="13328" max="13328" width="4.625" style="73" customWidth="1" collapsed="1"/>
    <col min="13329" max="13568" width="9" style="73" collapsed="1"/>
    <col min="13569" max="13577" width="4.625" style="73" customWidth="1" collapsed="1"/>
    <col min="13578" max="13578" width="12" style="73" customWidth="1" collapsed="1"/>
    <col min="13579" max="13582" width="4.625" style="73" customWidth="1" collapsed="1"/>
    <col min="13583" max="13583" width="7.125" style="73" customWidth="1" collapsed="1"/>
    <col min="13584" max="13584" width="4.625" style="73" customWidth="1" collapsed="1"/>
    <col min="13585" max="13824" width="9" style="73" collapsed="1"/>
    <col min="13825" max="13833" width="4.625" style="73" customWidth="1" collapsed="1"/>
    <col min="13834" max="13834" width="12" style="73" customWidth="1" collapsed="1"/>
    <col min="13835" max="13838" width="4.625" style="73" customWidth="1" collapsed="1"/>
    <col min="13839" max="13839" width="7.125" style="73" customWidth="1" collapsed="1"/>
    <col min="13840" max="13840" width="4.625" style="73" customWidth="1" collapsed="1"/>
    <col min="13841" max="14080" width="9" style="73" collapsed="1"/>
    <col min="14081" max="14089" width="4.625" style="73" customWidth="1" collapsed="1"/>
    <col min="14090" max="14090" width="12" style="73" customWidth="1" collapsed="1"/>
    <col min="14091" max="14094" width="4.625" style="73" customWidth="1" collapsed="1"/>
    <col min="14095" max="14095" width="7.125" style="73" customWidth="1" collapsed="1"/>
    <col min="14096" max="14096" width="4.625" style="73" customWidth="1" collapsed="1"/>
    <col min="14097" max="14336" width="9" style="73" collapsed="1"/>
    <col min="14337" max="14345" width="4.625" style="73" customWidth="1" collapsed="1"/>
    <col min="14346" max="14346" width="12" style="73" customWidth="1" collapsed="1"/>
    <col min="14347" max="14350" width="4.625" style="73" customWidth="1" collapsed="1"/>
    <col min="14351" max="14351" width="7.125" style="73" customWidth="1" collapsed="1"/>
    <col min="14352" max="14352" width="4.625" style="73" customWidth="1" collapsed="1"/>
    <col min="14353" max="14592" width="9" style="73" collapsed="1"/>
    <col min="14593" max="14601" width="4.625" style="73" customWidth="1" collapsed="1"/>
    <col min="14602" max="14602" width="12" style="73" customWidth="1" collapsed="1"/>
    <col min="14603" max="14606" width="4.625" style="73" customWidth="1" collapsed="1"/>
    <col min="14607" max="14607" width="7.125" style="73" customWidth="1" collapsed="1"/>
    <col min="14608" max="14608" width="4.625" style="73" customWidth="1" collapsed="1"/>
    <col min="14609" max="14848" width="9" style="73" collapsed="1"/>
    <col min="14849" max="14857" width="4.625" style="73" customWidth="1" collapsed="1"/>
    <col min="14858" max="14858" width="12" style="73" customWidth="1" collapsed="1"/>
    <col min="14859" max="14862" width="4.625" style="73" customWidth="1" collapsed="1"/>
    <col min="14863" max="14863" width="7.125" style="73" customWidth="1" collapsed="1"/>
    <col min="14864" max="14864" width="4.625" style="73" customWidth="1" collapsed="1"/>
    <col min="14865" max="15104" width="9" style="73" collapsed="1"/>
    <col min="15105" max="15113" width="4.625" style="73" customWidth="1" collapsed="1"/>
    <col min="15114" max="15114" width="12" style="73" customWidth="1" collapsed="1"/>
    <col min="15115" max="15118" width="4.625" style="73" customWidth="1" collapsed="1"/>
    <col min="15119" max="15119" width="7.125" style="73" customWidth="1" collapsed="1"/>
    <col min="15120" max="15120" width="4.625" style="73" customWidth="1" collapsed="1"/>
    <col min="15121" max="15360" width="9" style="73" collapsed="1"/>
    <col min="15361" max="15369" width="4.625" style="73" customWidth="1" collapsed="1"/>
    <col min="15370" max="15370" width="12" style="73" customWidth="1" collapsed="1"/>
    <col min="15371" max="15374" width="4.625" style="73" customWidth="1" collapsed="1"/>
    <col min="15375" max="15375" width="7.125" style="73" customWidth="1" collapsed="1"/>
    <col min="15376" max="15376" width="4.625" style="73" customWidth="1" collapsed="1"/>
    <col min="15377" max="15616" width="9" style="73" collapsed="1"/>
    <col min="15617" max="15625" width="4.625" style="73" customWidth="1" collapsed="1"/>
    <col min="15626" max="15626" width="12" style="73" customWidth="1" collapsed="1"/>
    <col min="15627" max="15630" width="4.625" style="73" customWidth="1" collapsed="1"/>
    <col min="15631" max="15631" width="7.125" style="73" customWidth="1" collapsed="1"/>
    <col min="15632" max="15632" width="4.625" style="73" customWidth="1" collapsed="1"/>
    <col min="15633" max="15872" width="9" style="73" collapsed="1"/>
    <col min="15873" max="15881" width="4.625" style="73" customWidth="1" collapsed="1"/>
    <col min="15882" max="15882" width="12" style="73" customWidth="1" collapsed="1"/>
    <col min="15883" max="15886" width="4.625" style="73" customWidth="1" collapsed="1"/>
    <col min="15887" max="15887" width="7.125" style="73" customWidth="1" collapsed="1"/>
    <col min="15888" max="15888" width="4.625" style="73" customWidth="1" collapsed="1"/>
    <col min="15889" max="16128" width="9" style="73" collapsed="1"/>
    <col min="16129" max="16137" width="4.625" style="73" customWidth="1" collapsed="1"/>
    <col min="16138" max="16138" width="12" style="73" customWidth="1" collapsed="1"/>
    <col min="16139" max="16142" width="4.625" style="73" customWidth="1" collapsed="1"/>
    <col min="16143" max="16143" width="7.125" style="73" customWidth="1" collapsed="1"/>
    <col min="16144" max="16144" width="4.625" style="73" customWidth="1" collapsed="1"/>
    <col min="16145" max="16384" width="9" style="73" collapsed="1"/>
  </cols>
  <sheetData>
    <row r="1" spans="1:16" ht="25.5">
      <c r="A1" s="1086" t="str">
        <f>+Control!D3</f>
        <v>MIC INCORPORATION LIMITED </v>
      </c>
      <c r="B1" s="1086"/>
      <c r="C1" s="1086"/>
      <c r="D1" s="1086"/>
      <c r="E1" s="1086"/>
      <c r="F1" s="1086"/>
      <c r="G1" s="1086"/>
      <c r="H1" s="1086"/>
      <c r="I1" s="1086"/>
      <c r="J1" s="1086"/>
      <c r="K1" s="1086"/>
      <c r="L1" s="1086"/>
      <c r="M1" s="1086"/>
      <c r="N1" s="1086"/>
      <c r="O1" s="1086"/>
      <c r="P1" s="1086"/>
    </row>
    <row r="2" spans="1:16">
      <c r="A2" s="1087"/>
      <c r="B2" s="1087"/>
      <c r="C2" s="1087"/>
      <c r="D2" s="1087"/>
      <c r="E2" s="1087"/>
      <c r="F2" s="1087"/>
      <c r="G2" s="1087"/>
      <c r="H2" s="1087"/>
      <c r="I2" s="1087"/>
      <c r="J2" s="1087"/>
      <c r="K2" s="1087"/>
      <c r="L2" s="1087"/>
      <c r="M2" s="1087"/>
      <c r="N2" s="1087"/>
      <c r="O2" s="1087"/>
      <c r="P2" s="1087"/>
    </row>
    <row r="3" spans="1:16">
      <c r="A3" s="449"/>
      <c r="B3" s="449"/>
      <c r="C3" s="449"/>
      <c r="D3" s="449"/>
      <c r="E3" s="449"/>
      <c r="F3" s="449"/>
      <c r="G3" s="449"/>
      <c r="H3" s="449"/>
      <c r="I3" s="449"/>
    </row>
    <row r="4" spans="1:16">
      <c r="A4" s="237" t="s">
        <v>432</v>
      </c>
      <c r="B4" s="449"/>
      <c r="C4" s="449"/>
      <c r="D4" s="449"/>
      <c r="E4" s="449"/>
      <c r="F4" s="449"/>
      <c r="G4" s="449"/>
      <c r="H4" s="449"/>
      <c r="I4" s="449"/>
    </row>
    <row r="6" spans="1:16">
      <c r="A6" s="1" t="str">
        <f>+CONCATENATE(A36,Control!D136)</f>
        <v>Messrs. Matthew S.H. Law</v>
      </c>
    </row>
    <row r="7" spans="1:16">
      <c r="A7" s="1" t="str">
        <f>+Control!D137</f>
        <v>Certified Public Accountant (Practising)</v>
      </c>
    </row>
    <row r="12" spans="1:16">
      <c r="A12" s="73" t="s">
        <v>433</v>
      </c>
    </row>
    <row r="15" spans="1:16">
      <c r="A15" s="956" t="s">
        <v>434</v>
      </c>
      <c r="B15" s="956"/>
      <c r="C15" s="956"/>
      <c r="D15" s="956"/>
      <c r="E15" s="956"/>
      <c r="F15" s="956"/>
      <c r="G15" s="956"/>
      <c r="H15" s="956"/>
      <c r="I15" s="956"/>
      <c r="J15" s="956"/>
      <c r="K15" s="956"/>
      <c r="L15" s="956"/>
      <c r="M15" s="956"/>
      <c r="N15" s="956"/>
      <c r="O15" s="956"/>
      <c r="P15" s="956"/>
    </row>
    <row r="17" spans="1:16">
      <c r="A17" s="1085" t="str">
        <f>+CONCATENATE(A40,A41,A42,A43,A44,A45,A46,A47,A48,A49,A50,A51,A52,A53)</f>
        <v>We hereby certify that the cash on hand of MIC INCORPORATION LIMITED  at 31 December, 2016 amount to United States Dollars =+spellnumber(A51) Only (US$ ) was correctly stated.</v>
      </c>
      <c r="B17" s="1085"/>
      <c r="C17" s="1085"/>
      <c r="D17" s="1085"/>
      <c r="E17" s="1085"/>
      <c r="F17" s="1085"/>
      <c r="G17" s="1085"/>
      <c r="H17" s="1085"/>
      <c r="I17" s="1085"/>
      <c r="J17" s="1085"/>
      <c r="K17" s="1085"/>
      <c r="L17" s="1085"/>
      <c r="M17" s="1085"/>
      <c r="N17" s="1085"/>
      <c r="O17" s="1085"/>
      <c r="P17" s="1085"/>
    </row>
    <row r="18" spans="1:16">
      <c r="A18" s="1085"/>
      <c r="B18" s="1085"/>
      <c r="C18" s="1085"/>
      <c r="D18" s="1085"/>
      <c r="E18" s="1085"/>
      <c r="F18" s="1085"/>
      <c r="G18" s="1085"/>
      <c r="H18" s="1085"/>
      <c r="I18" s="1085"/>
      <c r="J18" s="1085"/>
      <c r="K18" s="1085"/>
      <c r="L18" s="1085"/>
      <c r="M18" s="1085"/>
      <c r="N18" s="1085"/>
      <c r="O18" s="1085"/>
      <c r="P18" s="1085"/>
    </row>
    <row r="19" spans="1:16">
      <c r="A19" s="1085"/>
      <c r="B19" s="1085"/>
      <c r="C19" s="1085"/>
      <c r="D19" s="1085"/>
      <c r="E19" s="1085"/>
      <c r="F19" s="1085"/>
      <c r="G19" s="1085"/>
      <c r="H19" s="1085"/>
      <c r="I19" s="1085"/>
      <c r="J19" s="1085"/>
      <c r="K19" s="1085"/>
      <c r="L19" s="1085"/>
      <c r="M19" s="1085"/>
      <c r="N19" s="1085"/>
      <c r="O19" s="1085"/>
      <c r="P19" s="1085"/>
    </row>
    <row r="20" spans="1:16">
      <c r="A20" s="1085"/>
      <c r="B20" s="1085"/>
      <c r="C20" s="1085"/>
      <c r="D20" s="1085"/>
      <c r="E20" s="1085"/>
      <c r="F20" s="1085"/>
      <c r="G20" s="1085"/>
      <c r="H20" s="1085"/>
      <c r="I20" s="1085"/>
      <c r="J20" s="1085"/>
      <c r="K20" s="1085"/>
      <c r="L20" s="1085"/>
      <c r="M20" s="1085"/>
      <c r="N20" s="1085"/>
      <c r="O20" s="1085"/>
      <c r="P20" s="1085"/>
    </row>
    <row r="21" spans="1:16">
      <c r="A21" s="1085"/>
      <c r="B21" s="1085"/>
      <c r="C21" s="1085"/>
      <c r="D21" s="1085"/>
      <c r="E21" s="1085"/>
      <c r="F21" s="1085"/>
      <c r="G21" s="1085"/>
      <c r="H21" s="1085"/>
      <c r="I21" s="1085"/>
      <c r="J21" s="1085"/>
      <c r="K21" s="1085"/>
      <c r="L21" s="1085"/>
      <c r="M21" s="1085"/>
      <c r="N21" s="1085"/>
      <c r="O21" s="1085"/>
      <c r="P21" s="1085"/>
    </row>
    <row r="23" spans="1:16">
      <c r="H23" s="73" t="s">
        <v>435</v>
      </c>
    </row>
    <row r="24" spans="1:16">
      <c r="H24" s="73" t="s">
        <v>436</v>
      </c>
    </row>
    <row r="25" spans="1:16">
      <c r="H25" s="1085" t="str">
        <f>+Control!D3</f>
        <v>MIC INCORPORATION LIMITED </v>
      </c>
      <c r="I25" s="1085"/>
      <c r="J25" s="1085"/>
      <c r="K25" s="1085"/>
      <c r="L25" s="1085"/>
      <c r="M25" s="1085"/>
      <c r="N25" s="1085"/>
    </row>
    <row r="26" spans="1:16">
      <c r="H26" s="1085"/>
      <c r="I26" s="1085"/>
      <c r="J26" s="1085"/>
      <c r="K26" s="1085"/>
      <c r="L26" s="1085"/>
      <c r="M26" s="1085"/>
      <c r="N26" s="1085"/>
    </row>
    <row r="27" spans="1:16">
      <c r="H27" s="1085"/>
      <c r="I27" s="1085"/>
      <c r="J27" s="1085"/>
      <c r="K27" s="1085"/>
      <c r="L27" s="1085"/>
      <c r="M27" s="1085"/>
      <c r="N27" s="1085"/>
    </row>
    <row r="29" spans="1:16">
      <c r="M29" s="238"/>
      <c r="N29" s="238"/>
      <c r="O29" s="238"/>
    </row>
    <row r="30" spans="1:16">
      <c r="H30" s="239"/>
      <c r="I30" s="239"/>
      <c r="J30" s="239"/>
      <c r="K30" s="239"/>
      <c r="L30" s="239"/>
      <c r="M30" s="239"/>
      <c r="N30" s="239"/>
      <c r="O30" s="238"/>
    </row>
    <row r="31" spans="1:16">
      <c r="H31" s="73" t="s">
        <v>437</v>
      </c>
    </row>
    <row r="36" spans="1:17" s="607" customFormat="1">
      <c r="A36" s="607" t="s">
        <v>438</v>
      </c>
    </row>
    <row r="37" spans="1:17" s="599" customFormat="1"/>
    <row r="38" spans="1:17" s="599" customFormat="1"/>
    <row r="39" spans="1:17" s="599" customFormat="1"/>
    <row r="40" spans="1:17" s="607" customFormat="1">
      <c r="A40" s="607" t="s">
        <v>439</v>
      </c>
    </row>
    <row r="41" spans="1:17" s="607" customFormat="1">
      <c r="A41" s="607" t="str">
        <f>+Control!D3</f>
        <v>MIC INCORPORATION LIMITED </v>
      </c>
    </row>
    <row r="42" spans="1:17" s="607" customFormat="1">
      <c r="A42" s="607" t="s">
        <v>440</v>
      </c>
    </row>
    <row r="43" spans="1:17" s="607" customFormat="1">
      <c r="A43" s="608" t="str">
        <f>+Control!D6</f>
        <v>31 December, 2016</v>
      </c>
    </row>
    <row r="44" spans="1:17" s="607" customFormat="1">
      <c r="A44" s="607" t="s">
        <v>441</v>
      </c>
    </row>
    <row r="45" spans="1:17" s="607" customFormat="1">
      <c r="A45" s="607" t="str">
        <f>+Control!D67</f>
        <v>United States Dollars</v>
      </c>
    </row>
    <row r="46" spans="1:17" s="607" customFormat="1">
      <c r="A46" s="607" t="s">
        <v>172</v>
      </c>
    </row>
    <row r="47" spans="1:17" s="607" customFormat="1">
      <c r="A47" s="608" t="s">
        <v>2112</v>
      </c>
      <c r="Q47" s="607" t="s">
        <v>442</v>
      </c>
    </row>
    <row r="48" spans="1:17" s="607" customFormat="1">
      <c r="A48" s="607" t="s">
        <v>443</v>
      </c>
    </row>
    <row r="49" spans="1:4" s="607" customFormat="1">
      <c r="A49" s="607" t="s">
        <v>444</v>
      </c>
    </row>
    <row r="50" spans="1:4" s="607" customFormat="1">
      <c r="A50" s="607" t="str">
        <f>+Control!D68</f>
        <v>US$</v>
      </c>
    </row>
    <row r="51" spans="1:4" s="607" customFormat="1">
      <c r="A51" s="1084" t="str">
        <f>+TEXT(Control!D110,"###,###,###,###,###,###,###,###")</f>
        <v/>
      </c>
      <c r="B51" s="1084"/>
      <c r="C51" s="1084"/>
      <c r="D51" s="1084"/>
    </row>
    <row r="52" spans="1:4" s="607" customFormat="1">
      <c r="A52" s="607" t="s">
        <v>445</v>
      </c>
    </row>
    <row r="53" spans="1:4" s="607" customFormat="1">
      <c r="A53" s="607" t="s">
        <v>446</v>
      </c>
    </row>
  </sheetData>
  <mergeCells count="6">
    <mergeCell ref="A51:D51"/>
    <mergeCell ref="H25:N27"/>
    <mergeCell ref="A17:P21"/>
    <mergeCell ref="A1:P1"/>
    <mergeCell ref="A2:P2"/>
    <mergeCell ref="A15:P15"/>
  </mergeCells>
  <phoneticPr fontId="1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50</vt:i4>
      </vt:variant>
    </vt:vector>
  </HeadingPairs>
  <TitlesOfParts>
    <vt:vector size="104" baseType="lpstr">
      <vt:lpstr>metadata</vt:lpstr>
      <vt:lpstr>Cover</vt:lpstr>
      <vt:lpstr>Contents</vt:lpstr>
      <vt:lpstr>Control</vt:lpstr>
      <vt:lpstr>Dir info</vt:lpstr>
      <vt:lpstr>Doc list</vt:lpstr>
      <vt:lpstr>D emol</vt:lpstr>
      <vt:lpstr>D emol (2)</vt:lpstr>
      <vt:lpstr>D emol (3)</vt:lpstr>
      <vt:lpstr>D emol (4)</vt:lpstr>
      <vt:lpstr>D emol (5)</vt:lpstr>
      <vt:lpstr>D emol (6)</vt:lpstr>
      <vt:lpstr>LOR</vt:lpstr>
      <vt:lpstr>LOE</vt:lpstr>
      <vt:lpstr>LOE (CAP622)</vt:lpstr>
      <vt:lpstr>LOE y.e. after 14.12.16</vt:lpstr>
      <vt:lpstr>LOS</vt:lpstr>
      <vt:lpstr>Audit conf.</vt:lpstr>
      <vt:lpstr>Audit conf. (2)</vt:lpstr>
      <vt:lpstr>Audit conf. (3)</vt:lpstr>
      <vt:lpstr>Audit conf. (4)</vt:lpstr>
      <vt:lpstr>Audit conf. (5)</vt:lpstr>
      <vt:lpstr>Audit conf. (6)</vt:lpstr>
      <vt:lpstr>Audit conf. 3rd</vt:lpstr>
      <vt:lpstr>cash and F.F</vt:lpstr>
      <vt:lpstr>141D</vt:lpstr>
      <vt:lpstr>Tax rep.</vt:lpstr>
      <vt:lpstr>T com dor</vt:lpstr>
      <vt:lpstr>T com (loss)</vt:lpstr>
      <vt:lpstr>T com (profit)</vt:lpstr>
      <vt:lpstr>Depn Allowances</vt:lpstr>
      <vt:lpstr>FA</vt:lpstr>
      <vt:lpstr>Adj</vt:lpstr>
      <vt:lpstr>B conf.</vt:lpstr>
      <vt:lpstr>B conf. (2)</vt:lpstr>
      <vt:lpstr>Auditor's report</vt:lpstr>
      <vt:lpstr>Section1</vt:lpstr>
      <vt:lpstr>Section2</vt:lpstr>
      <vt:lpstr>Section3</vt:lpstr>
      <vt:lpstr>Section4</vt:lpstr>
      <vt:lpstr>Section5</vt:lpstr>
      <vt:lpstr>Section6</vt:lpstr>
      <vt:lpstr>Letter to client</vt:lpstr>
      <vt:lpstr>IRD Letter1</vt:lpstr>
      <vt:lpstr>IRD Letter2</vt:lpstr>
      <vt:lpstr>Pro Clear</vt:lpstr>
      <vt:lpstr>Pro Clear (2)</vt:lpstr>
      <vt:lpstr>AGM</vt:lpstr>
      <vt:lpstr>No deli</vt:lpstr>
      <vt:lpstr>EGM</vt:lpstr>
      <vt:lpstr>Spe. Reso</vt:lpstr>
      <vt:lpstr>no consol</vt:lpstr>
      <vt:lpstr>Accounts (3)</vt:lpstr>
      <vt:lpstr>Cash</vt:lpstr>
      <vt:lpstr>Control!Due_to_from_a_director</vt:lpstr>
      <vt:lpstr>'141D'!Print_Area</vt:lpstr>
      <vt:lpstr>'Accounts (3)'!Print_Area</vt:lpstr>
      <vt:lpstr>Adj!Print_Area</vt:lpstr>
      <vt:lpstr>AGM!Print_Area</vt:lpstr>
      <vt:lpstr>'Audit conf.'!Print_Area</vt:lpstr>
      <vt:lpstr>'Audit conf. (2)'!Print_Area</vt:lpstr>
      <vt:lpstr>'Audit conf. (3)'!Print_Area</vt:lpstr>
      <vt:lpstr>'Audit conf. (4)'!Print_Area</vt:lpstr>
      <vt:lpstr>'Audit conf. (5)'!Print_Area</vt:lpstr>
      <vt:lpstr>'Audit conf. (6)'!Print_Area</vt:lpstr>
      <vt:lpstr>'Audit conf. 3rd'!Print_Area</vt:lpstr>
      <vt:lpstr>'Auditor''s report'!Print_Area</vt:lpstr>
      <vt:lpstr>'B conf.'!Print_Area</vt:lpstr>
      <vt:lpstr>'B conf. (2)'!Print_Area</vt:lpstr>
      <vt:lpstr>Cash!Print_Area</vt:lpstr>
      <vt:lpstr>'cash and F.F'!Print_Area</vt:lpstr>
      <vt:lpstr>'D emol'!Print_Area</vt:lpstr>
      <vt:lpstr>'D emol (2)'!Print_Area</vt:lpstr>
      <vt:lpstr>'D emol (3)'!Print_Area</vt:lpstr>
      <vt:lpstr>'D emol (4)'!Print_Area</vt:lpstr>
      <vt:lpstr>'D emol (5)'!Print_Area</vt:lpstr>
      <vt:lpstr>'D emol (6)'!Print_Area</vt:lpstr>
      <vt:lpstr>'Depn Allowances'!Print_Area</vt:lpstr>
      <vt:lpstr>EGM!Print_Area</vt:lpstr>
      <vt:lpstr>'IRD Letter1'!Print_Area</vt:lpstr>
      <vt:lpstr>'IRD Letter2'!Print_Area</vt:lpstr>
      <vt:lpstr>'Letter to client'!Print_Area</vt:lpstr>
      <vt:lpstr>LOE!Print_Area</vt:lpstr>
      <vt:lpstr>'LOE (CAP622)'!Print_Area</vt:lpstr>
      <vt:lpstr>'LOE y.e. after 14.12.16'!Print_Area</vt:lpstr>
      <vt:lpstr>LOR!Print_Area</vt:lpstr>
      <vt:lpstr>LOS!Print_Area</vt:lpstr>
      <vt:lpstr>'no consol'!Print_Area</vt:lpstr>
      <vt:lpstr>'No deli'!Print_Area</vt:lpstr>
      <vt:lpstr>'Pro Clear'!Print_Area</vt:lpstr>
      <vt:lpstr>'Pro Clear (2)'!Print_Area</vt:lpstr>
      <vt:lpstr>Section1!Print_Area</vt:lpstr>
      <vt:lpstr>Section2!Print_Area</vt:lpstr>
      <vt:lpstr>Section3!Print_Area</vt:lpstr>
      <vt:lpstr>Section4!Print_Area</vt:lpstr>
      <vt:lpstr>Section5!Print_Area</vt:lpstr>
      <vt:lpstr>'Spe. Reso'!Print_Area</vt:lpstr>
      <vt:lpstr>'T com (loss)'!Print_Area</vt:lpstr>
      <vt:lpstr>'T com (profit)'!Print_Area</vt:lpstr>
      <vt:lpstr>'T com dor'!Print_Area</vt:lpstr>
      <vt:lpstr>'Tax rep.'!Print_Area</vt:lpstr>
      <vt:lpstr>Control!Shareholderhishertheir</vt:lpstr>
      <vt:lpstr>Control!TITLE</vt:lpstr>
      <vt:lpstr>TITLE2</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2018-01-07T04:09:53Z</dcterms:modified>
</cp:coreProperties>
</file>