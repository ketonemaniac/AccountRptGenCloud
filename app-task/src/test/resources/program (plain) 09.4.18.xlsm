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filterPrivacy="1" codeName="ThisWorkbook" defaultThemeVersion="124226"/>
  <xr:revisionPtr revIDLastSave="0" documentId="10_ncr:8100000_{CF856660-8108-4F59-BB0C-5D0CFFAB0F8B}" xr6:coauthVersionLast="32" xr6:coauthVersionMax="32" xr10:uidLastSave="{00000000-0000-0000-0000-000000000000}"/>
  <bookViews>
    <workbookView xWindow="0" yWindow="0" windowWidth="17505" windowHeight="11025" tabRatio="901" activeTab="17" xr2:uid="{00000000-000D-0000-FFFF-FFFF00000000}"/>
  </bookViews>
  <sheets>
    <sheet name="Control" sheetId="4" r:id="rId1"/>
    <sheet name="Dir info" sheetId="49" r:id="rId2"/>
    <sheet name="D emol (3)" sheetId="50" state="hidden" r:id="rId3"/>
    <sheet name="D emol (4)" sheetId="51" state="hidden" r:id="rId4"/>
    <sheet name="D emol (5)" sheetId="52" state="hidden" r:id="rId5"/>
    <sheet name="D emol (6)" sheetId="53" state="hidden" r:id="rId6"/>
    <sheet name="Audit conf. (3)" sheetId="59" state="hidden" r:id="rId7"/>
    <sheet name="Audit conf. (4)" sheetId="60" state="hidden" r:id="rId8"/>
    <sheet name="Audit conf. (5)" sheetId="61" state="hidden" r:id="rId9"/>
    <sheet name="Audit conf. (6)" sheetId="62" state="hidden" r:id="rId10"/>
    <sheet name="T com dor" sheetId="48" r:id="rId11"/>
    <sheet name="T com (loss)" sheetId="10" r:id="rId12"/>
    <sheet name="T com (profit)" sheetId="11" r:id="rId13"/>
    <sheet name="Depn Allowances" sheetId="65" r:id="rId14"/>
    <sheet name="FA" sheetId="64" r:id="rId15"/>
    <sheet name="Adj" sheetId="9" r:id="rId16"/>
    <sheet name="Section3" sheetId="32" r:id="rId17"/>
    <sheet name="Section4" sheetId="36" r:id="rId18"/>
    <sheet name="Section6" sheetId="39" r:id="rId19"/>
  </sheets>
  <functionGroups builtInGroupCount="19"/>
  <externalReferences>
    <externalReference r:id="rId20"/>
  </externalReferences>
  <definedNames>
    <definedName name="_MON_1411551453" localSheetId="18">Section6!#REF!</definedName>
    <definedName name="Due_to_from_a_director" localSheetId="0">Control!$H$96:$J$96</definedName>
    <definedName name="_xlnm.Print_Area" localSheetId="15">Adj!$A$5:$H$19</definedName>
    <definedName name="_xlnm.Print_Area" localSheetId="6">'Audit conf. (3)'!$A$1:$D$49</definedName>
    <definedName name="_xlnm.Print_Area" localSheetId="7">'Audit conf. (4)'!$A$1:$D$49</definedName>
    <definedName name="_xlnm.Print_Area" localSheetId="8">'Audit conf. (5)'!$A$1:$D$49</definedName>
    <definedName name="_xlnm.Print_Area" localSheetId="9">'Audit conf. (6)'!$A$1:$D$49</definedName>
    <definedName name="_xlnm.Print_Area" localSheetId="2">'D emol (3)'!$A$1:$AL$63</definedName>
    <definedName name="_xlnm.Print_Area" localSheetId="3">'D emol (4)'!$A$1:$AL$63</definedName>
    <definedName name="_xlnm.Print_Area" localSheetId="4">'D emol (5)'!$A$1:$AL$63</definedName>
    <definedName name="_xlnm.Print_Area" localSheetId="5">'D emol (6)'!$A$1:$AL$63</definedName>
    <definedName name="_xlnm.Print_Area" localSheetId="13">'Depn Allowances'!$A$1:$H$35</definedName>
    <definedName name="_xlnm.Print_Area" localSheetId="1">'Dir info'!$A$1:$Q$58</definedName>
    <definedName name="_xlnm.Print_Area" localSheetId="16">Section3!$A$9:$E$47</definedName>
    <definedName name="_xlnm.Print_Area" localSheetId="17">Section4!$A$8:$E$70</definedName>
    <definedName name="_xlnm.Print_Area" localSheetId="11">'T com (loss)'!$A$1:$D$45</definedName>
    <definedName name="_xlnm.Print_Area" localSheetId="12">'T com (profit)'!$A$1:$D$52</definedName>
    <definedName name="_xlnm.Print_Area" localSheetId="10">'T com dor'!$A$1:$D$38</definedName>
    <definedName name="Shareholderhishertheir" localSheetId="0">Control!$G$109:$J$109</definedName>
    <definedName name="TITLE" localSheetId="0">Control!$H$9:$J$9</definedName>
    <definedName name="TITLE2">Control!$H$125:$J$125</definedName>
  </definedNames>
  <calcPr calcId="162913"/>
</workbook>
</file>

<file path=xl/calcChain.xml><?xml version="1.0" encoding="utf-8"?>
<calcChain xmlns="http://schemas.openxmlformats.org/spreadsheetml/2006/main">
  <c r="K278" i="39" l="1"/>
  <c r="O278" i="39"/>
  <c r="I327" i="39"/>
  <c r="W329" i="39"/>
  <c r="I345" i="39"/>
  <c r="I340" i="39"/>
  <c r="I333" i="39"/>
  <c r="I343" i="39" l="1"/>
  <c r="G378" i="39"/>
  <c r="E378" i="39"/>
  <c r="I362" i="39" l="1"/>
  <c r="I358" i="39"/>
  <c r="G365" i="39"/>
  <c r="E365" i="39"/>
  <c r="A352" i="39"/>
  <c r="I365" i="39" l="1"/>
  <c r="H17" i="9" l="1"/>
  <c r="J17" i="9" s="1"/>
  <c r="A17" i="9" s="1"/>
  <c r="J10" i="9"/>
  <c r="A7" i="9" s="1"/>
  <c r="J7" i="9"/>
  <c r="H5" i="9" s="1"/>
  <c r="J4" i="9"/>
  <c r="A1" i="9"/>
  <c r="E340" i="39" l="1"/>
  <c r="E333" i="39"/>
  <c r="C340" i="39"/>
  <c r="C333" i="39"/>
  <c r="U327" i="39"/>
  <c r="W338" i="39"/>
  <c r="W337" i="39"/>
  <c r="W336" i="39"/>
  <c r="W331" i="39"/>
  <c r="W330" i="39"/>
  <c r="U345" i="39"/>
  <c r="U340" i="39"/>
  <c r="U333" i="39"/>
  <c r="S327" i="39"/>
  <c r="Q327" i="39"/>
  <c r="O327" i="39"/>
  <c r="M327" i="39"/>
  <c r="S345" i="39"/>
  <c r="S340" i="39"/>
  <c r="S333" i="39"/>
  <c r="Q345" i="39"/>
  <c r="Q340" i="39"/>
  <c r="Q333" i="39"/>
  <c r="O345" i="39"/>
  <c r="O340" i="39"/>
  <c r="O333" i="39"/>
  <c r="M345" i="39"/>
  <c r="M340" i="39"/>
  <c r="M333" i="39"/>
  <c r="O279" i="39"/>
  <c r="K279" i="39"/>
  <c r="I28" i="36"/>
  <c r="E61" i="36"/>
  <c r="C61" i="36"/>
  <c r="N16" i="49"/>
  <c r="K16" i="49"/>
  <c r="N15" i="49"/>
  <c r="K15" i="49"/>
  <c r="N14" i="49"/>
  <c r="K14" i="49"/>
  <c r="N13" i="49"/>
  <c r="K13" i="49"/>
  <c r="N12" i="49"/>
  <c r="K12" i="49"/>
  <c r="N11" i="49"/>
  <c r="K11" i="49"/>
  <c r="K19" i="49" s="1"/>
  <c r="A27" i="36" s="1"/>
  <c r="Q10" i="49"/>
  <c r="C278" i="39" s="1"/>
  <c r="O10" i="49"/>
  <c r="M278" i="39" s="1"/>
  <c r="O280" i="39" s="1"/>
  <c r="K345" i="39"/>
  <c r="G345" i="39"/>
  <c r="E345" i="39"/>
  <c r="C345" i="39"/>
  <c r="E278" i="39" l="1"/>
  <c r="G278" i="39" s="1"/>
  <c r="K280" i="39" s="1"/>
  <c r="K281" i="39" s="1"/>
  <c r="C280" i="39"/>
  <c r="O281" i="39"/>
  <c r="W345" i="39"/>
  <c r="S343" i="39"/>
  <c r="Q343" i="39"/>
  <c r="M343" i="39"/>
  <c r="U343" i="39"/>
  <c r="C343" i="39"/>
  <c r="O343" i="39"/>
  <c r="I52" i="36"/>
  <c r="W340" i="39"/>
  <c r="W333" i="39"/>
  <c r="N19" i="49"/>
  <c r="A50" i="36" s="1"/>
  <c r="K17" i="49"/>
  <c r="N17" i="49"/>
  <c r="G403" i="39"/>
  <c r="E403" i="39"/>
  <c r="G586" i="39"/>
  <c r="E586" i="39"/>
  <c r="G535" i="39"/>
  <c r="E535" i="39"/>
  <c r="G496" i="39"/>
  <c r="E496" i="39"/>
  <c r="K340" i="39"/>
  <c r="G340" i="39"/>
  <c r="K333" i="39"/>
  <c r="G333" i="39"/>
  <c r="E343" i="39"/>
  <c r="K327" i="39"/>
  <c r="G327" i="39"/>
  <c r="E327" i="39"/>
  <c r="C327" i="39"/>
  <c r="B55" i="53"/>
  <c r="B55" i="52"/>
  <c r="B55" i="51"/>
  <c r="B55" i="50"/>
  <c r="B45" i="53"/>
  <c r="B45" i="52"/>
  <c r="B45" i="51"/>
  <c r="B45" i="50"/>
  <c r="G113" i="4"/>
  <c r="D113" i="4"/>
  <c r="G112" i="4"/>
  <c r="E16" i="32"/>
  <c r="E15" i="32"/>
  <c r="E39" i="36"/>
  <c r="D17" i="11"/>
  <c r="F8" i="64"/>
  <c r="H8" i="64" s="1"/>
  <c r="H11" i="64" s="1"/>
  <c r="F8" i="65" s="1"/>
  <c r="F9" i="64"/>
  <c r="J9" i="64" s="1"/>
  <c r="J11" i="64" s="1"/>
  <c r="C22" i="10" s="1"/>
  <c r="D19" i="10"/>
  <c r="H34" i="65"/>
  <c r="H30" i="65"/>
  <c r="H21" i="65"/>
  <c r="F11" i="64"/>
  <c r="F33" i="11"/>
  <c r="G33" i="11" s="1"/>
  <c r="F34" i="11"/>
  <c r="G34" i="11" s="1"/>
  <c r="D3" i="4"/>
  <c r="A6" i="50" s="1"/>
  <c r="G114" i="4"/>
  <c r="D114" i="4"/>
  <c r="C22" i="62"/>
  <c r="C18" i="62" s="1"/>
  <c r="C4" i="62"/>
  <c r="C22" i="61"/>
  <c r="C18" i="61"/>
  <c r="C4" i="61"/>
  <c r="C22" i="60"/>
  <c r="C18" i="60"/>
  <c r="C4" i="60"/>
  <c r="C22" i="59"/>
  <c r="C18" i="59" s="1"/>
  <c r="C4" i="59"/>
  <c r="A47" i="62"/>
  <c r="A46" i="62"/>
  <c r="C31" i="62"/>
  <c r="B31" i="62"/>
  <c r="D21" i="62"/>
  <c r="C20" i="62"/>
  <c r="B20" i="62"/>
  <c r="A47" i="61"/>
  <c r="A46" i="61"/>
  <c r="C31" i="61"/>
  <c r="B31" i="61"/>
  <c r="D21" i="61"/>
  <c r="C20" i="61"/>
  <c r="B20" i="61"/>
  <c r="A47" i="60"/>
  <c r="A46" i="60"/>
  <c r="C31" i="60"/>
  <c r="B31" i="60"/>
  <c r="D21" i="60"/>
  <c r="C20" i="60"/>
  <c r="B20" i="60"/>
  <c r="A47" i="59"/>
  <c r="A46" i="59"/>
  <c r="C31" i="59"/>
  <c r="B31" i="59"/>
  <c r="D21" i="59"/>
  <c r="C20" i="59"/>
  <c r="B20" i="59"/>
  <c r="O24" i="53"/>
  <c r="O45" i="53"/>
  <c r="D18" i="53"/>
  <c r="O24" i="52"/>
  <c r="O45" i="52" s="1"/>
  <c r="D18" i="52"/>
  <c r="O24" i="51"/>
  <c r="O45" i="51" s="1"/>
  <c r="D18" i="51"/>
  <c r="O24" i="50"/>
  <c r="O45" i="50" s="1"/>
  <c r="D18" i="50"/>
  <c r="D72" i="53"/>
  <c r="B77" i="53" s="1"/>
  <c r="C16" i="53" s="1"/>
  <c r="AA49" i="53"/>
  <c r="O49" i="53"/>
  <c r="AI21" i="53"/>
  <c r="AE21" i="53"/>
  <c r="AA21" i="53"/>
  <c r="W21" i="53"/>
  <c r="S21" i="53"/>
  <c r="O21" i="53"/>
  <c r="A6" i="53"/>
  <c r="D72" i="52"/>
  <c r="B77" i="52" s="1"/>
  <c r="C16" i="52" s="1"/>
  <c r="AA49" i="52"/>
  <c r="O49" i="52"/>
  <c r="AI21" i="52"/>
  <c r="AE21" i="52"/>
  <c r="AA21" i="52"/>
  <c r="W21" i="52"/>
  <c r="S21" i="52"/>
  <c r="O21" i="52"/>
  <c r="D72" i="51"/>
  <c r="B69" i="51" s="1"/>
  <c r="C14" i="51" s="1"/>
  <c r="AA49" i="51"/>
  <c r="O49" i="51"/>
  <c r="AI21" i="51"/>
  <c r="AE21" i="51"/>
  <c r="AA21" i="51"/>
  <c r="W21" i="51"/>
  <c r="S21" i="51"/>
  <c r="O21" i="51"/>
  <c r="D72" i="50"/>
  <c r="B77" i="50"/>
  <c r="C16" i="50" s="1"/>
  <c r="AA49" i="50"/>
  <c r="O49" i="50"/>
  <c r="AI21" i="50"/>
  <c r="AE21" i="50"/>
  <c r="AA21" i="50"/>
  <c r="W21" i="50"/>
  <c r="S21" i="50"/>
  <c r="O21" i="50"/>
  <c r="B69" i="53"/>
  <c r="C14" i="53" s="1"/>
  <c r="B69" i="52"/>
  <c r="C14" i="52" s="1"/>
  <c r="B69" i="50"/>
  <c r="C14" i="50"/>
  <c r="D108" i="4"/>
  <c r="I4" i="49"/>
  <c r="I5" i="49"/>
  <c r="I6" i="49"/>
  <c r="I7" i="49"/>
  <c r="I8" i="49"/>
  <c r="I9" i="49"/>
  <c r="A12" i="62"/>
  <c r="A12" i="60"/>
  <c r="A12" i="59"/>
  <c r="A12" i="61"/>
  <c r="D5" i="49"/>
  <c r="D4" i="49"/>
  <c r="D9" i="49"/>
  <c r="D8" i="49"/>
  <c r="D7" i="49"/>
  <c r="D6" i="49"/>
  <c r="D90" i="4"/>
  <c r="H32" i="11"/>
  <c r="E12" i="4"/>
  <c r="D13" i="4" s="1"/>
  <c r="D14" i="4"/>
  <c r="C14" i="32"/>
  <c r="F35" i="11"/>
  <c r="G35" i="11" s="1"/>
  <c r="H13" i="4"/>
  <c r="A24" i="48"/>
  <c r="D22" i="48"/>
  <c r="A21" i="48"/>
  <c r="B17" i="48"/>
  <c r="A17" i="48"/>
  <c r="A9" i="48"/>
  <c r="B19" i="48" s="1"/>
  <c r="F3" i="48"/>
  <c r="A3" i="48" s="1"/>
  <c r="A1" i="48"/>
  <c r="A28" i="10"/>
  <c r="A31" i="10"/>
  <c r="D29" i="10"/>
  <c r="A21" i="10"/>
  <c r="B21" i="10"/>
  <c r="E14" i="32"/>
  <c r="D23" i="48"/>
  <c r="D24" i="48"/>
  <c r="D26" i="11"/>
  <c r="C10" i="32"/>
  <c r="H12" i="4"/>
  <c r="G14" i="4"/>
  <c r="A23" i="48"/>
  <c r="F3" i="11"/>
  <c r="A3" i="11" s="1"/>
  <c r="F3" i="10"/>
  <c r="A3" i="10" s="1"/>
  <c r="E110" i="4"/>
  <c r="D110" i="4"/>
  <c r="E31" i="11"/>
  <c r="D21" i="11"/>
  <c r="B21" i="11"/>
  <c r="A21" i="11"/>
  <c r="A9" i="11"/>
  <c r="E36" i="11" s="1"/>
  <c r="E37" i="11" s="1"/>
  <c r="A9" i="10"/>
  <c r="B26" i="10"/>
  <c r="A1" i="10"/>
  <c r="E20" i="32"/>
  <c r="E22" i="32" s="1"/>
  <c r="E68" i="36" s="1"/>
  <c r="C20" i="32"/>
  <c r="C22" i="32" s="1"/>
  <c r="A10" i="10"/>
  <c r="G13" i="4"/>
  <c r="G9" i="4" s="1"/>
  <c r="A10" i="11"/>
  <c r="A10" i="48"/>
  <c r="D14" i="48"/>
  <c r="A29" i="10"/>
  <c r="F41" i="11"/>
  <c r="E43" i="11" s="1"/>
  <c r="A11" i="59"/>
  <c r="A11" i="62"/>
  <c r="A11" i="61"/>
  <c r="A11" i="60"/>
  <c r="A7" i="53"/>
  <c r="A7" i="52"/>
  <c r="A7" i="51"/>
  <c r="A7" i="50"/>
  <c r="D14" i="10"/>
  <c r="A14" i="10"/>
  <c r="C21" i="10"/>
  <c r="A35" i="32"/>
  <c r="D128" i="4"/>
  <c r="B77" i="51" l="1"/>
  <c r="C16" i="51" s="1"/>
  <c r="A37" i="11"/>
  <c r="D37" i="11"/>
  <c r="F9" i="65"/>
  <c r="H9" i="65" s="1"/>
  <c r="D15" i="4"/>
  <c r="D9" i="4"/>
  <c r="C68" i="36"/>
  <c r="G15" i="4"/>
  <c r="D17" i="48"/>
  <c r="D19" i="48" s="1"/>
  <c r="A6" i="51"/>
  <c r="A1" i="11"/>
  <c r="A6" i="52"/>
  <c r="C6" i="59"/>
  <c r="C6" i="60"/>
  <c r="C6" i="61"/>
  <c r="C6" i="62"/>
  <c r="D14" i="11"/>
  <c r="D25" i="11" s="1"/>
  <c r="C41" i="11" s="1"/>
  <c r="D43" i="11" s="1"/>
  <c r="E50" i="36"/>
  <c r="C50" i="36"/>
  <c r="C52" i="36" s="1"/>
  <c r="C27" i="36"/>
  <c r="C35" i="36" s="1"/>
  <c r="C54" i="36" s="1"/>
  <c r="E27" i="36"/>
  <c r="K343" i="39"/>
  <c r="G343" i="39"/>
  <c r="W343" i="39"/>
  <c r="E11" i="36"/>
  <c r="E17" i="36" s="1"/>
  <c r="A14" i="48"/>
  <c r="A33" i="11"/>
  <c r="G36" i="11"/>
  <c r="G37" i="11" s="1"/>
  <c r="A29" i="11" s="1"/>
  <c r="B25" i="11"/>
  <c r="E69" i="36"/>
  <c r="C69" i="36"/>
  <c r="J17" i="49"/>
  <c r="D27" i="11"/>
  <c r="C33" i="11" s="1"/>
  <c r="D35" i="11" s="1"/>
  <c r="D38" i="11" s="1"/>
  <c r="C11" i="36" l="1"/>
  <c r="C17" i="36" s="1"/>
  <c r="C63" i="36" s="1"/>
  <c r="F71" i="36" s="1"/>
  <c r="C71" i="36" s="1"/>
  <c r="A14" i="11"/>
  <c r="F24" i="11"/>
  <c r="F27" i="11" s="1"/>
  <c r="A19" i="48"/>
  <c r="E23" i="48"/>
  <c r="A41" i="11"/>
  <c r="J2" i="9"/>
  <c r="F28" i="10"/>
  <c r="F21" i="48"/>
  <c r="A22" i="48" s="1"/>
  <c r="G50" i="36"/>
  <c r="I53" i="36" s="1"/>
  <c r="I54" i="36" s="1"/>
  <c r="F50" i="36" s="1"/>
  <c r="I55" i="36" s="1"/>
  <c r="E52" i="36"/>
  <c r="D45" i="11"/>
  <c r="A25" i="11"/>
  <c r="F11" i="65"/>
  <c r="G27" i="36"/>
  <c r="I32" i="36" s="1"/>
  <c r="I33" i="36" s="1"/>
  <c r="F27" i="36" s="1"/>
  <c r="I35" i="36" s="1"/>
  <c r="E35" i="36"/>
  <c r="E54" i="36" l="1"/>
  <c r="E63" i="36" s="1"/>
  <c r="H71" i="36" s="1"/>
  <c r="E71" i="36" s="1"/>
  <c r="J21" i="9"/>
  <c r="A4" i="9"/>
  <c r="F12" i="65"/>
  <c r="H12" i="65" s="1"/>
  <c r="H14" i="65" s="1"/>
  <c r="C23" i="10" s="1"/>
  <c r="D24" i="10" s="1"/>
  <c r="D26" i="10" s="1"/>
  <c r="F13" i="65" l="1"/>
  <c r="D30" i="10"/>
  <c r="D31" i="10" s="1"/>
  <c r="E30" i="10"/>
  <c r="A30" i="10" s="1"/>
  <c r="A26" i="10"/>
</calcChain>
</file>

<file path=xl/sharedStrings.xml><?xml version="1.0" encoding="utf-8"?>
<sst xmlns="http://schemas.openxmlformats.org/spreadsheetml/2006/main" count="1071" uniqueCount="543">
  <si>
    <t>)</t>
    <phoneticPr fontId="11" type="noConversion"/>
  </si>
  <si>
    <t xml:space="preserve">FOR THE </t>
    <phoneticPr fontId="11" type="noConversion"/>
  </si>
  <si>
    <t>General:</t>
    <phoneticPr fontId="11" type="noConversion"/>
  </si>
  <si>
    <t>Company's name</t>
    <phoneticPr fontId="11" type="noConversion"/>
  </si>
  <si>
    <t>In Chinese</t>
    <phoneticPr fontId="11" type="noConversion"/>
  </si>
  <si>
    <t>Year/period ended:</t>
    <phoneticPr fontId="11" type="noConversion"/>
  </si>
  <si>
    <t>Year/period</t>
    <phoneticPr fontId="11" type="noConversion"/>
  </si>
  <si>
    <t>This year</t>
    <phoneticPr fontId="11" type="noConversion"/>
  </si>
  <si>
    <t>Last year</t>
    <phoneticPr fontId="11" type="noConversion"/>
  </si>
  <si>
    <t>Period from</t>
    <phoneticPr fontId="11" type="noConversion"/>
  </si>
  <si>
    <t>To</t>
    <phoneticPr fontId="11" type="noConversion"/>
  </si>
  <si>
    <t>No. of Months</t>
    <phoneticPr fontId="11" type="noConversion"/>
  </si>
  <si>
    <t>No. of Days</t>
    <phoneticPr fontId="11" type="noConversion"/>
  </si>
  <si>
    <t>Therefore over/within 18 months</t>
    <phoneticPr fontId="11" type="noConversion"/>
  </si>
  <si>
    <t>Registered office</t>
    <phoneticPr fontId="11" type="noConversion"/>
  </si>
  <si>
    <t>Clean/disclaimer</t>
    <phoneticPr fontId="11" type="noConversion"/>
  </si>
  <si>
    <t>1=Clean, 0=Disclaimer</t>
    <phoneticPr fontId="11" type="noConversion"/>
  </si>
  <si>
    <t>First audit?</t>
    <phoneticPr fontId="11" type="noConversion"/>
  </si>
  <si>
    <t>1=Yes, 0=No</t>
    <phoneticPr fontId="11" type="noConversion"/>
  </si>
  <si>
    <t>Any PPE?</t>
    <phoneticPr fontId="11" type="noConversion"/>
  </si>
  <si>
    <t>Related party transactions?</t>
    <phoneticPr fontId="11" type="noConversion"/>
  </si>
  <si>
    <t>Professional clearance</t>
    <phoneticPr fontId="11" type="noConversion"/>
  </si>
  <si>
    <t>Name of former auditor</t>
    <phoneticPr fontId="11" type="noConversion"/>
  </si>
  <si>
    <t>Address of former auditor, spread the address in 2 cells</t>
    <phoneticPr fontId="11" type="noConversion"/>
  </si>
  <si>
    <t>Change of co. name?</t>
    <phoneticPr fontId="11" type="noConversion"/>
  </si>
  <si>
    <t>if yes, old co. name?</t>
    <phoneticPr fontId="11" type="noConversion"/>
  </si>
  <si>
    <t>Please fill in Eng and Chi name</t>
    <phoneticPr fontId="11" type="noConversion"/>
  </si>
  <si>
    <t>Since when?</t>
    <phoneticPr fontId="11" type="noConversion"/>
  </si>
  <si>
    <t>Change of financial year end?</t>
    <phoneticPr fontId="11" type="noConversion"/>
  </si>
  <si>
    <t>Date of board resolution?</t>
    <phoneticPr fontId="11" type="noConversion"/>
  </si>
  <si>
    <t>Last year end?</t>
    <phoneticPr fontId="11" type="noConversion"/>
  </si>
  <si>
    <t>30 September</t>
    <phoneticPr fontId="11" type="noConversion"/>
  </si>
  <si>
    <t>i.e. 30 September</t>
    <phoneticPr fontId="11" type="noConversion"/>
  </si>
  <si>
    <t>Reason to change?</t>
    <phoneticPr fontId="11" type="noConversion"/>
  </si>
  <si>
    <t xml:space="preserve"> in order to align with the PRC business operation</t>
    <phoneticPr fontId="11" type="noConversion"/>
  </si>
  <si>
    <t>Principal activities</t>
    <phoneticPr fontId="11" type="noConversion"/>
  </si>
  <si>
    <t>Presentation currency</t>
    <phoneticPr fontId="11" type="noConversion"/>
  </si>
  <si>
    <t>BR/Tax file no.</t>
    <phoneticPr fontId="11" type="noConversion"/>
  </si>
  <si>
    <t>http://www.gov.hk/en/residents/taxes/etax/services/brn_enquiry.htm</t>
    <phoneticPr fontId="11" type="noConversion"/>
  </si>
  <si>
    <t>No. of director(s)</t>
    <phoneticPr fontId="11" type="noConversion"/>
  </si>
  <si>
    <t>Director's name</t>
    <phoneticPr fontId="11" type="noConversion"/>
  </si>
  <si>
    <t>Relationship with</t>
    <phoneticPr fontId="11" type="noConversion"/>
  </si>
  <si>
    <t>the Company</t>
    <phoneticPr fontId="11" type="noConversion"/>
  </si>
  <si>
    <t>Current account</t>
    <phoneticPr fontId="11" type="noConversion"/>
  </si>
  <si>
    <t>Due to a director</t>
    <phoneticPr fontId="11" type="noConversion"/>
  </si>
  <si>
    <t>Due from a director</t>
    <phoneticPr fontId="11" type="noConversion"/>
  </si>
  <si>
    <t>Amount</t>
    <phoneticPr fontId="11" type="noConversion"/>
  </si>
  <si>
    <t>Note: if due to, show as negative ( )</t>
    <phoneticPr fontId="11" type="noConversion"/>
  </si>
  <si>
    <t>Terms</t>
    <phoneticPr fontId="11" type="noConversion"/>
  </si>
  <si>
    <t>Unsecured, interest free and repayable on demand</t>
    <phoneticPr fontId="11" type="noConversion"/>
  </si>
  <si>
    <t>Director's emoluments:</t>
    <phoneticPr fontId="11" type="noConversion"/>
  </si>
  <si>
    <t>Emoluments:</t>
    <phoneticPr fontId="11" type="noConversion"/>
  </si>
  <si>
    <t>141D</t>
    <phoneticPr fontId="11" type="noConversion"/>
  </si>
  <si>
    <t>No. of shareholder(s)</t>
    <phoneticPr fontId="11" type="noConversion"/>
  </si>
  <si>
    <t>Shareholder/shareholders</t>
    <phoneticPr fontId="11" type="noConversion"/>
  </si>
  <si>
    <t>his/her/their</t>
    <phoneticPr fontId="11" type="noConversion"/>
  </si>
  <si>
    <t>his</t>
    <phoneticPr fontId="11" type="noConversion"/>
  </si>
  <si>
    <t>her</t>
    <phoneticPr fontId="11" type="noConversion"/>
  </si>
  <si>
    <t>their</t>
    <phoneticPr fontId="11" type="noConversion"/>
  </si>
  <si>
    <t>I/We</t>
    <phoneticPr fontId="11" type="noConversion"/>
  </si>
  <si>
    <t>Shareholder's name</t>
    <phoneticPr fontId="11" type="noConversion"/>
  </si>
  <si>
    <t>Letter of support</t>
    <phoneticPr fontId="11" type="noConversion"/>
  </si>
  <si>
    <t>Net liabilities</t>
    <phoneticPr fontId="11" type="noConversion"/>
  </si>
  <si>
    <t>Petty cash confirmation</t>
    <phoneticPr fontId="11" type="noConversion"/>
  </si>
  <si>
    <t>Adjustment</t>
    <phoneticPr fontId="11" type="noConversion"/>
  </si>
  <si>
    <t>Net loss or profits before tax</t>
    <phoneticPr fontId="11" type="noConversion"/>
  </si>
  <si>
    <t>Tax expenses</t>
    <phoneticPr fontId="11" type="noConversion"/>
  </si>
  <si>
    <t>Tax computation</t>
    <phoneticPr fontId="11" type="noConversion"/>
  </si>
  <si>
    <t>year of assessment</t>
    <phoneticPr fontId="11" type="noConversion"/>
  </si>
  <si>
    <t>Basic period</t>
    <phoneticPr fontId="11" type="noConversion"/>
  </si>
  <si>
    <t>Interest income</t>
    <phoneticPr fontId="11" type="noConversion"/>
  </si>
  <si>
    <t>Please fill in as negative amount (i.e. -1)</t>
    <phoneticPr fontId="11" type="noConversion"/>
  </si>
  <si>
    <t>If no interest income, please fill in "0"</t>
    <phoneticPr fontId="11" type="noConversion"/>
  </si>
  <si>
    <t>Tax loss b/f</t>
    <phoneticPr fontId="11" type="noConversion"/>
  </si>
  <si>
    <t>Bank confirmation</t>
    <phoneticPr fontId="11" type="noConversion"/>
  </si>
  <si>
    <t>Bank's name</t>
    <phoneticPr fontId="11" type="noConversion"/>
  </si>
  <si>
    <t>Account number</t>
    <phoneticPr fontId="11" type="noConversion"/>
  </si>
  <si>
    <t>Auditor</t>
    <phoneticPr fontId="11" type="noConversion"/>
  </si>
  <si>
    <t>Auditor's name</t>
    <phoneticPr fontId="11" type="noConversion"/>
  </si>
  <si>
    <t>Auditor's address</t>
    <phoneticPr fontId="11" type="noConversion"/>
  </si>
  <si>
    <t>Auditor's fax number</t>
    <phoneticPr fontId="11" type="noConversion"/>
  </si>
  <si>
    <t>Auditor's tel number</t>
    <phoneticPr fontId="11" type="noConversion"/>
  </si>
  <si>
    <t>TAX REP</t>
    <phoneticPr fontId="11" type="noConversion"/>
  </si>
  <si>
    <t>BANK CONF.</t>
    <phoneticPr fontId="11" type="noConversion"/>
  </si>
  <si>
    <t>Auditor's BR number</t>
    <phoneticPr fontId="11" type="noConversion"/>
  </si>
  <si>
    <t>NOTICE OF</t>
  </si>
  <si>
    <t>PARTICULARS AS TO REMUNERATION</t>
  </si>
  <si>
    <t>OF, AND LOANS TO DIRECTORS</t>
  </si>
  <si>
    <t>TO</t>
  </si>
  <si>
    <t xml:space="preserve">ENDED </t>
    <phoneticPr fontId="11" type="noConversion"/>
  </si>
  <si>
    <t xml:space="preserve"> </t>
    <phoneticPr fontId="11" type="noConversion"/>
  </si>
  <si>
    <t>I HEREBY DECLARE that the undermentioned statement:</t>
    <phoneticPr fontId="11" type="noConversion"/>
  </si>
  <si>
    <t>(A)</t>
    <phoneticPr fontId="11" type="noConversion"/>
  </si>
  <si>
    <t xml:space="preserve">includes the whole of the emoluments, pensions and compensation for loss of office received and receivable by me from the above Company </t>
    <phoneticPr fontId="11" type="noConversion"/>
  </si>
  <si>
    <t xml:space="preserve">and its subsidiaries and any other company or person by way of remuneration for my services as director of the Company or any Subsidiary </t>
    <phoneticPr fontId="11" type="noConversion"/>
  </si>
  <si>
    <t xml:space="preserve">thereof or in connection with the management of the Company or any Subsidiary thereof in respect of the period referred to above as required </t>
    <phoneticPr fontId="11" type="noConversion"/>
  </si>
  <si>
    <t xml:space="preserve">(B) </t>
    <phoneticPr fontId="11" type="noConversion"/>
  </si>
  <si>
    <t xml:space="preserve">includes the amount of all loans made to me during the above period and of loans made to be before the commencement of the above period </t>
    <phoneticPr fontId="11" type="noConversion"/>
  </si>
  <si>
    <t>Name</t>
    <phoneticPr fontId="15" type="noConversion"/>
  </si>
  <si>
    <t>From the Company</t>
    <phoneticPr fontId="15" type="noConversion"/>
  </si>
  <si>
    <t>From the Subsidiary Company(ies)</t>
    <phoneticPr fontId="15" type="noConversion"/>
  </si>
  <si>
    <t>From any other Company or person in relation to such service</t>
    <phoneticPr fontId="15" type="noConversion"/>
  </si>
  <si>
    <t>Position</t>
    <phoneticPr fontId="15" type="noConversion"/>
  </si>
  <si>
    <t>DIRECTOR</t>
    <phoneticPr fontId="15" type="noConversion"/>
  </si>
  <si>
    <t>As Director</t>
    <phoneticPr fontId="15" type="noConversion"/>
  </si>
  <si>
    <t>As Executive</t>
    <phoneticPr fontId="15" type="noConversion"/>
  </si>
  <si>
    <t>(A)</t>
    <phoneticPr fontId="15" type="noConversion"/>
  </si>
  <si>
    <t>(1)</t>
    <phoneticPr fontId="15" type="noConversion"/>
  </si>
  <si>
    <t>EMOLUMENTS :-</t>
    <phoneticPr fontId="15" type="noConversion"/>
  </si>
  <si>
    <t>Fees</t>
    <phoneticPr fontId="15" type="noConversion"/>
  </si>
  <si>
    <t>Salary and bonus</t>
    <phoneticPr fontId="15" type="noConversion"/>
  </si>
  <si>
    <t>Commission</t>
    <phoneticPr fontId="15" type="noConversion"/>
  </si>
  <si>
    <t>Expense Allowance in excess of actual expenses</t>
    <phoneticPr fontId="15" type="noConversion"/>
  </si>
  <si>
    <t xml:space="preserve">Contributions to a pension fund paid by any of </t>
    <phoneticPr fontId="15" type="noConversion"/>
  </si>
  <si>
    <t>the Companies</t>
    <phoneticPr fontId="15" type="noConversion"/>
  </si>
  <si>
    <t>Contributions to Mandatory provident fund</t>
    <phoneticPr fontId="15" type="noConversion"/>
  </si>
  <si>
    <t xml:space="preserve">Estimated money value of any benefits received </t>
    <phoneticPr fontId="15" type="noConversion"/>
  </si>
  <si>
    <t>otherwise than in cash</t>
    <phoneticPr fontId="15" type="noConversion"/>
  </si>
  <si>
    <t>e.g.</t>
    <phoneticPr fontId="15" type="noConversion"/>
  </si>
  <si>
    <t>Insurance</t>
    <phoneticPr fontId="15" type="noConversion"/>
  </si>
  <si>
    <t>(2)</t>
    <phoneticPr fontId="15" type="noConversion"/>
  </si>
  <si>
    <t>PENSIONS :-</t>
    <phoneticPr fontId="15" type="noConversion"/>
  </si>
  <si>
    <t>Pensions received (other than from a properly</t>
    <phoneticPr fontId="15" type="noConversion"/>
  </si>
  <si>
    <t>constitued persion fund) including</t>
    <phoneticPr fontId="15" type="noConversion"/>
  </si>
  <si>
    <t>superannuation allowances, superannuation</t>
    <phoneticPr fontId="15" type="noConversion"/>
  </si>
  <si>
    <t>gratuities, or similar payments</t>
    <phoneticPr fontId="15" type="noConversion"/>
  </si>
  <si>
    <t>As Director :</t>
    <phoneticPr fontId="15" type="noConversion"/>
  </si>
  <si>
    <t>As Executive :</t>
    <phoneticPr fontId="15" type="noConversion"/>
  </si>
  <si>
    <t>(3)</t>
    <phoneticPr fontId="15" type="noConversion"/>
  </si>
  <si>
    <t>COMPENSATION FOR LOSS OF OFFICE</t>
    <phoneticPr fontId="15" type="noConversion"/>
  </si>
  <si>
    <t>NIL</t>
    <phoneticPr fontId="15" type="noConversion"/>
  </si>
  <si>
    <t>By the Company or a Subsidiary thereof</t>
    <phoneticPr fontId="15" type="noConversion"/>
  </si>
  <si>
    <t>By any other pension under a guarantee from or on a security provided by the Company or a Subsidiary thereof</t>
    <phoneticPr fontId="15" type="noConversion"/>
  </si>
  <si>
    <t>(B)</t>
    <phoneticPr fontId="15" type="noConversion"/>
  </si>
  <si>
    <t>LOANS :-</t>
    <phoneticPr fontId="15" type="noConversion"/>
  </si>
  <si>
    <t>Loans received during the year</t>
    <phoneticPr fontId="15" type="noConversion"/>
  </si>
  <si>
    <t>Less: Loans included above repaid during the year</t>
    <phoneticPr fontId="15" type="noConversion"/>
  </si>
  <si>
    <t>Add: Loans made in previous year(s) still</t>
    <phoneticPr fontId="15" type="noConversion"/>
  </si>
  <si>
    <t>outstanding at balance sheet date</t>
    <phoneticPr fontId="15" type="noConversion"/>
  </si>
  <si>
    <t>Sign:</t>
    <phoneticPr fontId="11" type="noConversion"/>
  </si>
  <si>
    <t>Date:</t>
    <phoneticPr fontId="11" type="noConversion"/>
  </si>
  <si>
    <t xml:space="preserve">to be disclosed under Section </t>
    <phoneticPr fontId="11" type="noConversion"/>
  </si>
  <si>
    <t xml:space="preserve"> of the Companies Ordinance;</t>
    <phoneticPr fontId="11" type="noConversion"/>
  </si>
  <si>
    <t xml:space="preserve">which were outstanding at the expiration thereof as required to be disclosed under Section </t>
    <phoneticPr fontId="11" type="noConversion"/>
  </si>
  <si>
    <t xml:space="preserve"> of the Companies Ordinance.</t>
    <phoneticPr fontId="11" type="noConversion"/>
  </si>
  <si>
    <t>.</t>
    <phoneticPr fontId="11" type="noConversion"/>
  </si>
  <si>
    <t>AUDIT CONFIRMATION</t>
  </si>
  <si>
    <t>FOR DIRECTORS AND RELATED PARTIES</t>
  </si>
  <si>
    <t xml:space="preserve">Name of director / related party: </t>
    <phoneticPr fontId="11" type="noConversion"/>
  </si>
  <si>
    <t>Name of the company under examination:</t>
    <phoneticPr fontId="11" type="noConversion"/>
  </si>
  <si>
    <t>Relationship with the company concerned:</t>
    <phoneticPr fontId="11" type="noConversion"/>
  </si>
  <si>
    <t>We find that the transactions / balances on your account are as follows:-</t>
    <phoneticPr fontId="11" type="noConversion"/>
  </si>
  <si>
    <t xml:space="preserve">In the course of our regular examination of the account of the above company for the </t>
    <phoneticPr fontId="11" type="noConversion"/>
  </si>
  <si>
    <t>Terms of the account</t>
  </si>
  <si>
    <t>ended</t>
    <phoneticPr fontId="11" type="noConversion"/>
  </si>
  <si>
    <t>Total amount of</t>
  </si>
  <si>
    <t>Amount outstanding at</t>
  </si>
  <si>
    <t>including security,</t>
  </si>
  <si>
    <t>Account nature</t>
  </si>
  <si>
    <t>transactions / Maximum</t>
  </si>
  <si>
    <t xml:space="preserve">end of year: </t>
    <phoneticPr fontId="11" type="noConversion"/>
  </si>
  <si>
    <t>interest rate and</t>
  </si>
  <si>
    <r>
      <t>advance* during the yea</t>
    </r>
    <r>
      <rPr>
        <sz val="10.5"/>
        <color theme="1"/>
        <rFont val="Times New Roman"/>
        <family val="1"/>
      </rPr>
      <t>r</t>
    </r>
  </si>
  <si>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</si>
  <si>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</si>
  <si>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</si>
  <si>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</si>
  <si>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</si>
  <si>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</si>
  <si>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</si>
  <si>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</si>
  <si>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1" type="noConversion"/>
  </si>
  <si>
    <t>below and returning this letter to us in the enclosed envelope.</t>
    <phoneticPr fontId="11" type="noConversion"/>
  </si>
  <si>
    <t xml:space="preserve">If the above information is not in agreement with your records, please write to us direct giving details </t>
    <phoneticPr fontId="11" type="noConversion"/>
  </si>
  <si>
    <t>of the difference.</t>
    <phoneticPr fontId="11" type="noConversion"/>
  </si>
  <si>
    <t>Yours faithfully,</t>
  </si>
  <si>
    <t>Confirmed:</t>
    <phoneticPr fontId="11" type="noConversion"/>
  </si>
  <si>
    <t>Date:</t>
  </si>
  <si>
    <t xml:space="preserve">                     </t>
  </si>
  <si>
    <t xml:space="preserve">FILE NO. : </t>
    <phoneticPr fontId="11" type="noConversion"/>
  </si>
  <si>
    <t>COMPUTATION</t>
    <phoneticPr fontId="15" type="noConversion"/>
  </si>
  <si>
    <t>PROFITS TAX</t>
    <phoneticPr fontId="15" type="noConversion"/>
  </si>
  <si>
    <t xml:space="preserve">(Basis Period: </t>
    <phoneticPr fontId="11" type="noConversion"/>
  </si>
  <si>
    <t>HK$</t>
    <phoneticPr fontId="15" type="noConversion"/>
  </si>
  <si>
    <t>Per Income Statement</t>
    <phoneticPr fontId="15" type="noConversion"/>
  </si>
  <si>
    <t>Inactive?</t>
    <phoneticPr fontId="11" type="noConversion"/>
  </si>
  <si>
    <t>If inactive = 1, not inactive = 0</t>
    <phoneticPr fontId="11" type="noConversion"/>
  </si>
  <si>
    <t xml:space="preserve">   attached herewith</t>
    <phoneticPr fontId="15" type="noConversion"/>
  </si>
  <si>
    <t xml:space="preserve">For the Year of Assessment </t>
    <phoneticPr fontId="11" type="noConversion"/>
  </si>
  <si>
    <t xml:space="preserve">Note: The Company was inactive during the </t>
    <phoneticPr fontId="11" type="noConversion"/>
  </si>
  <si>
    <t xml:space="preserve">for the year of assessment </t>
    <phoneticPr fontId="11" type="noConversion"/>
  </si>
  <si>
    <t>TAX LOSS B/F</t>
    <phoneticPr fontId="11" type="noConversion"/>
  </si>
  <si>
    <t xml:space="preserve">FINAL ASSESSMENT </t>
    <phoneticPr fontId="11" type="noConversion"/>
  </si>
  <si>
    <t>Final assessment:-</t>
    <phoneticPr fontId="15" type="noConversion"/>
  </si>
  <si>
    <t xml:space="preserve"> AND PROVISIONAL PAYMENT </t>
    <phoneticPr fontId="11" type="noConversion"/>
  </si>
  <si>
    <t>Tax @ 16.5%</t>
    <phoneticPr fontId="15" type="noConversion"/>
  </si>
  <si>
    <t>/</t>
    <phoneticPr fontId="11" type="noConversion"/>
  </si>
  <si>
    <t xml:space="preserve">Assessable profit for the year of assessment </t>
    <phoneticPr fontId="11" type="noConversion"/>
  </si>
  <si>
    <t>Provisional payment:-</t>
    <phoneticPr fontId="15" type="noConversion"/>
  </si>
  <si>
    <t>Total tax payable</t>
    <phoneticPr fontId="15" type="noConversion"/>
  </si>
  <si>
    <t>Dr.</t>
    <phoneticPr fontId="15" type="noConversion"/>
  </si>
  <si>
    <t>Cr.</t>
    <phoneticPr fontId="15" type="noConversion"/>
  </si>
  <si>
    <t>Tax expenses</t>
    <phoneticPr fontId="15" type="noConversion"/>
  </si>
  <si>
    <t>Tax payable</t>
    <phoneticPr fontId="15" type="noConversion"/>
  </si>
  <si>
    <t>Notes</t>
    <phoneticPr fontId="15" type="noConversion"/>
  </si>
  <si>
    <t>Turnover</t>
    <phoneticPr fontId="15" type="noConversion"/>
  </si>
  <si>
    <t>Cost of turnover</t>
    <phoneticPr fontId="15" type="noConversion"/>
  </si>
  <si>
    <t>Gross profit</t>
    <phoneticPr fontId="11" type="noConversion"/>
  </si>
  <si>
    <t>Other turnover</t>
    <phoneticPr fontId="15" type="noConversion"/>
  </si>
  <si>
    <t>Administrative expenses</t>
    <phoneticPr fontId="15" type="noConversion"/>
  </si>
  <si>
    <t>Taxation</t>
    <phoneticPr fontId="15" type="noConversion"/>
  </si>
  <si>
    <t xml:space="preserve">  The accompanying notes form an integral part of the financial statements.</t>
    <phoneticPr fontId="11" type="noConversion"/>
  </si>
  <si>
    <t xml:space="preserve">  Property, plant and equipment</t>
    <phoneticPr fontId="11" type="noConversion"/>
  </si>
  <si>
    <t>CURRENT ASSETS</t>
    <phoneticPr fontId="15" type="noConversion"/>
  </si>
  <si>
    <t>CURRENT LIABILITIES</t>
    <phoneticPr fontId="15" type="noConversion"/>
  </si>
  <si>
    <t>CAPITAL AND RESERVES</t>
    <phoneticPr fontId="15" type="noConversion"/>
  </si>
  <si>
    <t xml:space="preserve">  Issued capital</t>
    <phoneticPr fontId="11" type="noConversion"/>
  </si>
  <si>
    <t xml:space="preserve">  Other fund from a shareholder</t>
    <phoneticPr fontId="11" type="noConversion"/>
  </si>
  <si>
    <t>Audit and other professional fees</t>
    <phoneticPr fontId="11" type="noConversion"/>
  </si>
  <si>
    <t>Commission expenses</t>
    <phoneticPr fontId="11" type="noConversion"/>
  </si>
  <si>
    <t>Depreciation expenses</t>
  </si>
  <si>
    <t>this year</t>
    <phoneticPr fontId="11" type="noConversion"/>
  </si>
  <si>
    <t>Rental expenses</t>
  </si>
  <si>
    <t>Director's remuneration</t>
  </si>
  <si>
    <t xml:space="preserve"> - Fees</t>
  </si>
  <si>
    <t xml:space="preserve"> - Other emoluments</t>
  </si>
  <si>
    <t>PROPERTY, PLANT AND EQUIPMENT</t>
  </si>
  <si>
    <t>Total</t>
  </si>
  <si>
    <t>Cost</t>
  </si>
  <si>
    <t>Addition</t>
  </si>
  <si>
    <t>Accumulated depreciation</t>
  </si>
  <si>
    <t>Net Book Value</t>
  </si>
  <si>
    <t>MATERIAL RELATED PARTY TRANSACTIONS</t>
    <phoneticPr fontId="11" type="noConversion"/>
  </si>
  <si>
    <t>director</t>
    <phoneticPr fontId="11" type="noConversion"/>
  </si>
  <si>
    <t xml:space="preserve">75% Tax deduction, limit to </t>
    <phoneticPr fontId="11" type="noConversion"/>
  </si>
  <si>
    <t>Business nature</t>
    <phoneticPr fontId="11" type="noConversion"/>
  </si>
  <si>
    <t>Name of 1st director</t>
    <phoneticPr fontId="11" type="noConversion"/>
  </si>
  <si>
    <t>Name of 2nd director</t>
    <phoneticPr fontId="11" type="noConversion"/>
  </si>
  <si>
    <t>Name of 3rd director</t>
    <phoneticPr fontId="11" type="noConversion"/>
  </si>
  <si>
    <t>Name of 4th director</t>
    <phoneticPr fontId="11" type="noConversion"/>
  </si>
  <si>
    <t>Name of 5th director</t>
    <phoneticPr fontId="11" type="noConversion"/>
  </si>
  <si>
    <t>Name of 6th director</t>
    <phoneticPr fontId="11" type="noConversion"/>
  </si>
  <si>
    <t>last year</t>
    <phoneticPr fontId="11" type="noConversion"/>
  </si>
  <si>
    <t>Due from/(to)</t>
    <phoneticPr fontId="11" type="noConversion"/>
  </si>
  <si>
    <t>Emolument</t>
    <phoneticPr fontId="11" type="noConversion"/>
  </si>
  <si>
    <t>director</t>
  </si>
  <si>
    <t>Appointed</t>
    <phoneticPr fontId="11" type="noConversion"/>
  </si>
  <si>
    <t>Resigned</t>
    <phoneticPr fontId="11" type="noConversion"/>
  </si>
  <si>
    <t>if 1st audit, no need fill</t>
    <phoneticPr fontId="11" type="noConversion"/>
  </si>
  <si>
    <t>if not, fill here</t>
    <phoneticPr fontId="11" type="noConversion"/>
  </si>
  <si>
    <t>Existing director</t>
    <phoneticPr fontId="11" type="noConversion"/>
  </si>
  <si>
    <t>DENG DENG GUI</t>
    <phoneticPr fontId="11" type="noConversion"/>
  </si>
  <si>
    <t>Due from a director</t>
  </si>
  <si>
    <t>Due from a director</t>
    <phoneticPr fontId="11" type="noConversion"/>
  </si>
  <si>
    <t>Due to a director</t>
    <phoneticPr fontId="11" type="noConversion"/>
  </si>
  <si>
    <t>Change of address?</t>
    <phoneticPr fontId="11" type="noConversion"/>
  </si>
  <si>
    <t>Last address</t>
    <phoneticPr fontId="11" type="noConversion"/>
  </si>
  <si>
    <t>Change date</t>
    <phoneticPr fontId="11" type="noConversion"/>
  </si>
  <si>
    <t>1=changed, 0=no change</t>
    <phoneticPr fontId="11"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</si>
  <si>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1" type="noConversion"/>
  </si>
  <si>
    <t>Tax @ 16.5%</t>
    <phoneticPr fontId="15" type="noConversion"/>
  </si>
  <si>
    <t>Eric K.H. Tang</t>
  </si>
  <si>
    <t>Disposal</t>
    <phoneticPr fontId="11" type="noConversion"/>
  </si>
  <si>
    <t>Auditor's sign name</t>
    <phoneticPr fontId="11" type="noConversion"/>
  </si>
  <si>
    <t>PC number</t>
    <phoneticPr fontId="11" type="noConversion"/>
  </si>
  <si>
    <t>(852)35823310</t>
  </si>
  <si>
    <t>(852)37569536</t>
  </si>
  <si>
    <t>IRD Letter signer</t>
    <phoneticPr fontId="11" type="noConversion"/>
  </si>
  <si>
    <t>Formation fees</t>
    <phoneticPr fontId="11" type="noConversion"/>
  </si>
  <si>
    <t>Has holding co.?</t>
    <phoneticPr fontId="11" type="noConversion"/>
  </si>
  <si>
    <t>Name of immediate holding co.</t>
    <phoneticPr fontId="11" type="noConversion"/>
  </si>
  <si>
    <t>Name of ultimate holding co.</t>
    <phoneticPr fontId="11" type="noConversion"/>
  </si>
  <si>
    <t>Eric Tang CPA</t>
    <phoneticPr fontId="11" type="noConversion"/>
  </si>
  <si>
    <t>Finance costs</t>
    <phoneticPr fontId="11" type="noConversion"/>
  </si>
  <si>
    <t>Interest expenses</t>
    <phoneticPr fontId="11" type="noConversion"/>
  </si>
  <si>
    <t>Related directors</t>
    <phoneticPr fontId="11" type="noConversion"/>
  </si>
  <si>
    <t>Leung Chung Pak
Chan Pui Yee</t>
    <phoneticPr fontId="11" type="noConversion"/>
  </si>
  <si>
    <t>Flying King Investment Limited
 - Turnover</t>
    <phoneticPr fontId="11" type="noConversion"/>
  </si>
  <si>
    <t>Flying King Investment Limited
 - Other income</t>
    <phoneticPr fontId="11" type="noConversion"/>
  </si>
  <si>
    <t>Leung Chung Pak
Chan Pui Yee</t>
    <phoneticPr fontId="11" type="noConversion"/>
  </si>
  <si>
    <t>Heaven Sent Enterprises Limited
 - Turnover</t>
    <phoneticPr fontId="11" type="noConversion"/>
  </si>
  <si>
    <t>Leung Chung Pak
Chan Pui Yee</t>
    <phoneticPr fontId="11" type="noConversion"/>
  </si>
  <si>
    <t xml:space="preserve">  Investment in a subsidiary</t>
    <phoneticPr fontId="11" type="noConversion"/>
  </si>
  <si>
    <t>SOWA CO., LTD</t>
    <phoneticPr fontId="11" type="noConversion"/>
  </si>
  <si>
    <t>Gain on disposal of an associate</t>
    <phoneticPr fontId="11" type="noConversion"/>
  </si>
  <si>
    <t>Bad debt</t>
    <phoneticPr fontId="11" type="noConversion"/>
  </si>
  <si>
    <t xml:space="preserve">  Investment in an associate</t>
    <phoneticPr fontId="11" type="noConversion"/>
  </si>
  <si>
    <t>EUR</t>
    <phoneticPr fontId="11" type="noConversion"/>
  </si>
  <si>
    <t>Hong Kong Dollars</t>
  </si>
  <si>
    <t>Hong Kong Dollars</t>
    <phoneticPr fontId="11" type="noConversion"/>
  </si>
  <si>
    <t>HK$</t>
  </si>
  <si>
    <t>HK$</t>
    <phoneticPr fontId="11" type="noConversion"/>
  </si>
  <si>
    <t>港元</t>
  </si>
  <si>
    <t>港元</t>
    <phoneticPr fontId="11" type="noConversion"/>
  </si>
  <si>
    <t>歐元</t>
    <phoneticPr fontId="11" type="noConversion"/>
  </si>
  <si>
    <t>ANTHONY HO &amp; COMPANY Certified Public Accountants</t>
    <phoneticPr fontId="11" type="noConversion"/>
  </si>
  <si>
    <t>Suite 608, 6/F, Weswick Commercial Building,</t>
    <phoneticPr fontId="11" type="noConversion"/>
  </si>
  <si>
    <t>147-151 Queen's Road East, Wanchai, Hong Kong</t>
    <phoneticPr fontId="11" type="noConversion"/>
  </si>
  <si>
    <t>COMMITMENTS UNDER OPERATING LEASES</t>
    <phoneticPr fontId="11" type="noConversion"/>
  </si>
  <si>
    <t>Not later than one year</t>
    <phoneticPr fontId="11" type="noConversion"/>
  </si>
  <si>
    <t>Later than one year</t>
    <phoneticPr fontId="11" type="noConversion"/>
  </si>
  <si>
    <t>HK$1,000,000 5 years loan</t>
    <phoneticPr fontId="11" type="noConversion"/>
  </si>
  <si>
    <t xml:space="preserve"> - fully repayable in December 2015</t>
    <phoneticPr fontId="11" type="noConversion"/>
  </si>
  <si>
    <t>HK$1,065,087 2 years loan</t>
    <phoneticPr fontId="11" type="noConversion"/>
  </si>
  <si>
    <t xml:space="preserve"> - fully repayable in 25 June, 2019</t>
    <phoneticPr fontId="11" type="noConversion"/>
  </si>
  <si>
    <t>The Company had the following total future minimum lease payments payable under non-cancellable operating leases for land and buildings:</t>
    <phoneticPr fontId="11" type="noConversion"/>
  </si>
  <si>
    <t>The bank loans were secured by personal guarantees given by the Company's directors and guarantee issued by the Government of the Hong Kong Special Administrative Region.</t>
    <phoneticPr fontId="11" type="noConversion"/>
  </si>
  <si>
    <t>ADDITIONS TO NON-CURRENT ASSETS</t>
    <phoneticPr fontId="15" type="noConversion"/>
  </si>
  <si>
    <t>Cost</t>
    <phoneticPr fontId="15" type="noConversion"/>
  </si>
  <si>
    <t>20% pool</t>
    <phoneticPr fontId="15" type="noConversion"/>
  </si>
  <si>
    <t>and software</t>
    <phoneticPr fontId="15" type="noConversion"/>
  </si>
  <si>
    <t>Additions to fixed assets</t>
    <phoneticPr fontId="15" type="noConversion"/>
  </si>
  <si>
    <t>Furniture, fixtures and equipment</t>
    <phoneticPr fontId="15" type="noConversion"/>
  </si>
  <si>
    <t xml:space="preserve">Computer hardware </t>
    <phoneticPr fontId="15" type="noConversion"/>
  </si>
  <si>
    <t>Computer hardware and software</t>
    <phoneticPr fontId="15" type="noConversion"/>
  </si>
  <si>
    <t>ADD:</t>
    <phoneticPr fontId="11" type="noConversion"/>
  </si>
  <si>
    <t>Depreciation</t>
    <phoneticPr fontId="11" type="noConversion"/>
  </si>
  <si>
    <t>Penalty</t>
    <phoneticPr fontId="11" type="noConversion"/>
  </si>
  <si>
    <t>DEPRECIATION ALLOWANCE SCHEDULE</t>
    <phoneticPr fontId="15" type="noConversion"/>
  </si>
  <si>
    <t>20% Pool</t>
    <phoneticPr fontId="15" type="noConversion"/>
  </si>
  <si>
    <t>Allowance</t>
    <phoneticPr fontId="15" type="noConversion"/>
  </si>
  <si>
    <t>W.D.V. b/f</t>
    <phoneticPr fontId="15" type="noConversion"/>
  </si>
  <si>
    <t>Additions</t>
    <phoneticPr fontId="15" type="noConversion"/>
  </si>
  <si>
    <t>I.A. - 60%</t>
    <phoneticPr fontId="15" type="noConversion"/>
  </si>
  <si>
    <t>A.A.</t>
    <phoneticPr fontId="15" type="noConversion"/>
  </si>
  <si>
    <t>W.D.V. c/f</t>
    <phoneticPr fontId="15" type="noConversion"/>
  </si>
  <si>
    <t>COMMERCIAL BUILDING ALLOWANCE SCHEDULE</t>
    <phoneticPr fontId="15" type="noConversion"/>
  </si>
  <si>
    <t>Residual value b/f-Addition before Year of Assessment 2002/2003</t>
    <phoneticPr fontId="15" type="noConversion"/>
  </si>
  <si>
    <t>Residual value b/f-Addition on Year of Assessment 2002/2003</t>
    <phoneticPr fontId="15"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</si>
  <si>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5" type="noConversion"/>
  </si>
  <si>
    <t>Additions 2003/2004</t>
    <phoneticPr fontId="15" type="noConversion"/>
  </si>
  <si>
    <t>Additions 2004/2005</t>
    <phoneticPr fontId="15" type="noConversion"/>
  </si>
  <si>
    <t>Additions 2007/2008</t>
    <phoneticPr fontId="15" type="noConversion"/>
  </si>
  <si>
    <t>Deduction (HK$27,105 x 4%)</t>
    <phoneticPr fontId="15" type="noConversion"/>
  </si>
  <si>
    <t>W.D.V. c/f</t>
    <phoneticPr fontId="15" type="noConversion"/>
  </si>
  <si>
    <t>Computer hardware and software</t>
    <phoneticPr fontId="11" type="noConversion"/>
  </si>
  <si>
    <t>Depreciation allowance</t>
    <phoneticPr fontId="11" type="noConversion"/>
  </si>
  <si>
    <t>Interest expenses (capital in nature)</t>
    <phoneticPr fontId="11" type="noConversion"/>
  </si>
  <si>
    <t>Company set-up fees</t>
    <phoneticPr fontId="11" type="noConversion"/>
  </si>
  <si>
    <t>Certified Public Accountant (Practising)</t>
  </si>
  <si>
    <t>NON-CURRENT ASSETS</t>
    <phoneticPr fontId="15" type="noConversion"/>
  </si>
  <si>
    <t>MOP ENTERTAINMENT LIMITED</t>
    <phoneticPr fontId="11" type="noConversion"/>
  </si>
  <si>
    <t>萬達比奧娛樂有限公司</t>
    <phoneticPr fontId="11" type="noConversion"/>
  </si>
  <si>
    <t>UNIT 1213, FLOOR 12, WING ON PLAZA, 62 MODY ROAD, TSIM SHA TSUI, HONG KONG</t>
    <phoneticPr fontId="11" type="noConversion"/>
  </si>
  <si>
    <t>trading of toys</t>
    <phoneticPr fontId="11" type="noConversion"/>
  </si>
  <si>
    <t>62513946-000</t>
    <phoneticPr fontId="11" type="noConversion"/>
  </si>
  <si>
    <t>Max Anton Benjamin VOIGT</t>
    <phoneticPr fontId="11" type="noConversion"/>
  </si>
  <si>
    <t>their</t>
  </si>
  <si>
    <t>2016/17</t>
    <phoneticPr fontId="11" type="noConversion"/>
  </si>
  <si>
    <t>Staff cost</t>
    <phoneticPr fontId="11" type="noConversion"/>
  </si>
  <si>
    <t>Rental commitment?</t>
    <phoneticPr fontId="11" type="noConversion"/>
  </si>
  <si>
    <t>Tang Ka Ho</t>
  </si>
  <si>
    <t>鄧家豪執業會計師</t>
    <phoneticPr fontId="11" type="noConversion"/>
  </si>
  <si>
    <t>55542148-000</t>
    <phoneticPr fontId="11" type="noConversion"/>
  </si>
  <si>
    <t>22/F, On Hong Commercial Building, 145 Hennessy Road, Wanchai, Hong Kong</t>
    <phoneticPr fontId="11" type="noConversion"/>
  </si>
  <si>
    <t>香港灣仔軒尼詩道145號安康商業大廈22樓</t>
    <phoneticPr fontId="11" type="noConversion"/>
  </si>
  <si>
    <t>P06475</t>
    <phoneticPr fontId="11" type="noConversion"/>
  </si>
  <si>
    <r>
      <t xml:space="preserve">After </t>
    </r>
    <r>
      <rPr>
        <sz val="11"/>
        <color theme="1"/>
        <rFont val="Calibri"/>
        <family val="2"/>
        <scheme val="minor"/>
      </rPr>
      <t>c</t>
    </r>
    <r>
      <rPr>
        <sz val="11"/>
        <color theme="1"/>
        <rFont val="Calibri"/>
        <family val="2"/>
        <scheme val="minor"/>
      </rPr>
      <t>harging/(crediting) -</t>
    </r>
    <phoneticPr fontId="11" type="noConversion"/>
  </si>
  <si>
    <t>Operating lease payments represent rentals payable by the company for its office premises. Lease is negotiated for a term of 2 years with fixed rental amounts.</t>
    <phoneticPr fontId="11" type="noConversion"/>
  </si>
  <si>
    <r>
      <t>F</t>
    </r>
    <r>
      <rPr>
        <sz val="11"/>
        <color theme="1"/>
        <rFont val="Calibri"/>
        <family val="2"/>
        <scheme val="minor"/>
      </rPr>
      <t>urniture and fixtures</t>
    </r>
    <phoneticPr fontId="11" type="noConversion"/>
  </si>
  <si>
    <r>
      <t>M</t>
    </r>
    <r>
      <rPr>
        <sz val="11"/>
        <color theme="1"/>
        <rFont val="Calibri"/>
        <family val="2"/>
        <scheme val="minor"/>
      </rPr>
      <t>usical equipment</t>
    </r>
    <phoneticPr fontId="11" type="noConversion"/>
  </si>
  <si>
    <r>
      <t>O</t>
    </r>
    <r>
      <rPr>
        <sz val="11"/>
        <color theme="1"/>
        <rFont val="Calibri"/>
        <family val="2"/>
        <scheme val="minor"/>
      </rPr>
      <t>ffice equipment</t>
    </r>
    <phoneticPr fontId="11" type="noConversion"/>
  </si>
  <si>
    <r>
      <rPr>
        <sz val="11"/>
        <color theme="1"/>
        <rFont val="Calibri"/>
        <family val="2"/>
        <scheme val="minor"/>
      </rPr>
      <t>25</t>
    </r>
    <r>
      <rPr>
        <sz val="11"/>
        <color theme="1"/>
        <rFont val="Calibri"/>
        <family val="2"/>
        <scheme val="minor"/>
      </rPr>
      <t>%</t>
    </r>
    <phoneticPr fontId="11" type="noConversion"/>
  </si>
  <si>
    <t>OBLIGATIONS UNDER FINANCE LEASES</t>
    <phoneticPr fontId="11" type="noConversion"/>
  </si>
  <si>
    <t>The present value of lease payments under finance leases are as follows:</t>
    <phoneticPr fontId="11" type="noConversion"/>
  </si>
  <si>
    <t>Not later than one year</t>
    <phoneticPr fontId="11" type="noConversion"/>
  </si>
  <si>
    <t>Later than one year</t>
    <phoneticPr fontId="11"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</si>
  <si>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1" type="noConversion"/>
  </si>
  <si>
    <t>LOSS FROM OPERATIONS AND BEFORE TAXATION</t>
  </si>
  <si>
    <t>Loss from operations and before taxation</t>
  </si>
  <si>
    <t>Exchange gain</t>
  </si>
  <si>
    <t>As at 18 December, 2013</t>
  </si>
  <si>
    <t>As at 31 July, 2016</t>
  </si>
  <si>
    <t>Charge for the period</t>
  </si>
  <si>
    <t>BANK LOAN</t>
  </si>
  <si>
    <r>
      <t>D</t>
    </r>
    <r>
      <rPr>
        <sz val="11"/>
        <color theme="1"/>
        <rFont val="Calibri"/>
        <family val="2"/>
        <scheme val="minor"/>
      </rPr>
      <t>epreciation rate</t>
    </r>
    <phoneticPr fontId="11" type="noConversion"/>
  </si>
  <si>
    <r>
      <t>T</t>
    </r>
    <r>
      <rPr>
        <sz val="11"/>
        <color theme="1"/>
        <rFont val="Calibri"/>
        <family val="2"/>
        <scheme val="minor"/>
      </rPr>
      <t>his year</t>
    </r>
    <phoneticPr fontId="11" type="noConversion"/>
  </si>
  <si>
    <r>
      <t>l</t>
    </r>
    <r>
      <rPr>
        <sz val="11"/>
        <color theme="1"/>
        <rFont val="Calibri"/>
        <family val="2"/>
        <scheme val="minor"/>
      </rPr>
      <t>ast year/period</t>
    </r>
    <phoneticPr fontId="11" type="noConversion"/>
  </si>
  <si>
    <t>As at 31 July, 2015</t>
    <phoneticPr fontId="11" type="noConversion"/>
  </si>
  <si>
    <t>this year</t>
    <phoneticPr fontId="11" type="noConversion"/>
  </si>
  <si>
    <t>last year</t>
    <phoneticPr fontId="11" type="noConversion"/>
  </si>
  <si>
    <t>this year</t>
    <phoneticPr fontId="11" type="noConversion"/>
  </si>
  <si>
    <t xml:space="preserve">  Investment on trusts</t>
  </si>
  <si>
    <t>NET CURRENT LIABILITIES</t>
  </si>
  <si>
    <t>NET LIABILITIES</t>
  </si>
  <si>
    <t xml:space="preserve">  Accumulated losses</t>
  </si>
  <si>
    <t>Loss after taxation</t>
  </si>
  <si>
    <t>Other operating expenses</t>
    <phoneticPr fontId="11" type="noConversion"/>
  </si>
  <si>
    <t>This year</t>
    <phoneticPr fontId="11" type="noConversion"/>
  </si>
  <si>
    <t>last year</t>
    <phoneticPr fontId="11" type="noConversion"/>
  </si>
  <si>
    <t>To record the tax expenses for the period</t>
  </si>
  <si>
    <t>Matthew S.H. Law</t>
  </si>
  <si>
    <t>羅城熙執業會計師</t>
  </si>
  <si>
    <t>Law Shing Hei</t>
  </si>
  <si>
    <t>P06530</t>
  </si>
  <si>
    <t>Unit 402, 4/F., Fourseas Building, No. 208 Nathan Road, Kowloon</t>
  </si>
  <si>
    <t>九龍彌敦道208號四海大廈4樓402室</t>
  </si>
  <si>
    <t>(852)96621161</t>
  </si>
  <si>
    <t>55668582-000</t>
  </si>
  <si>
    <t>Matthew Law CPA</t>
  </si>
  <si>
    <t>Cessation during this period?</t>
    <phoneticPr fontId="11" type="noConversion"/>
  </si>
  <si>
    <t>1=yes, 0=no</t>
    <phoneticPr fontId="11" type="noConversion"/>
  </si>
  <si>
    <r>
      <t>D</t>
    </r>
    <r>
      <rPr>
        <sz val="11"/>
        <color theme="1"/>
        <rFont val="Calibri"/>
        <family val="2"/>
        <scheme val="minor"/>
      </rPr>
      <t>onation expenses</t>
    </r>
    <phoneticPr fontId="11" type="noConversion"/>
  </si>
  <si>
    <t>Functional currency</t>
    <phoneticPr fontId="11" type="noConversion"/>
  </si>
  <si>
    <t>United States Dollars</t>
    <phoneticPr fontId="11" type="noConversion"/>
  </si>
  <si>
    <t>US$</t>
    <phoneticPr fontId="11" type="noConversion"/>
  </si>
  <si>
    <t>美元</t>
    <phoneticPr fontId="11" type="noConversion"/>
  </si>
  <si>
    <r>
      <t xml:space="preserve"> - </t>
    </r>
    <r>
      <rPr>
        <sz val="11"/>
        <color theme="1"/>
        <rFont val="Calibri"/>
        <family val="2"/>
        <scheme val="minor"/>
      </rPr>
      <t>Mandatory Provident Fund</t>
    </r>
    <phoneticPr fontId="11" type="noConversion"/>
  </si>
  <si>
    <t>0=Inactive, 1 = general trading, 2 = services, 3 = trading and services</t>
  </si>
  <si>
    <t xml:space="preserve">  Intangible assets</t>
    <phoneticPr fontId="11" type="noConversion"/>
  </si>
  <si>
    <t>INVESTMENT IN AN ASSOCIATE</t>
  </si>
  <si>
    <r>
      <t>U</t>
    </r>
    <r>
      <rPr>
        <sz val="11"/>
        <color theme="1"/>
        <rFont val="Calibri"/>
        <family val="2"/>
        <scheme val="minor"/>
      </rPr>
      <t>nlisted shares, at cost</t>
    </r>
    <phoneticPr fontId="11" type="noConversion"/>
  </si>
  <si>
    <r>
      <t>I</t>
    </r>
    <r>
      <rPr>
        <sz val="11"/>
        <color theme="1"/>
        <rFont val="Calibri"/>
        <family val="2"/>
        <scheme val="minor"/>
      </rPr>
      <t>mpairment loss</t>
    </r>
    <phoneticPr fontId="11" type="noConversion"/>
  </si>
  <si>
    <r>
      <t>S</t>
    </r>
    <r>
      <rPr>
        <sz val="11"/>
        <color theme="1"/>
        <rFont val="Calibri"/>
        <family val="2"/>
        <scheme val="minor"/>
      </rPr>
      <t>hare of loss of an associate</t>
    </r>
    <phoneticPr fontId="11" type="noConversion"/>
  </si>
  <si>
    <t xml:space="preserve">Percentage of </t>
    <phoneticPr fontId="11" type="noConversion"/>
  </si>
  <si>
    <t>ownership interet</t>
    <phoneticPr fontId="11" type="noConversion"/>
  </si>
  <si>
    <t xml:space="preserve">Particulars of </t>
    <phoneticPr fontId="11" type="noConversion"/>
  </si>
  <si>
    <t xml:space="preserve">Place of </t>
    <phoneticPr fontId="11" type="noConversion"/>
  </si>
  <si>
    <t>attributable to</t>
    <phoneticPr fontId="11" type="noConversion"/>
  </si>
  <si>
    <t>Principal</t>
    <phoneticPr fontId="11" type="noConversion"/>
  </si>
  <si>
    <t>Name</t>
    <phoneticPr fontId="11" type="noConversion"/>
  </si>
  <si>
    <t>issue shares held</t>
    <phoneticPr fontId="11" type="noConversion"/>
  </si>
  <si>
    <t>incorporation</t>
    <phoneticPr fontId="11" type="noConversion"/>
  </si>
  <si>
    <t>activities</t>
    <phoneticPr fontId="11" type="noConversion"/>
  </si>
  <si>
    <r>
      <t>A</t>
    </r>
    <r>
      <rPr>
        <sz val="11"/>
        <color theme="1"/>
        <rFont val="Calibri"/>
        <family val="2"/>
        <scheme val="minor"/>
      </rPr>
      <t>BC Limited</t>
    </r>
    <phoneticPr fontId="11" type="noConversion"/>
  </si>
  <si>
    <t>Ordinary</t>
    <phoneticPr fontId="11" type="noConversion"/>
  </si>
  <si>
    <t>PRC</t>
    <phoneticPr fontId="11" type="noConversion"/>
  </si>
  <si>
    <t>24 (Indirect)</t>
    <phoneticPr fontId="11" type="noConversion"/>
  </si>
  <si>
    <t>Hotel Operation</t>
    <phoneticPr fontId="11" type="noConversion"/>
  </si>
  <si>
    <t>the Company</t>
    <phoneticPr fontId="11" type="noConversion"/>
  </si>
  <si>
    <t>Particulars of the principal associate is as follows:</t>
    <phoneticPr fontId="11" type="noConversion"/>
  </si>
  <si>
    <t>Immediate holding (place of incoporation)</t>
    <phoneticPr fontId="11" type="noConversion"/>
  </si>
  <si>
    <t>Ultimate holding (place of incoporation)</t>
    <phoneticPr fontId="11" type="noConversion"/>
  </si>
  <si>
    <t xml:space="preserve">Any allotment of shares during the </t>
    <phoneticPr fontId="11" type="noConversion"/>
  </si>
  <si>
    <t>reporting period?</t>
    <phoneticPr fontId="11" type="noConversion"/>
  </si>
  <si>
    <t>Please write down the allotment amount as per presentation amount</t>
    <phoneticPr fontId="11" type="noConversion"/>
  </si>
  <si>
    <t>Number of shares</t>
    <phoneticPr fontId="11" type="noConversion"/>
  </si>
  <si>
    <t>Price of each shares</t>
    <phoneticPr fontId="11" type="noConversion"/>
  </si>
  <si>
    <t>Curreny of price of each shares (USD, HKD, EUR, etc)</t>
    <phoneticPr fontId="11" type="noConversion"/>
  </si>
  <si>
    <t>NON-CURRENT LIABILITIES</t>
    <phoneticPr fontId="11" type="noConversion"/>
  </si>
  <si>
    <t>Obligation under finance lease</t>
    <phoneticPr fontId="11" type="noConversion"/>
  </si>
  <si>
    <t>Is it offshore claim?</t>
    <phoneticPr fontId="11" type="noConversion"/>
  </si>
  <si>
    <t xml:space="preserve">  Tax payables</t>
  </si>
  <si>
    <t xml:space="preserve">  Account payables</t>
  </si>
  <si>
    <t xml:space="preserve">  Other payables and accruals</t>
  </si>
  <si>
    <t xml:space="preserve">  Deposit received</t>
  </si>
  <si>
    <t xml:space="preserve">  Accrued expenses</t>
  </si>
  <si>
    <t xml:space="preserve">  Bank overdraft</t>
  </si>
  <si>
    <t>Amount due to a subsidiary</t>
  </si>
  <si>
    <t>Amount due to shareholders</t>
  </si>
  <si>
    <t>Obligation under finance lease</t>
  </si>
  <si>
    <t xml:space="preserve">  Inventories</t>
  </si>
  <si>
    <t xml:space="preserve">  Other receivables</t>
  </si>
  <si>
    <t xml:space="preserve">  Deposit paid</t>
  </si>
  <si>
    <t xml:space="preserve"> Account receivables</t>
  </si>
  <si>
    <t>Amount due from an immediate holding company</t>
  </si>
  <si>
    <t>Amount due from a shareholder</t>
  </si>
  <si>
    <t>Tax refundable</t>
  </si>
  <si>
    <t>Bank balances and cash</t>
  </si>
  <si>
    <t>Euro</t>
    <phoneticPr fontId="11" type="noConversion"/>
  </si>
  <si>
    <t>Is it limited by guarantee?</t>
    <phoneticPr fontId="11" type="noConversion"/>
  </si>
  <si>
    <t>if so, please state the incorp date</t>
    <phoneticPr fontId="11" type="noConversion"/>
  </si>
  <si>
    <t>You can find it in CR search.</t>
    <phoneticPr fontId="11" type="noConversion"/>
  </si>
  <si>
    <t>if so, state the liabilitiy of each member</t>
    <phoneticPr fontId="11" type="noConversion"/>
  </si>
  <si>
    <t>you can find this information in A&amp;A (formerly M&amp;A), i.e. HKD100</t>
    <phoneticPr fontId="11" type="noConversion"/>
  </si>
  <si>
    <t>HK$</t>
    <phoneticPr fontId="11" type="noConversion"/>
  </si>
  <si>
    <t>The currency of above amount</t>
    <phoneticPr fontId="11" type="noConversion"/>
  </si>
  <si>
    <t>if so, any name other than Company?</t>
    <phoneticPr fontId="11" type="noConversion"/>
  </si>
  <si>
    <t>Association</t>
    <phoneticPr fontId="11" type="noConversion"/>
  </si>
  <si>
    <t>i.e. Association, church, foundation, etc…, you can follow last year audit, if first audit, just use Company.</t>
    <phoneticPr fontId="11" type="noConversion"/>
  </si>
  <si>
    <t>if so, is it section 88?</t>
    <phoneticPr fontId="11" type="noConversion"/>
  </si>
  <si>
    <t>please search the list of section 88 company in the IRD website.</t>
    <phoneticPr fontId="11" type="noConversion"/>
  </si>
  <si>
    <t xml:space="preserve">OneStart CPA &amp; Co., </t>
  </si>
  <si>
    <t>Certified Public Accountants (Practising)</t>
  </si>
  <si>
    <t>鄧家豪執業會計師</t>
  </si>
  <si>
    <t>壹達會計師事務所</t>
  </si>
  <si>
    <t>P06475</t>
  </si>
  <si>
    <t>22/F, On Hong Commercial Building, 145 Hennessy Road, Wanchai, Hong Kong</t>
  </si>
  <si>
    <t>Unit B, 6/F., Dragon Ind. Bldg., 93 King Lam Street, Lai Chi Kok, Kowloon, Hong Kong</t>
  </si>
  <si>
    <t>West Wing, 2/F, 822 Lai Chi Kok Road, Lai Chi Kok, Kowloon</t>
  </si>
  <si>
    <t>香港灣仔軒尼詩道145號安康商業大廈22樓</t>
  </si>
  <si>
    <t>九龍荔枝角瓊林街93號龍翔工業中心6樓B室</t>
  </si>
  <si>
    <t>九龍荔枝角荔枝角道822號2樓西翼</t>
  </si>
  <si>
    <t>55542148-000</t>
  </si>
  <si>
    <t>55996739-000</t>
  </si>
  <si>
    <t xml:space="preserve">  </t>
  </si>
  <si>
    <t>Eric Tang CPA</t>
  </si>
  <si>
    <t>If first year, please only fill accounting period at left side, don't fill in right side</t>
    <phoneticPr fontId="11" type="noConversion"/>
  </si>
  <si>
    <t>If first year, please fill in right side, not left side</t>
    <phoneticPr fontId="11" type="noConversion"/>
  </si>
  <si>
    <t>MPF</t>
    <phoneticPr fontId="11" type="noConversion"/>
  </si>
  <si>
    <t>ABC</t>
    <phoneticPr fontId="11" type="noConversion"/>
  </si>
  <si>
    <t>Account due from a director</t>
    <phoneticPr fontId="11" type="noConversion"/>
  </si>
  <si>
    <t>Account due from directors</t>
    <phoneticPr fontId="11" type="noConversion"/>
  </si>
  <si>
    <t>Amount due to a director</t>
    <phoneticPr fontId="11" type="noConversion"/>
  </si>
  <si>
    <t>Amount due to directors</t>
    <phoneticPr fontId="11" type="noConversion"/>
  </si>
  <si>
    <t>Bank loan, secured</t>
    <phoneticPr fontId="11" type="noConversion"/>
  </si>
  <si>
    <t>Other non-current items</t>
    <phoneticPr fontId="11" type="noConversion"/>
  </si>
  <si>
    <t>Investment in taxi cabs and licenses</t>
    <phoneticPr fontId="11" type="noConversion"/>
  </si>
  <si>
    <t>First year?</t>
    <phoneticPr fontId="11" type="noConversion"/>
  </si>
  <si>
    <t>Match with Dir info?</t>
    <phoneticPr fontId="11" type="noConversion"/>
  </si>
  <si>
    <t>For Other emoluments</t>
    <phoneticPr fontId="11" type="noConversion"/>
  </si>
  <si>
    <t>Name of parties</t>
    <phoneticPr fontId="11" type="noConversion"/>
  </si>
  <si>
    <r>
      <t>During the year, the Company has entered into the transactions with the following part</t>
    </r>
    <r>
      <rPr>
        <sz val="11"/>
        <color theme="1"/>
        <rFont val="Calibri"/>
        <family val="2"/>
        <scheme val="minor"/>
      </rPr>
      <t>ies</t>
    </r>
    <r>
      <rPr>
        <sz val="11"/>
        <color theme="1"/>
        <rFont val="Calibri"/>
        <family val="2"/>
        <scheme val="minor"/>
      </rPr>
      <t>:</t>
    </r>
    <phoneticPr fontId="11" type="noConversion"/>
  </si>
  <si>
    <t>For MPF</t>
    <phoneticPr fontId="11" type="noConversion"/>
  </si>
  <si>
    <t>A</t>
    <phoneticPr fontId="11" type="noConversion"/>
  </si>
  <si>
    <t>B</t>
    <phoneticPr fontId="11" type="noConversion"/>
  </si>
  <si>
    <t>C</t>
    <phoneticPr fontId="11" type="noConversion"/>
  </si>
  <si>
    <t>D</t>
    <phoneticPr fontId="11" type="noConversion"/>
  </si>
  <si>
    <t>E</t>
    <phoneticPr fontId="11" type="noConversion"/>
  </si>
  <si>
    <t>F</t>
    <phoneticPr fontId="11" type="noConversion"/>
  </si>
  <si>
    <t>AUDIT ADJUSTMENT</t>
    <phoneticPr fontId="15" type="noConversion"/>
  </si>
  <si>
    <t xml:space="preserve"> Increase/
(decrease) in </t>
    <phoneticPr fontId="11" type="noConversion"/>
  </si>
  <si>
    <t>as per client's management accounts</t>
    <phoneticPr fontId="11" type="noConversion"/>
  </si>
  <si>
    <t>as per audit account</t>
    <phoneticPr fontId="11" type="noConversion"/>
  </si>
  <si>
    <t xml:space="preserve">To record the tax expenses for the </t>
    <phoneticPr fontId="11" type="noConversion"/>
  </si>
  <si>
    <t>Taxi</t>
  </si>
  <si>
    <t>licences</t>
  </si>
  <si>
    <t>Taxi cabs</t>
  </si>
  <si>
    <t>Acquisition during the period</t>
  </si>
  <si>
    <t xml:space="preserve">   and balance at 31 March, 2015</t>
  </si>
  <si>
    <t>Depreciation for the period</t>
  </si>
  <si>
    <t>Net book value</t>
  </si>
  <si>
    <t>As at 31 March, 2015</t>
  </si>
  <si>
    <t>As 31 March, 2015, the carrying amount of taxi cabs and licences held under hire purchase contracts is HK$6,962,000.</t>
  </si>
  <si>
    <t>Prepayments</t>
    <phoneticPr fontId="11" type="noConversion"/>
  </si>
  <si>
    <t>Amount due from related parties (1)</t>
  </si>
  <si>
    <t>Amount due from related parties (2)</t>
  </si>
  <si>
    <t>Amount due from related parties (3)</t>
  </si>
  <si>
    <t>Amount due to related parties (1)</t>
  </si>
  <si>
    <t>Amount due to related parties (2)</t>
  </si>
  <si>
    <t>Amount due to related parties (3)</t>
  </si>
  <si>
    <t>Dividend paid?</t>
    <phoneticPr fontId="11" type="noConversion"/>
  </si>
  <si>
    <t>0=no dividend paid, 1=year end dividend, 2= interm dividend</t>
    <phoneticPr fontId="11" type="noConversion"/>
  </si>
  <si>
    <t>HK$</t>
    <phoneticPr fontId="11" type="noConversion"/>
  </si>
  <si>
    <t>Currency, i.e. HK$</t>
    <phoneticPr fontId="11" type="noConversion"/>
  </si>
  <si>
    <t>Amount per each share (i.e. how much money per share)</t>
    <phoneticPr fontId="11" type="noConversion"/>
  </si>
  <si>
    <t xml:space="preserve">Total money amount of dividend paid </t>
    <phoneticPr fontId="11" type="noConversion"/>
  </si>
  <si>
    <t>INVESTMENT IN A SUBSIDIARY</t>
  </si>
  <si>
    <t>Share of loss of an subsidiary</t>
    <phoneticPr fontId="11" type="noConversion"/>
  </si>
  <si>
    <t>Particulars of the principal subsidiary is as follows:</t>
  </si>
  <si>
    <t>Only need to fill when last year is "due from"</t>
    <phoneticPr fontId="11" type="noConversion"/>
  </si>
  <si>
    <t>ABC</t>
    <phoneticPr fontId="11" type="noConversion"/>
  </si>
  <si>
    <t>Please copy last year note from last year if any, below are some examples, please delete if not needed:</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</si>
</sst>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_(* \(#,##0\);_(* &quot;-&quot;_);_(@_)"/>
    <numFmt numFmtId="43" formatCode="_(* #,##0.00_);_(* \(#,##0.00\);_(* &quot;-&quot;??_);_(@_)"/>
    <numFmt numFmtId="164" formatCode="&quot;HK$&quot;#,##0.00_);\(&quot;HK$&quot;#,##0.00\)"/>
    <numFmt numFmtId="165" formatCode="&quot;HK$&quot;#,##0.00_);[Red]\(&quot;HK$&quot;#,##0.00\)"/>
    <numFmt numFmtId="166" formatCode="0_);\(0\)"/>
    <numFmt numFmtId="167" formatCode="_ * #,##0.00_ ;_ * \-#,##0.00_ ;_ * &quot;-&quot;??_ ;_ @_ "/>
    <numFmt numFmtId="168" formatCode="_(* #,##0_);_(* \(#,##0\);_(* &quot;-&quot;??_);_(@_)"/>
    <numFmt numFmtId="169" formatCode="yyyy/m/d;@"/>
    <numFmt numFmtId="170" formatCode="d/m/yyyy;@"/>
  </numFmts>
  <fonts count="52">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Calibri"/>
      <family val="3"/>
      <charset val="136"/>
      <scheme val="minor"/>
    </font>
    <font>
      <b/>
      <sz val="10"/>
      <color theme="1"/>
      <name val="Times New Roman"/>
      <family val="1"/>
    </font>
    <font>
      <b/>
      <u/>
      <sz val="11"/>
      <color theme="1"/>
      <name val="Times New Roman"/>
      <family val="1"/>
    </font>
    <font>
      <sz val="9"/>
      <name val="Times New Roman"/>
      <family val="1"/>
    </font>
    <font>
      <sz val="9"/>
      <name val="新細明體"/>
      <family val="1"/>
      <charset val="136"/>
    </font>
    <font>
      <sz val="10"/>
      <name val="Times New Roman"/>
      <family val="1"/>
    </font>
    <font>
      <sz val="9"/>
      <color theme="1"/>
      <name val="Calibri"/>
      <family val="2"/>
      <scheme val="minor"/>
    </font>
    <font>
      <b/>
      <u/>
      <sz val="11"/>
      <name val="Times New Roman"/>
      <family val="1"/>
    </font>
    <font>
      <sz val="12"/>
      <name val="Times New Roman"/>
      <family val="1"/>
    </font>
    <font>
      <u/>
      <sz val="12"/>
      <name val="Times New Roman"/>
      <family val="1"/>
    </font>
    <font>
      <b/>
      <sz val="12"/>
      <color theme="1"/>
      <name val="Calibri"/>
      <family val="1"/>
      <charset val="136"/>
      <scheme val="minor"/>
    </font>
    <font>
      <sz val="12"/>
      <color theme="1"/>
      <name val="Calibri"/>
      <family val="1"/>
      <charset val="136"/>
      <scheme val="minor"/>
    </font>
    <font>
      <sz val="11"/>
      <color theme="1"/>
      <name val="Calibri"/>
      <family val="2"/>
      <scheme val="minor"/>
    </font>
    <font>
      <sz val="11"/>
      <name val="Times New Roman"/>
      <family val="1"/>
    </font>
    <font>
      <u/>
      <sz val="11"/>
      <name val="Times New Roman"/>
      <family val="1"/>
    </font>
    <font>
      <sz val="10"/>
      <color indexed="8"/>
      <name val="Times New Roman"/>
      <family val="1"/>
    </font>
    <font>
      <b/>
      <sz val="11"/>
      <name val="Times New Roman"/>
      <family val="1"/>
    </font>
    <font>
      <sz val="12"/>
      <name val="新細明體"/>
      <family val="1"/>
      <charset val="136"/>
    </font>
    <font>
      <u/>
      <sz val="12"/>
      <color theme="10"/>
      <name val="Calibri"/>
      <family val="2"/>
      <scheme val="minor"/>
    </font>
    <font>
      <sz val="11"/>
      <color theme="1"/>
      <name val="Calibri"/>
      <family val="1"/>
      <charset val="136"/>
      <scheme val="minor"/>
    </font>
    <font>
      <b/>
      <sz val="11"/>
      <color theme="1"/>
      <name val="Calibri"/>
      <family val="2"/>
      <scheme val="minor"/>
    </font>
    <font>
      <sz val="11"/>
      <name val="Calibri"/>
      <family val="2"/>
      <scheme val="minor"/>
    </font>
    <font>
      <u/>
      <sz val="11"/>
      <name val="Calibri"/>
      <family val="2"/>
      <scheme val="minor"/>
    </font>
    <font>
      <sz val="12"/>
      <name val="Calibri"/>
      <family val="2"/>
      <scheme val="minor"/>
    </font>
    <font>
      <u/>
      <sz val="12"/>
      <name val="Calibri"/>
      <family val="2"/>
      <scheme val="minor"/>
    </font>
    <font>
      <u/>
      <sz val="11"/>
      <color theme="1"/>
      <name val="Calibri"/>
      <family val="2"/>
      <scheme val="minor"/>
    </font>
    <font>
      <u/>
      <sz val="11"/>
      <color theme="1"/>
      <name val="Calibri"/>
      <family val="1"/>
      <charset val="136"/>
      <scheme val="minor"/>
    </font>
    <font>
      <b/>
      <sz val="11"/>
      <color theme="1"/>
      <name val="Calibri"/>
      <family val="1"/>
      <charset val="136"/>
      <scheme val="minor"/>
    </font>
    <font>
      <sz val="12"/>
      <name val="宋体"/>
      <family val="3"/>
      <charset val="136"/>
    </font>
    <font>
      <sz val="12"/>
      <color theme="0"/>
      <name val="Calibri"/>
      <family val="2"/>
      <scheme val="minor"/>
    </font>
    <font>
      <sz val="12"/>
      <name val="Symbol"/>
      <family val="1"/>
      <charset val="2"/>
    </font>
    <font>
      <sz val="12"/>
      <color theme="0"/>
      <name val="Calibri"/>
      <family val="1"/>
      <charset val="136"/>
      <scheme val="minor"/>
    </font>
    <font>
      <sz val="11"/>
      <color theme="0"/>
      <name val="Times New Roman"/>
      <family val="1"/>
    </font>
    <font>
      <sz val="11"/>
      <color theme="0"/>
      <name val="Calibri"/>
      <family val="2"/>
      <scheme val="minor"/>
    </font>
    <font>
      <sz val="11"/>
      <color theme="0"/>
      <name val="Calibri"/>
      <family val="1"/>
      <charset val="136"/>
      <scheme val="minor"/>
    </font>
    <font>
      <sz val="12"/>
      <color theme="0"/>
      <name val="Times New Roman"/>
      <family val="1"/>
    </font>
    <font>
      <sz val="10"/>
      <color theme="0"/>
      <name val="Times New Roman"/>
      <family val="1"/>
    </font>
    <font>
      <b/>
      <u/>
      <sz val="10"/>
      <color theme="1"/>
      <name val="Times New Roman"/>
      <family val="1"/>
    </font>
    <font>
      <i/>
      <sz val="10"/>
      <color theme="1"/>
      <name val="Times New Roman"/>
      <family val="1"/>
    </font>
    <font>
      <b/>
      <sz val="10"/>
      <color theme="0"/>
      <name val="Times New Roman"/>
      <family val="1"/>
    </font>
    <font>
      <i/>
      <sz val="10"/>
      <color theme="0"/>
      <name val="Times New Roman"/>
      <family val="1"/>
    </font>
  </fonts>
  <fills count="10">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2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s>
  <cellStyleXfs count="9">
    <xf numFmtId="0" fontId="0" fillId="0" borderId="0"/>
    <xf numFmtId="43" fontId="3" fillId="0" borderId="0" applyFont="0" applyFill="0" applyBorder="0" applyAlignment="0" applyProtection="0">
      <alignment vertical="center"/>
    </xf>
    <xf numFmtId="0" fontId="28" fillId="0" borderId="0">
      <alignment vertical="center"/>
    </xf>
    <xf numFmtId="0" fontId="29" fillId="0" borderId="0" applyNumberFormat="0" applyFill="0" applyBorder="0" applyAlignment="0" applyProtection="0"/>
    <xf numFmtId="0" fontId="30" fillId="0" borderId="0"/>
    <xf numFmtId="43" fontId="30" fillId="0" borderId="0" applyFont="0" applyFill="0" applyBorder="0" applyAlignment="0" applyProtection="0"/>
    <xf numFmtId="0" fontId="39" fillId="0" borderId="0">
      <alignment vertical="center"/>
    </xf>
    <xf numFmtId="0" fontId="28" fillId="0" borderId="0">
      <alignment vertical="center"/>
    </xf>
    <xf numFmtId="43" fontId="28" fillId="0" borderId="0" applyFont="0" applyFill="0" applyBorder="0" applyAlignment="0" applyProtection="0">
      <alignment vertical="center"/>
    </xf>
  </cellStyleXfs>
  <cellXfs count="457">
    <xf numFmtId="0" fontId="0" fillId="0" borderId="0" xfId="0"/>
    <xf numFmtId="0" fontId="6" fillId="0" borderId="0" xfId="0" applyFont="1" applyAlignment="1">
      <alignment horizontal="justify" vertical="center"/>
    </xf>
    <xf numFmtId="0" fontId="7" fillId="0" borderId="0" xfId="0" applyFont="1" applyAlignment="1">
      <alignment horizontal="justify" vertical="center"/>
    </xf>
    <xf numFmtId="0" fontId="6" fillId="0" borderId="0" xfId="0" applyFont="1" applyAlignment="1">
      <alignment vertical="center"/>
    </xf>
    <xf numFmtId="0" fontId="7" fillId="0" borderId="0" xfId="0" applyFont="1" applyAlignment="1">
      <alignment vertical="center"/>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6" fillId="0" borderId="4" xfId="0" applyFont="1" applyBorder="1" applyAlignment="1">
      <alignment horizontal="justify" vertical="center" wrapText="1"/>
    </xf>
    <xf numFmtId="0" fontId="7" fillId="0" borderId="5" xfId="0" applyFont="1" applyBorder="1" applyAlignment="1">
      <alignment horizontal="justify" vertical="center" wrapText="1"/>
    </xf>
    <xf numFmtId="0" fontId="6" fillId="0" borderId="4" xfId="0" applyFont="1" applyBorder="1" applyAlignment="1">
      <alignment vertical="center" wrapText="1"/>
    </xf>
    <xf numFmtId="0" fontId="6" fillId="0" borderId="5" xfId="0" applyFont="1" applyBorder="1" applyAlignment="1">
      <alignment horizontal="justify" vertical="center" wrapText="1"/>
    </xf>
    <xf numFmtId="0" fontId="8" fillId="0" borderId="3" xfId="0" applyFont="1" applyBorder="1" applyAlignment="1">
      <alignment horizontal="left" vertical="center" wrapText="1" indent="2"/>
    </xf>
    <xf numFmtId="0" fontId="8" fillId="0" borderId="4" xfId="0" applyFont="1" applyBorder="1" applyAlignment="1">
      <alignment horizontal="left" vertical="center" wrapText="1" indent="2"/>
    </xf>
    <xf numFmtId="0" fontId="8" fillId="0" borderId="4" xfId="0" applyFont="1" applyBorder="1" applyAlignment="1">
      <alignment horizontal="left" vertical="center" wrapText="1" indent="1"/>
    </xf>
    <xf numFmtId="0" fontId="7" fillId="0" borderId="5" xfId="0" applyFont="1" applyBorder="1" applyAlignment="1">
      <alignment vertical="center" wrapText="1"/>
    </xf>
    <xf numFmtId="0" fontId="0" fillId="0" borderId="5" xfId="0" applyBorder="1" applyAlignment="1">
      <alignment vertical="top" wrapText="1"/>
    </xf>
    <xf numFmtId="0" fontId="8" fillId="0" borderId="4" xfId="0" applyFont="1" applyBorder="1" applyAlignment="1">
      <alignment horizontal="left" vertical="center" wrapText="1" indent="5"/>
    </xf>
    <xf numFmtId="0" fontId="8" fillId="0" borderId="4" xfId="0" applyFont="1" applyBorder="1" applyAlignment="1">
      <alignment vertical="center" wrapText="1"/>
    </xf>
    <xf numFmtId="0" fontId="0" fillId="0" borderId="4" xfId="0" applyBorder="1" applyAlignment="1">
      <alignment vertical="top" wrapText="1"/>
    </xf>
    <xf numFmtId="0" fontId="8" fillId="2" borderId="4" xfId="0" applyFont="1" applyFill="1" applyBorder="1" applyAlignment="1">
      <alignment horizontal="center" vertical="center" wrapText="1"/>
    </xf>
    <xf numFmtId="0" fontId="9" fillId="0" borderId="5" xfId="0" applyFont="1" applyBorder="1" applyAlignment="1">
      <alignment vertical="center" wrapText="1"/>
    </xf>
    <xf numFmtId="0" fontId="9" fillId="0" borderId="5" xfId="0" applyFont="1" applyBorder="1" applyAlignment="1">
      <alignment horizontal="justify" vertical="center" wrapText="1"/>
    </xf>
    <xf numFmtId="0" fontId="6" fillId="0" borderId="4" xfId="0" applyFont="1" applyBorder="1" applyAlignment="1">
      <alignment horizontal="center" vertical="center" wrapText="1"/>
    </xf>
    <xf numFmtId="0" fontId="6" fillId="0" borderId="0" xfId="0" applyFont="1" applyAlignment="1">
      <alignment horizontal="right" vertical="center"/>
    </xf>
    <xf numFmtId="0" fontId="0" fillId="0" borderId="1" xfId="0" applyBorder="1"/>
    <xf numFmtId="43" fontId="8" fillId="2" borderId="4" xfId="1" applyFont="1" applyFill="1" applyBorder="1" applyAlignment="1">
      <alignment horizontal="center" vertical="center" wrapText="1"/>
    </xf>
    <xf numFmtId="0" fontId="14" fillId="0" borderId="0" xfId="0" applyFont="1" applyAlignment="1"/>
    <xf numFmtId="0" fontId="14" fillId="0" borderId="0" xfId="0" applyFont="1" applyBorder="1" applyAlignment="1">
      <alignment vertical="center"/>
    </xf>
    <xf numFmtId="0" fontId="14" fillId="0" borderId="7" xfId="0" applyFont="1" applyBorder="1" applyAlignment="1">
      <alignment vertical="center"/>
    </xf>
    <xf numFmtId="0" fontId="14" fillId="0" borderId="9" xfId="0" applyFont="1" applyBorder="1" applyAlignment="1">
      <alignment vertical="center"/>
    </xf>
    <xf numFmtId="0" fontId="14" fillId="0" borderId="0" xfId="0" applyFont="1" applyAlignment="1">
      <alignment vertical="center"/>
    </xf>
    <xf numFmtId="0" fontId="14" fillId="0" borderId="11" xfId="0" applyFont="1" applyBorder="1" applyAlignment="1">
      <alignment vertical="center"/>
    </xf>
    <xf numFmtId="0" fontId="14" fillId="0" borderId="12" xfId="0" applyFont="1" applyBorder="1" applyAlignment="1">
      <alignment vertical="center"/>
    </xf>
    <xf numFmtId="0" fontId="14" fillId="0" borderId="0" xfId="0" quotePrefix="1" applyFont="1" applyAlignment="1">
      <alignment vertical="center"/>
    </xf>
    <xf numFmtId="164" fontId="14" fillId="0" borderId="0" xfId="0" applyNumberFormat="1" applyFont="1" applyAlignment="1">
      <alignment horizontal="center" vertical="center"/>
    </xf>
    <xf numFmtId="0" fontId="17" fillId="0" borderId="0" xfId="0" applyFont="1"/>
    <xf numFmtId="0" fontId="14" fillId="0" borderId="1" xfId="0" applyFont="1" applyBorder="1" applyAlignment="1">
      <alignment vertical="center"/>
    </xf>
    <xf numFmtId="0" fontId="8" fillId="0" borderId="0" xfId="0" applyFont="1" applyAlignment="1">
      <alignment vertical="center"/>
    </xf>
    <xf numFmtId="0" fontId="10" fillId="0" borderId="0" xfId="0" applyFont="1" applyAlignment="1">
      <alignment vertical="center"/>
    </xf>
    <xf numFmtId="0" fontId="0" fillId="3" borderId="0" xfId="0" applyFill="1"/>
    <xf numFmtId="0" fontId="8" fillId="0" borderId="13" xfId="0" applyFont="1" applyFill="1" applyBorder="1" applyAlignment="1">
      <alignment horizontal="center" vertical="center" wrapText="1"/>
    </xf>
    <xf numFmtId="0" fontId="4" fillId="0" borderId="0" xfId="0" applyFont="1" applyFill="1" applyAlignment="1">
      <alignment horizontal="center" vertical="center"/>
    </xf>
    <xf numFmtId="0" fontId="5" fillId="0" borderId="0" xfId="0" applyFont="1" applyFill="1" applyAlignment="1">
      <alignment horizontal="center" vertical="center"/>
    </xf>
    <xf numFmtId="0" fontId="0" fillId="0" borderId="0" xfId="0" applyFill="1"/>
    <xf numFmtId="0" fontId="6" fillId="0" borderId="0" xfId="0" applyFont="1" applyFill="1" applyBorder="1" applyAlignment="1">
      <alignment horizontal="left" vertical="center"/>
    </xf>
    <xf numFmtId="0" fontId="6" fillId="0" borderId="0" xfId="0" applyFont="1" applyFill="1" applyBorder="1" applyAlignment="1">
      <alignment horizontal="left" vertical="top" wrapText="1"/>
    </xf>
    <xf numFmtId="0" fontId="6" fillId="0" borderId="0" xfId="0" applyFont="1" applyFill="1" applyAlignment="1">
      <alignment horizontal="distributed" vertical="center"/>
    </xf>
    <xf numFmtId="0" fontId="7" fillId="0" borderId="0" xfId="0" applyFont="1" applyFill="1" applyAlignment="1">
      <alignment vertical="center"/>
    </xf>
    <xf numFmtId="0" fontId="8" fillId="0" borderId="0" xfId="0" applyFont="1" applyFill="1" applyBorder="1" applyAlignment="1">
      <alignment horizontal="center" vertical="center" wrapText="1"/>
    </xf>
    <xf numFmtId="0" fontId="7" fillId="0" borderId="0" xfId="0" applyFont="1" applyFill="1" applyBorder="1" applyAlignment="1">
      <alignmen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left" vertical="center" wrapText="1"/>
    </xf>
    <xf numFmtId="0" fontId="0" fillId="0" borderId="0" xfId="0" applyFill="1" applyBorder="1" applyAlignment="1">
      <alignment vertical="top" wrapText="1"/>
    </xf>
    <xf numFmtId="0" fontId="6" fillId="0" borderId="0" xfId="0" applyFont="1" applyFill="1" applyBorder="1" applyAlignment="1">
      <alignment horizontal="center" vertical="center" wrapText="1"/>
    </xf>
    <xf numFmtId="0" fontId="7" fillId="0" borderId="0" xfId="0" applyFont="1" applyFill="1" applyBorder="1" applyAlignment="1">
      <alignment horizontal="justify" vertical="center" wrapText="1"/>
    </xf>
    <xf numFmtId="0" fontId="6" fillId="0" borderId="0" xfId="0" applyFont="1" applyFill="1" applyBorder="1" applyAlignment="1">
      <alignment vertical="center" wrapText="1"/>
    </xf>
    <xf numFmtId="0" fontId="6" fillId="0" borderId="0" xfId="0" applyFont="1" applyFill="1" applyAlignment="1">
      <alignment horizontal="left" vertical="center"/>
    </xf>
    <xf numFmtId="0" fontId="0" fillId="0" borderId="0" xfId="0" applyFill="1" applyBorder="1"/>
    <xf numFmtId="0" fontId="19" fillId="0" borderId="0" xfId="0" applyFont="1" applyAlignment="1">
      <alignment vertical="center"/>
    </xf>
    <xf numFmtId="0" fontId="20" fillId="0" borderId="0" xfId="0" applyFont="1" applyAlignment="1">
      <alignment vertical="center"/>
    </xf>
    <xf numFmtId="0" fontId="20" fillId="0" borderId="0" xfId="0" applyFont="1" applyFill="1" applyAlignment="1">
      <alignment vertical="center"/>
    </xf>
    <xf numFmtId="0" fontId="19" fillId="0" borderId="0" xfId="0" applyFont="1" applyAlignment="1">
      <alignment horizontal="center" vertical="center"/>
    </xf>
    <xf numFmtId="0" fontId="19" fillId="0" borderId="0" xfId="0" applyFont="1" applyFill="1" applyAlignment="1">
      <alignment vertical="center"/>
    </xf>
    <xf numFmtId="41" fontId="19" fillId="0" borderId="0" xfId="0" applyNumberFormat="1" applyFont="1" applyFill="1" applyBorder="1" applyAlignment="1">
      <alignment vertical="center"/>
    </xf>
    <xf numFmtId="41" fontId="19" fillId="0" borderId="0" xfId="0" applyNumberFormat="1" applyFont="1" applyAlignment="1">
      <alignment vertical="center"/>
    </xf>
    <xf numFmtId="41" fontId="19" fillId="0" borderId="18" xfId="0" applyNumberFormat="1" applyFont="1" applyFill="1" applyBorder="1" applyAlignment="1">
      <alignment horizontal="right" vertical="center"/>
    </xf>
    <xf numFmtId="41" fontId="19" fillId="0" borderId="0" xfId="0" applyNumberFormat="1" applyFont="1" applyFill="1" applyAlignment="1">
      <alignment vertical="center"/>
    </xf>
    <xf numFmtId="41" fontId="19" fillId="0" borderId="0" xfId="0" applyNumberFormat="1" applyFont="1" applyFill="1" applyBorder="1" applyAlignment="1">
      <alignment horizontal="right" vertical="center"/>
    </xf>
    <xf numFmtId="0" fontId="19" fillId="0" borderId="0" xfId="0" applyFont="1" applyFill="1" applyBorder="1" applyAlignment="1">
      <alignment vertical="center"/>
    </xf>
    <xf numFmtId="41" fontId="19" fillId="0" borderId="18" xfId="0" applyNumberFormat="1" applyFont="1" applyFill="1" applyBorder="1" applyAlignment="1">
      <alignment vertical="center"/>
    </xf>
    <xf numFmtId="41" fontId="19" fillId="0" borderId="19" xfId="0" applyNumberFormat="1" applyFont="1" applyBorder="1" applyAlignment="1">
      <alignment vertical="center"/>
    </xf>
    <xf numFmtId="41" fontId="19" fillId="0" borderId="1" xfId="0" applyNumberFormat="1" applyFont="1" applyBorder="1" applyAlignment="1">
      <alignment vertical="center"/>
    </xf>
    <xf numFmtId="41" fontId="19" fillId="0" borderId="0" xfId="0" applyNumberFormat="1" applyFont="1" applyBorder="1" applyAlignment="1">
      <alignment vertical="center"/>
    </xf>
    <xf numFmtId="0" fontId="21" fillId="0" borderId="0" xfId="0" applyFont="1"/>
    <xf numFmtId="0" fontId="22" fillId="0" borderId="0" xfId="0" applyFont="1"/>
    <xf numFmtId="14" fontId="0" fillId="0" borderId="0" xfId="0" applyNumberFormat="1"/>
    <xf numFmtId="0" fontId="0" fillId="4" borderId="0" xfId="0" applyFill="1"/>
    <xf numFmtId="43" fontId="0" fillId="4" borderId="0" xfId="0" applyNumberFormat="1" applyFill="1"/>
    <xf numFmtId="0" fontId="24" fillId="0" borderId="0" xfId="0" applyFont="1" applyAlignment="1">
      <alignment vertical="center"/>
    </xf>
    <xf numFmtId="0" fontId="24" fillId="0" borderId="0" xfId="0" applyFont="1" applyAlignment="1">
      <alignment horizontal="center" vertical="center"/>
    </xf>
    <xf numFmtId="41" fontId="24" fillId="0" borderId="0" xfId="0" applyNumberFormat="1" applyFont="1" applyAlignment="1">
      <alignment vertical="center"/>
    </xf>
    <xf numFmtId="167" fontId="26" fillId="0" borderId="0" xfId="0" applyNumberFormat="1" applyFont="1" applyAlignment="1">
      <alignment horizontal="right" vertical="center"/>
    </xf>
    <xf numFmtId="0" fontId="25" fillId="0" borderId="0" xfId="0" applyFont="1" applyFill="1" applyAlignment="1">
      <alignment horizontal="center" vertical="center"/>
    </xf>
    <xf numFmtId="0" fontId="24" fillId="0" borderId="0" xfId="0" applyFont="1" applyFill="1" applyAlignment="1">
      <alignment horizontal="center" vertical="center"/>
    </xf>
    <xf numFmtId="41" fontId="24" fillId="0" borderId="0" xfId="0" applyNumberFormat="1" applyFont="1" applyFill="1" applyAlignment="1">
      <alignment vertical="center"/>
    </xf>
    <xf numFmtId="0" fontId="24" fillId="0" borderId="0" xfId="0" applyFont="1" applyFill="1" applyAlignment="1">
      <alignment vertical="center"/>
    </xf>
    <xf numFmtId="169" fontId="0" fillId="0" borderId="0" xfId="0" applyNumberFormat="1"/>
    <xf numFmtId="14" fontId="14" fillId="0" borderId="0" xfId="0" applyNumberFormat="1" applyFont="1" applyAlignment="1">
      <alignment vertical="center"/>
    </xf>
    <xf numFmtId="43" fontId="14" fillId="0" borderId="0" xfId="1" applyFont="1" applyAlignment="1">
      <alignment vertical="center"/>
    </xf>
    <xf numFmtId="0" fontId="30" fillId="0" borderId="0" xfId="4" applyAlignment="1"/>
    <xf numFmtId="0" fontId="23" fillId="0" borderId="0" xfId="4" applyFont="1" applyAlignment="1"/>
    <xf numFmtId="0" fontId="23" fillId="0" borderId="0" xfId="4" applyFont="1" applyFill="1" applyAlignment="1"/>
    <xf numFmtId="0" fontId="24" fillId="0" borderId="0" xfId="0" applyNumberFormat="1" applyFont="1" applyAlignment="1">
      <alignment horizontal="center" vertical="center"/>
    </xf>
    <xf numFmtId="0" fontId="30" fillId="0" borderId="0" xfId="4" applyFill="1" applyAlignment="1"/>
    <xf numFmtId="170" fontId="0" fillId="0" borderId="0" xfId="0" applyNumberFormat="1"/>
    <xf numFmtId="41" fontId="24" fillId="0" borderId="0" xfId="0" applyNumberFormat="1" applyFont="1" applyAlignment="1">
      <alignment horizontal="right" vertical="center"/>
    </xf>
    <xf numFmtId="0" fontId="24" fillId="0" borderId="0" xfId="0" applyFont="1" applyAlignment="1">
      <alignment horizontal="right" vertical="center"/>
    </xf>
    <xf numFmtId="41" fontId="24" fillId="0" borderId="1" xfId="0" applyNumberFormat="1" applyFont="1" applyFill="1" applyBorder="1" applyAlignment="1">
      <alignment horizontal="right" vertical="center"/>
    </xf>
    <xf numFmtId="0" fontId="24" fillId="0" borderId="0" xfId="0" applyFont="1" applyBorder="1" applyAlignment="1">
      <alignment horizontal="right" vertical="center"/>
    </xf>
    <xf numFmtId="41" fontId="24" fillId="0" borderId="0" xfId="0" applyNumberFormat="1" applyFont="1" applyFill="1" applyAlignment="1">
      <alignment horizontal="right" vertical="center"/>
    </xf>
    <xf numFmtId="41" fontId="24" fillId="0" borderId="0" xfId="0" applyNumberFormat="1" applyFont="1" applyFill="1" applyBorder="1" applyAlignment="1">
      <alignment horizontal="right" vertical="center"/>
    </xf>
    <xf numFmtId="0" fontId="24" fillId="0" borderId="0" xfId="0" applyFont="1" applyFill="1" applyBorder="1" applyAlignment="1">
      <alignment horizontal="right" vertical="center"/>
    </xf>
    <xf numFmtId="43" fontId="0" fillId="0" borderId="0" xfId="1" applyFont="1" applyFill="1" applyAlignment="1"/>
    <xf numFmtId="41" fontId="19" fillId="0" borderId="8" xfId="0" applyNumberFormat="1" applyFont="1" applyFill="1" applyBorder="1" applyAlignment="1">
      <alignment vertical="center"/>
    </xf>
    <xf numFmtId="168" fontId="19" fillId="0" borderId="1" xfId="1" applyNumberFormat="1" applyFont="1" applyBorder="1" applyAlignment="1">
      <alignment vertical="center"/>
    </xf>
    <xf numFmtId="3" fontId="19" fillId="0" borderId="0" xfId="0" applyNumberFormat="1" applyFont="1" applyAlignment="1">
      <alignment vertical="center"/>
    </xf>
    <xf numFmtId="168" fontId="23" fillId="0" borderId="0" xfId="1" applyNumberFormat="1" applyFont="1" applyFill="1" applyAlignment="1"/>
    <xf numFmtId="0" fontId="23" fillId="0" borderId="0" xfId="4" applyFont="1" applyFill="1" applyAlignment="1">
      <alignment horizontal="right"/>
    </xf>
    <xf numFmtId="43" fontId="19" fillId="0" borderId="0" xfId="1" applyFont="1" applyAlignment="1">
      <alignment vertical="center"/>
    </xf>
    <xf numFmtId="14" fontId="19" fillId="0" borderId="0" xfId="0" applyNumberFormat="1" applyFont="1" applyAlignment="1">
      <alignment vertical="center"/>
    </xf>
    <xf numFmtId="43" fontId="0" fillId="0" borderId="0" xfId="1" applyFont="1" applyAlignment="1"/>
    <xf numFmtId="41" fontId="32" fillId="0" borderId="0" xfId="4" applyNumberFormat="1" applyFont="1" applyFill="1" applyAlignment="1">
      <alignment horizontal="right" vertical="center"/>
    </xf>
    <xf numFmtId="0" fontId="19" fillId="2" borderId="0" xfId="0" applyFont="1" applyFill="1" applyAlignment="1">
      <alignment vertical="center"/>
    </xf>
    <xf numFmtId="0" fontId="19" fillId="0" borderId="0" xfId="0" quotePrefix="1" applyFont="1" applyFill="1" applyAlignment="1">
      <alignment vertical="center"/>
    </xf>
    <xf numFmtId="0" fontId="19" fillId="0" borderId="0" xfId="0" applyFont="1" applyFill="1" applyAlignment="1">
      <alignment vertical="top"/>
    </xf>
    <xf numFmtId="0" fontId="0" fillId="3" borderId="0" xfId="0" applyFill="1" applyAlignment="1">
      <alignment horizontal="left"/>
    </xf>
    <xf numFmtId="0" fontId="0" fillId="0" borderId="0" xfId="0" applyFill="1" applyAlignment="1">
      <alignment horizontal="left"/>
    </xf>
    <xf numFmtId="0" fontId="20" fillId="0" borderId="0" xfId="0" applyFont="1" applyFill="1" applyAlignment="1">
      <alignment horizontal="center" vertical="center"/>
    </xf>
    <xf numFmtId="0" fontId="19" fillId="0" borderId="0" xfId="0" applyFont="1" applyFill="1" applyAlignment="1">
      <alignment horizontal="center" vertical="center"/>
    </xf>
    <xf numFmtId="0" fontId="25" fillId="0" borderId="0" xfId="0" applyNumberFormat="1" applyFont="1" applyAlignment="1">
      <alignment horizontal="center" vertical="center"/>
    </xf>
    <xf numFmtId="15" fontId="25" fillId="0" borderId="0" xfId="0" applyNumberFormat="1" applyFont="1" applyFill="1" applyAlignment="1">
      <alignment horizontal="center" vertical="center"/>
    </xf>
    <xf numFmtId="0" fontId="25" fillId="0" borderId="0" xfId="0" applyFont="1" applyAlignment="1">
      <alignment horizontal="center" vertical="center"/>
    </xf>
    <xf numFmtId="14" fontId="0" fillId="0" borderId="0" xfId="0" applyNumberFormat="1" applyFill="1"/>
    <xf numFmtId="170" fontId="0" fillId="0" borderId="0" xfId="0" applyNumberFormat="1" applyFill="1"/>
    <xf numFmtId="0" fontId="10" fillId="0" borderId="0" xfId="0" applyFont="1" applyFill="1" applyAlignment="1">
      <alignment vertical="center"/>
    </xf>
    <xf numFmtId="0" fontId="27" fillId="0" borderId="0" xfId="0" applyFont="1" applyFill="1" applyAlignment="1">
      <alignment vertical="center"/>
    </xf>
    <xf numFmtId="0" fontId="12" fillId="0" borderId="0" xfId="0" applyFont="1" applyAlignment="1">
      <alignment horizontal="center" vertical="center"/>
    </xf>
    <xf numFmtId="0" fontId="6" fillId="0" borderId="0" xfId="0" applyFont="1" applyAlignment="1">
      <alignment horizontal="left" vertical="center"/>
    </xf>
    <xf numFmtId="0" fontId="4" fillId="0" borderId="0" xfId="0" applyFont="1" applyAlignment="1">
      <alignment horizontal="center" vertical="center"/>
    </xf>
    <xf numFmtId="0" fontId="6" fillId="2" borderId="1" xfId="0" applyFont="1" applyFill="1" applyBorder="1" applyAlignment="1">
      <alignment horizontal="left" vertical="center"/>
    </xf>
    <xf numFmtId="0" fontId="21" fillId="4" borderId="0" xfId="0" applyFont="1" applyFill="1"/>
    <xf numFmtId="0" fontId="0" fillId="0" borderId="0" xfId="0" applyFill="1" applyAlignment="1">
      <alignment horizontal="left"/>
    </xf>
    <xf numFmtId="0" fontId="0" fillId="3" borderId="0" xfId="0" applyFill="1" applyAlignment="1">
      <alignment horizontal="left"/>
    </xf>
    <xf numFmtId="0" fontId="0" fillId="3" borderId="0" xfId="0" applyFill="1" applyAlignment="1">
      <alignment horizontal="left"/>
    </xf>
    <xf numFmtId="168" fontId="19" fillId="0" borderId="0" xfId="0" applyNumberFormat="1" applyFont="1" applyAlignment="1">
      <alignment vertical="center"/>
    </xf>
    <xf numFmtId="0" fontId="19" fillId="0" borderId="0" xfId="7" applyFont="1">
      <alignment vertical="center"/>
    </xf>
    <xf numFmtId="0" fontId="20" fillId="0" borderId="0" xfId="7" applyFont="1">
      <alignment vertical="center"/>
    </xf>
    <xf numFmtId="0" fontId="19" fillId="0" borderId="0" xfId="7" applyFont="1" applyAlignment="1">
      <alignment horizontal="center" vertical="center"/>
    </xf>
    <xf numFmtId="0" fontId="20" fillId="0" borderId="0" xfId="7" applyFont="1" applyAlignment="1">
      <alignment horizontal="center" vertical="center"/>
    </xf>
    <xf numFmtId="41" fontId="19" fillId="0" borderId="0" xfId="7" applyNumberFormat="1" applyFont="1">
      <alignment vertical="center"/>
    </xf>
    <xf numFmtId="41" fontId="19" fillId="0" borderId="1" xfId="7" applyNumberFormat="1" applyFont="1" applyBorder="1">
      <alignment vertical="center"/>
    </xf>
    <xf numFmtId="37" fontId="19" fillId="0" borderId="0" xfId="7" applyNumberFormat="1" applyFont="1">
      <alignment vertical="center"/>
    </xf>
    <xf numFmtId="0" fontId="19" fillId="0" borderId="0" xfId="7" applyFont="1" applyBorder="1">
      <alignment vertical="center"/>
    </xf>
    <xf numFmtId="37" fontId="19" fillId="0" borderId="1" xfId="7" applyNumberFormat="1" applyFont="1" applyBorder="1">
      <alignment vertical="center"/>
    </xf>
    <xf numFmtId="41" fontId="19" fillId="0" borderId="0" xfId="7" applyNumberFormat="1" applyFont="1" applyBorder="1">
      <alignment vertical="center"/>
    </xf>
    <xf numFmtId="37" fontId="19" fillId="0" borderId="16" xfId="7" applyNumberFormat="1" applyFont="1" applyBorder="1">
      <alignment vertical="center"/>
    </xf>
    <xf numFmtId="41" fontId="19" fillId="0" borderId="19" xfId="7" applyNumberFormat="1" applyFont="1" applyBorder="1">
      <alignment vertical="center"/>
    </xf>
    <xf numFmtId="4" fontId="19" fillId="0" borderId="0" xfId="7" applyNumberFormat="1" applyFont="1">
      <alignment vertical="center"/>
    </xf>
    <xf numFmtId="9" fontId="20" fillId="0" borderId="0" xfId="7" applyNumberFormat="1" applyFont="1" applyBorder="1" applyAlignment="1">
      <alignment horizontal="center" vertical="center"/>
    </xf>
    <xf numFmtId="0" fontId="20" fillId="0" borderId="0" xfId="7" applyFont="1" applyBorder="1" applyAlignment="1">
      <alignment horizontal="center" vertical="center"/>
    </xf>
    <xf numFmtId="9" fontId="20" fillId="0" borderId="0" xfId="7" applyNumberFormat="1" applyFont="1" applyAlignment="1">
      <alignment horizontal="center" vertical="center"/>
    </xf>
    <xf numFmtId="0" fontId="19" fillId="0" borderId="0" xfId="7" applyFont="1" applyBorder="1" applyAlignment="1">
      <alignment horizontal="center" vertical="center"/>
    </xf>
    <xf numFmtId="41" fontId="19" fillId="0" borderId="18" xfId="7" applyNumberFormat="1" applyFont="1" applyBorder="1">
      <alignment vertical="center"/>
    </xf>
    <xf numFmtId="41" fontId="19" fillId="0" borderId="1" xfId="0" applyNumberFormat="1" applyFont="1" applyFill="1" applyBorder="1" applyAlignment="1">
      <alignment vertical="center"/>
    </xf>
    <xf numFmtId="41" fontId="24" fillId="0" borderId="0" xfId="0" applyNumberFormat="1" applyFont="1" applyFill="1" applyAlignment="1">
      <alignment horizontal="center" vertical="center"/>
    </xf>
    <xf numFmtId="0" fontId="2" fillId="0" borderId="0" xfId="4" applyFont="1" applyFill="1" applyAlignment="1"/>
    <xf numFmtId="0" fontId="2" fillId="0" borderId="0" xfId="4" applyFont="1" applyAlignment="1"/>
    <xf numFmtId="0" fontId="31" fillId="0" borderId="0" xfId="4" applyFont="1" applyFill="1" applyAlignment="1"/>
    <xf numFmtId="0" fontId="32" fillId="0" borderId="0" xfId="4" applyFont="1" applyFill="1" applyBorder="1" applyAlignment="1">
      <alignment vertical="center"/>
    </xf>
    <xf numFmtId="0" fontId="32" fillId="0" borderId="0" xfId="4" applyFont="1" applyFill="1" applyAlignment="1">
      <alignment vertical="center"/>
    </xf>
    <xf numFmtId="0" fontId="32" fillId="0" borderId="0" xfId="4" applyFont="1" applyFill="1" applyAlignment="1">
      <alignment horizontal="right" vertical="center"/>
    </xf>
    <xf numFmtId="41" fontId="32" fillId="0" borderId="0" xfId="4" applyNumberFormat="1" applyFont="1" applyFill="1" applyBorder="1" applyAlignment="1">
      <alignment horizontal="right" vertical="center"/>
    </xf>
    <xf numFmtId="0" fontId="33" fillId="0" borderId="0" xfId="4" applyFont="1" applyFill="1" applyBorder="1" applyAlignment="1">
      <alignment horizontal="left" vertical="center"/>
    </xf>
    <xf numFmtId="37" fontId="32" fillId="0" borderId="0" xfId="4" applyNumberFormat="1" applyFont="1" applyFill="1" applyBorder="1" applyAlignment="1">
      <alignment horizontal="right" vertical="center"/>
    </xf>
    <xf numFmtId="37" fontId="32" fillId="0" borderId="0" xfId="4" applyNumberFormat="1" applyFont="1" applyFill="1" applyBorder="1" applyAlignment="1">
      <alignment vertical="center"/>
    </xf>
    <xf numFmtId="0" fontId="34" fillId="0" borderId="0" xfId="4" applyFont="1" applyFill="1" applyBorder="1" applyAlignment="1">
      <alignment vertical="center"/>
    </xf>
    <xf numFmtId="0" fontId="32" fillId="0" borderId="0" xfId="4" applyFont="1" applyFill="1" applyBorder="1" applyAlignment="1">
      <alignment horizontal="left" vertical="center"/>
    </xf>
    <xf numFmtId="168" fontId="32" fillId="0" borderId="0" xfId="5" applyNumberFormat="1" applyFont="1" applyFill="1" applyBorder="1" applyAlignment="1">
      <alignment horizontal="right" vertical="center"/>
    </xf>
    <xf numFmtId="0" fontId="34" fillId="0" borderId="0" xfId="4" applyFont="1" applyFill="1" applyBorder="1" applyAlignment="1">
      <alignment horizontal="left" vertical="center"/>
    </xf>
    <xf numFmtId="0" fontId="35" fillId="0" borderId="0" xfId="4" applyFont="1" applyFill="1" applyBorder="1" applyAlignment="1">
      <alignment vertical="center"/>
    </xf>
    <xf numFmtId="0" fontId="38" fillId="0" borderId="0" xfId="4" applyFont="1" applyFill="1" applyAlignment="1"/>
    <xf numFmtId="15" fontId="36" fillId="0" borderId="0" xfId="4" applyNumberFormat="1" applyFont="1" applyFill="1" applyAlignment="1">
      <alignment horizontal="center"/>
    </xf>
    <xf numFmtId="0" fontId="23" fillId="0" borderId="0" xfId="4" applyFont="1" applyFill="1" applyAlignment="1">
      <alignment horizontal="center"/>
    </xf>
    <xf numFmtId="0" fontId="37" fillId="0" borderId="0" xfId="4" applyFont="1" applyFill="1" applyAlignment="1">
      <alignment horizontal="center"/>
    </xf>
    <xf numFmtId="168" fontId="23" fillId="0" borderId="0" xfId="1" applyNumberFormat="1" applyFont="1" applyFill="1" applyBorder="1" applyAlignment="1"/>
    <xf numFmtId="0" fontId="23" fillId="0" borderId="0" xfId="4" quotePrefix="1" applyFont="1" applyFill="1" applyAlignment="1"/>
    <xf numFmtId="168" fontId="23" fillId="0" borderId="18" xfId="1" applyNumberFormat="1" applyFont="1" applyFill="1" applyBorder="1" applyAlignment="1"/>
    <xf numFmtId="0" fontId="2" fillId="0" borderId="0" xfId="4" quotePrefix="1" applyFont="1" applyFill="1" applyAlignment="1"/>
    <xf numFmtId="0" fontId="30" fillId="0" borderId="0" xfId="4" applyFont="1" applyFill="1" applyAlignment="1"/>
    <xf numFmtId="0" fontId="2" fillId="0" borderId="0" xfId="4" applyFont="1" applyFill="1" applyAlignment="1">
      <alignment horizontal="center"/>
    </xf>
    <xf numFmtId="168" fontId="2" fillId="0" borderId="0" xfId="1" applyNumberFormat="1" applyFont="1" applyFill="1" applyBorder="1" applyAlignment="1"/>
    <xf numFmtId="168" fontId="2" fillId="0" borderId="18" xfId="1" applyNumberFormat="1" applyFont="1" applyFill="1" applyBorder="1" applyAlignment="1"/>
    <xf numFmtId="0" fontId="36" fillId="0" borderId="0" xfId="4" applyFont="1" applyFill="1" applyAlignment="1"/>
    <xf numFmtId="168" fontId="23" fillId="0" borderId="0" xfId="1" applyNumberFormat="1" applyFont="1" applyFill="1" applyAlignment="1">
      <alignment horizontal="right"/>
    </xf>
    <xf numFmtId="168" fontId="23" fillId="0" borderId="18" xfId="1" applyNumberFormat="1" applyFont="1" applyFill="1" applyBorder="1" applyAlignment="1">
      <alignment horizontal="right"/>
    </xf>
    <xf numFmtId="0" fontId="24" fillId="0" borderId="0" xfId="0" applyFont="1" applyFill="1" applyAlignment="1">
      <alignment horizontal="right" vertical="center"/>
    </xf>
    <xf numFmtId="0" fontId="0" fillId="0" borderId="0" xfId="0" applyFill="1" applyAlignment="1">
      <alignment horizontal="center"/>
    </xf>
    <xf numFmtId="39" fontId="12" fillId="2" borderId="0" xfId="0" applyNumberFormat="1" applyFont="1" applyFill="1" applyAlignment="1">
      <alignment vertical="center"/>
    </xf>
    <xf numFmtId="0" fontId="8" fillId="2" borderId="0" xfId="0" applyFont="1" applyFill="1" applyAlignment="1">
      <alignment vertical="center"/>
    </xf>
    <xf numFmtId="43" fontId="8" fillId="2" borderId="0" xfId="0" applyNumberFormat="1" applyFont="1" applyFill="1" applyAlignment="1">
      <alignment vertical="center"/>
    </xf>
    <xf numFmtId="39" fontId="8" fillId="2" borderId="0" xfId="0" applyNumberFormat="1" applyFont="1" applyFill="1" applyAlignment="1">
      <alignment vertical="center"/>
    </xf>
    <xf numFmtId="41" fontId="19" fillId="2" borderId="0" xfId="7" applyNumberFormat="1" applyFont="1" applyFill="1">
      <alignment vertical="center"/>
    </xf>
    <xf numFmtId="37" fontId="19" fillId="2" borderId="0" xfId="7" applyNumberFormat="1" applyFont="1" applyFill="1">
      <alignment vertical="center"/>
    </xf>
    <xf numFmtId="168" fontId="19" fillId="2" borderId="0" xfId="8" applyNumberFormat="1" applyFont="1" applyFill="1">
      <alignment vertical="center"/>
    </xf>
    <xf numFmtId="41" fontId="19" fillId="2" borderId="0" xfId="7" applyNumberFormat="1" applyFont="1" applyFill="1" applyBorder="1">
      <alignment vertical="center"/>
    </xf>
    <xf numFmtId="0" fontId="32" fillId="0" borderId="0" xfId="4" applyFont="1" applyAlignment="1">
      <alignment horizontal="right" vertical="center"/>
    </xf>
    <xf numFmtId="0" fontId="38" fillId="0" borderId="0" xfId="4" applyFont="1" applyAlignment="1"/>
    <xf numFmtId="168" fontId="2" fillId="0" borderId="0" xfId="1" applyNumberFormat="1" applyFont="1" applyAlignment="1"/>
    <xf numFmtId="168" fontId="2" fillId="0" borderId="18" xfId="1" applyNumberFormat="1" applyFont="1" applyBorder="1" applyAlignment="1"/>
    <xf numFmtId="0" fontId="2" fillId="0" borderId="0" xfId="4" quotePrefix="1" applyFont="1" applyAlignment="1"/>
    <xf numFmtId="0" fontId="37" fillId="0" borderId="0" xfId="4" applyFont="1" applyAlignment="1"/>
    <xf numFmtId="0" fontId="36" fillId="0" borderId="0" xfId="4" quotePrefix="1" applyFont="1" applyAlignment="1"/>
    <xf numFmtId="0" fontId="37" fillId="0" borderId="0" xfId="4" quotePrefix="1" applyFont="1" applyAlignment="1"/>
    <xf numFmtId="0" fontId="0" fillId="5" borderId="0" xfId="0" applyFill="1"/>
    <xf numFmtId="0" fontId="0" fillId="6" borderId="0" xfId="0" applyFill="1"/>
    <xf numFmtId="0" fontId="0" fillId="3" borderId="0" xfId="0" applyFill="1" applyAlignment="1" applyProtection="1">
      <alignment horizontal="left"/>
      <protection locked="0"/>
    </xf>
    <xf numFmtId="170" fontId="0" fillId="3" borderId="0" xfId="0" applyNumberFormat="1" applyFill="1" applyProtection="1">
      <protection locked="0"/>
    </xf>
    <xf numFmtId="14" fontId="0" fillId="3" borderId="0" xfId="0" applyNumberFormat="1" applyFill="1" applyProtection="1">
      <protection locked="0"/>
    </xf>
    <xf numFmtId="0" fontId="0" fillId="3" borderId="0" xfId="0" applyFill="1" applyProtection="1">
      <protection locked="0"/>
    </xf>
    <xf numFmtId="0" fontId="0" fillId="3" borderId="0" xfId="0" applyFill="1" applyAlignment="1" applyProtection="1">
      <protection locked="0"/>
    </xf>
    <xf numFmtId="14" fontId="0" fillId="3" borderId="0" xfId="0" quotePrefix="1" applyNumberFormat="1" applyFill="1" applyProtection="1">
      <protection locked="0"/>
    </xf>
    <xf numFmtId="0" fontId="0" fillId="3" borderId="0" xfId="0" quotePrefix="1" applyFill="1" applyProtection="1">
      <protection locked="0"/>
    </xf>
    <xf numFmtId="43" fontId="0" fillId="3" borderId="0" xfId="1" applyFont="1" applyFill="1" applyAlignment="1" applyProtection="1">
      <protection locked="0"/>
    </xf>
    <xf numFmtId="3" fontId="0" fillId="3" borderId="0" xfId="0" applyNumberFormat="1" applyFill="1" applyProtection="1">
      <protection locked="0"/>
    </xf>
    <xf numFmtId="0" fontId="34" fillId="3" borderId="0" xfId="0" applyFont="1" applyFill="1" applyProtection="1">
      <protection locked="0"/>
    </xf>
    <xf numFmtId="0" fontId="0" fillId="6" borderId="0" xfId="0" applyFill="1" applyProtection="1">
      <protection locked="0"/>
    </xf>
    <xf numFmtId="0" fontId="0" fillId="0" borderId="0" xfId="0" applyProtection="1">
      <protection locked="0"/>
    </xf>
    <xf numFmtId="0" fontId="0" fillId="0" borderId="0" xfId="0" applyFill="1" applyProtection="1">
      <protection locked="0"/>
    </xf>
    <xf numFmtId="0" fontId="40" fillId="0" borderId="0" xfId="0" applyFont="1"/>
    <xf numFmtId="0" fontId="42" fillId="0" borderId="0" xfId="0" applyFont="1"/>
    <xf numFmtId="0" fontId="40" fillId="0" borderId="0" xfId="0" applyFont="1" applyFill="1"/>
    <xf numFmtId="0" fontId="21" fillId="6" borderId="0" xfId="0" applyFont="1" applyFill="1"/>
    <xf numFmtId="0" fontId="29" fillId="0" borderId="0" xfId="3" applyProtection="1">
      <protection locked="0"/>
    </xf>
    <xf numFmtId="41" fontId="24" fillId="2" borderId="0" xfId="0" applyNumberFormat="1" applyFont="1" applyFill="1" applyAlignment="1" applyProtection="1">
      <alignment horizontal="right" vertical="center"/>
      <protection locked="0"/>
    </xf>
    <xf numFmtId="41" fontId="24" fillId="2" borderId="1" xfId="0" applyNumberFormat="1" applyFont="1" applyFill="1" applyBorder="1" applyAlignment="1" applyProtection="1">
      <alignment horizontal="right" vertical="center"/>
      <protection locked="0"/>
    </xf>
    <xf numFmtId="41" fontId="24" fillId="2" borderId="0" xfId="0" applyNumberFormat="1" applyFont="1" applyFill="1" applyBorder="1" applyAlignment="1" applyProtection="1">
      <alignment horizontal="right" vertical="center"/>
      <protection locked="0"/>
    </xf>
    <xf numFmtId="0" fontId="43" fillId="0" borderId="0" xfId="0" applyFont="1" applyAlignment="1">
      <alignment vertical="center"/>
    </xf>
    <xf numFmtId="0" fontId="43" fillId="0" borderId="0" xfId="0" applyFont="1"/>
    <xf numFmtId="0" fontId="21" fillId="6" borderId="0" xfId="0" applyFont="1" applyFill="1" applyAlignment="1">
      <alignment horizontal="right"/>
    </xf>
    <xf numFmtId="43" fontId="0" fillId="0" borderId="18" xfId="1" applyFont="1" applyBorder="1" applyAlignment="1"/>
    <xf numFmtId="43" fontId="0" fillId="0" borderId="18" xfId="1" applyFont="1" applyFill="1" applyBorder="1" applyAlignment="1"/>
    <xf numFmtId="43" fontId="0" fillId="0" borderId="0" xfId="1" applyFont="1" applyFill="1" applyAlignment="1" applyProtection="1">
      <protection hidden="1"/>
    </xf>
    <xf numFmtId="0" fontId="24" fillId="0" borderId="0" xfId="0" applyFont="1" applyFill="1" applyAlignment="1" applyProtection="1">
      <alignment vertical="center"/>
      <protection hidden="1"/>
    </xf>
    <xf numFmtId="0" fontId="0" fillId="6" borderId="0" xfId="0" applyFill="1" applyAlignment="1">
      <alignment horizontal="center"/>
    </xf>
    <xf numFmtId="0" fontId="0" fillId="0" borderId="0" xfId="0" applyFill="1" applyProtection="1">
      <protection hidden="1"/>
    </xf>
    <xf numFmtId="0" fontId="23" fillId="0" borderId="0" xfId="4" applyFont="1" applyFill="1" applyAlignment="1" applyProtection="1">
      <protection hidden="1"/>
    </xf>
    <xf numFmtId="0" fontId="23" fillId="0" borderId="0" xfId="4" applyFont="1" applyAlignment="1" applyProtection="1">
      <protection hidden="1"/>
    </xf>
    <xf numFmtId="0" fontId="23" fillId="6" borderId="0" xfId="4" applyFont="1" applyFill="1" applyAlignment="1"/>
    <xf numFmtId="0" fontId="40" fillId="0" borderId="0" xfId="0" applyFont="1" applyProtection="1">
      <protection hidden="1"/>
    </xf>
    <xf numFmtId="43" fontId="40" fillId="0" borderId="0" xfId="1" applyFont="1" applyAlignment="1" applyProtection="1">
      <protection hidden="1"/>
    </xf>
    <xf numFmtId="43" fontId="40" fillId="0" borderId="18" xfId="1" applyFont="1" applyBorder="1" applyAlignment="1" applyProtection="1">
      <protection hidden="1"/>
    </xf>
    <xf numFmtId="0" fontId="40" fillId="0" borderId="18" xfId="0" applyFont="1" applyBorder="1" applyProtection="1">
      <protection hidden="1"/>
    </xf>
    <xf numFmtId="43" fontId="40" fillId="0" borderId="0" xfId="1" applyFont="1" applyFill="1" applyBorder="1" applyAlignment="1" applyProtection="1">
      <protection hidden="1"/>
    </xf>
    <xf numFmtId="0" fontId="24" fillId="0" borderId="0" xfId="0" applyFont="1" applyAlignment="1" applyProtection="1">
      <alignment horizontal="right" vertical="center"/>
      <protection locked="0"/>
    </xf>
    <xf numFmtId="167" fontId="26" fillId="0" borderId="0" xfId="0" applyNumberFormat="1" applyFont="1" applyAlignment="1" applyProtection="1">
      <alignment horizontal="right" vertical="center"/>
      <protection locked="0"/>
    </xf>
    <xf numFmtId="0" fontId="24" fillId="0" borderId="0" xfId="0" applyFont="1" applyBorder="1" applyAlignment="1" applyProtection="1">
      <alignment horizontal="right" vertical="center"/>
      <protection locked="0"/>
    </xf>
    <xf numFmtId="0" fontId="24" fillId="0" borderId="0" xfId="0" applyFont="1" applyAlignment="1" applyProtection="1">
      <alignment vertical="center"/>
    </xf>
    <xf numFmtId="0" fontId="40" fillId="0" borderId="0" xfId="0" applyFont="1" applyFill="1" applyProtection="1">
      <protection hidden="1"/>
    </xf>
    <xf numFmtId="0" fontId="43" fillId="0" borderId="0" xfId="0" applyFont="1" applyFill="1" applyAlignment="1" applyProtection="1">
      <alignment vertical="center"/>
      <protection hidden="1"/>
    </xf>
    <xf numFmtId="43" fontId="43" fillId="0" borderId="0" xfId="0" applyNumberFormat="1" applyFont="1" applyFill="1" applyAlignment="1" applyProtection="1">
      <alignment vertical="center"/>
      <protection hidden="1"/>
    </xf>
    <xf numFmtId="41" fontId="43" fillId="0" borderId="0" xfId="0" applyNumberFormat="1" applyFont="1" applyFill="1" applyAlignment="1" applyProtection="1">
      <alignment vertical="center"/>
      <protection hidden="1"/>
    </xf>
    <xf numFmtId="41" fontId="40" fillId="0" borderId="0" xfId="0" applyNumberFormat="1" applyFont="1" applyFill="1" applyProtection="1">
      <protection hidden="1"/>
    </xf>
    <xf numFmtId="0" fontId="10" fillId="2" borderId="0" xfId="0" applyFont="1" applyFill="1" applyAlignment="1" applyProtection="1">
      <alignment vertical="center"/>
      <protection locked="0"/>
    </xf>
    <xf numFmtId="0" fontId="24" fillId="2" borderId="0" xfId="0" applyFont="1" applyFill="1" applyAlignment="1" applyProtection="1">
      <alignment vertical="center"/>
      <protection locked="0"/>
    </xf>
    <xf numFmtId="0" fontId="24" fillId="0" borderId="0" xfId="0" applyFont="1" applyFill="1" applyAlignment="1" applyProtection="1">
      <alignment horizontal="right" vertical="center"/>
      <protection locked="0"/>
    </xf>
    <xf numFmtId="43" fontId="44" fillId="0" borderId="0" xfId="4" applyNumberFormat="1" applyFont="1" applyFill="1" applyAlignment="1" applyProtection="1">
      <protection hidden="1"/>
    </xf>
    <xf numFmtId="0" fontId="44" fillId="0" borderId="0" xfId="4" applyFont="1" applyFill="1" applyAlignment="1" applyProtection="1">
      <protection hidden="1"/>
    </xf>
    <xf numFmtId="0" fontId="44" fillId="0" borderId="0" xfId="4" applyFont="1" applyAlignment="1" applyProtection="1">
      <protection hidden="1"/>
    </xf>
    <xf numFmtId="0" fontId="30" fillId="0" borderId="0" xfId="4" applyFill="1" applyAlignment="1" applyProtection="1">
      <protection hidden="1"/>
    </xf>
    <xf numFmtId="0" fontId="45" fillId="0" borderId="0" xfId="4" applyFont="1" applyFill="1" applyAlignment="1" applyProtection="1">
      <protection hidden="1"/>
    </xf>
    <xf numFmtId="43" fontId="45" fillId="0" borderId="0" xfId="4" applyNumberFormat="1" applyFont="1" applyFill="1" applyAlignment="1" applyProtection="1">
      <protection hidden="1"/>
    </xf>
    <xf numFmtId="0" fontId="45" fillId="0" borderId="0" xfId="4" applyFont="1" applyAlignment="1" applyProtection="1">
      <protection hidden="1"/>
    </xf>
    <xf numFmtId="0" fontId="30" fillId="0" borderId="0" xfId="4" applyAlignment="1" applyProtection="1">
      <protection hidden="1"/>
    </xf>
    <xf numFmtId="0" fontId="2" fillId="0" borderId="0" xfId="4" applyFont="1" applyFill="1" applyAlignment="1" applyProtection="1">
      <protection hidden="1"/>
    </xf>
    <xf numFmtId="0" fontId="30" fillId="0" borderId="0" xfId="4" applyFont="1" applyFill="1" applyAlignment="1" applyProtection="1">
      <protection hidden="1"/>
    </xf>
    <xf numFmtId="0" fontId="10" fillId="0" borderId="0" xfId="0" applyFont="1" applyFill="1" applyAlignment="1" applyProtection="1">
      <alignment vertical="center"/>
      <protection hidden="1"/>
    </xf>
    <xf numFmtId="0" fontId="2" fillId="0" borderId="0" xfId="4" applyFont="1" applyAlignment="1" applyProtection="1">
      <protection hidden="1"/>
    </xf>
    <xf numFmtId="0" fontId="30" fillId="0" borderId="0" xfId="4" applyFont="1" applyAlignment="1" applyProtection="1">
      <protection hidden="1"/>
    </xf>
    <xf numFmtId="0" fontId="2" fillId="2" borderId="0" xfId="4" applyFont="1" applyFill="1" applyAlignment="1" applyProtection="1">
      <protection locked="0"/>
    </xf>
    <xf numFmtId="9" fontId="2" fillId="2" borderId="0" xfId="4" quotePrefix="1" applyNumberFormat="1" applyFont="1" applyFill="1" applyAlignment="1" applyProtection="1">
      <protection locked="0"/>
    </xf>
    <xf numFmtId="41" fontId="32" fillId="2" borderId="0" xfId="4" applyNumberFormat="1" applyFont="1" applyFill="1" applyAlignment="1" applyProtection="1">
      <alignment horizontal="right" vertical="center"/>
      <protection locked="0"/>
    </xf>
    <xf numFmtId="41" fontId="32" fillId="2" borderId="19" xfId="4" applyNumberFormat="1" applyFont="1" applyFill="1" applyBorder="1" applyAlignment="1" applyProtection="1">
      <alignment horizontal="right" vertical="center"/>
      <protection locked="0"/>
    </xf>
    <xf numFmtId="41" fontId="32" fillId="2" borderId="0" xfId="4" applyNumberFormat="1" applyFont="1" applyFill="1" applyBorder="1" applyAlignment="1" applyProtection="1">
      <alignment horizontal="right" vertical="center"/>
      <protection locked="0"/>
    </xf>
    <xf numFmtId="0" fontId="23" fillId="2" borderId="0" xfId="4" applyFont="1" applyFill="1" applyAlignment="1" applyProtection="1">
      <protection locked="0"/>
    </xf>
    <xf numFmtId="168" fontId="32" fillId="2" borderId="0" xfId="5" applyNumberFormat="1" applyFont="1" applyFill="1" applyBorder="1" applyAlignment="1" applyProtection="1">
      <alignment horizontal="right" vertical="center"/>
      <protection locked="0"/>
    </xf>
    <xf numFmtId="168" fontId="32" fillId="0" borderId="0" xfId="5" applyNumberFormat="1" applyFont="1" applyFill="1" applyBorder="1" applyAlignment="1" applyProtection="1">
      <alignment horizontal="right" vertical="center"/>
      <protection locked="0"/>
    </xf>
    <xf numFmtId="168" fontId="2" fillId="2" borderId="0" xfId="1" applyNumberFormat="1" applyFont="1" applyFill="1" applyAlignment="1" applyProtection="1">
      <protection locked="0"/>
    </xf>
    <xf numFmtId="168" fontId="2" fillId="2" borderId="1" xfId="1" applyNumberFormat="1" applyFont="1" applyFill="1" applyBorder="1" applyAlignment="1" applyProtection="1">
      <protection locked="0"/>
    </xf>
    <xf numFmtId="0" fontId="23" fillId="2" borderId="0" xfId="4" quotePrefix="1" applyFont="1" applyFill="1" applyAlignment="1" applyProtection="1">
      <protection locked="0"/>
    </xf>
    <xf numFmtId="168" fontId="23" fillId="2" borderId="0" xfId="1" applyNumberFormat="1" applyFont="1" applyFill="1" applyBorder="1" applyAlignment="1" applyProtection="1">
      <protection locked="0"/>
    </xf>
    <xf numFmtId="168" fontId="2" fillId="2" borderId="0" xfId="1" applyNumberFormat="1" applyFont="1" applyFill="1" applyBorder="1" applyAlignment="1" applyProtection="1">
      <protection locked="0"/>
    </xf>
    <xf numFmtId="168" fontId="2" fillId="0" borderId="0" xfId="1" applyNumberFormat="1" applyFont="1" applyFill="1" applyBorder="1" applyAlignment="1" applyProtection="1">
      <protection locked="0"/>
    </xf>
    <xf numFmtId="0" fontId="36" fillId="2" borderId="0" xfId="4" applyFont="1" applyFill="1" applyAlignment="1" applyProtection="1">
      <protection locked="0"/>
    </xf>
    <xf numFmtId="0" fontId="23" fillId="2" borderId="0" xfId="4" applyFont="1" applyFill="1" applyAlignment="1" applyProtection="1">
      <alignment wrapText="1"/>
      <protection locked="0"/>
    </xf>
    <xf numFmtId="168" fontId="23" fillId="2" borderId="19" xfId="1" applyNumberFormat="1" applyFont="1" applyFill="1" applyBorder="1" applyAlignment="1" applyProtection="1">
      <protection locked="0"/>
    </xf>
    <xf numFmtId="168" fontId="23" fillId="2" borderId="19" xfId="1" applyNumberFormat="1" applyFont="1" applyFill="1" applyBorder="1" applyAlignment="1" applyProtection="1">
      <alignment horizontal="right"/>
      <protection locked="0"/>
    </xf>
    <xf numFmtId="168" fontId="23" fillId="2" borderId="0" xfId="1" applyNumberFormat="1" applyFont="1" applyFill="1" applyAlignment="1" applyProtection="1">
      <alignment horizontal="right"/>
      <protection locked="0"/>
    </xf>
    <xf numFmtId="168" fontId="23" fillId="0" borderId="0" xfId="1" applyNumberFormat="1" applyFont="1" applyFill="1" applyAlignment="1" applyProtection="1">
      <alignment horizontal="right"/>
      <protection locked="0"/>
    </xf>
    <xf numFmtId="41" fontId="24" fillId="0" borderId="1" xfId="0" applyNumberFormat="1" applyFont="1" applyFill="1" applyBorder="1" applyAlignment="1" applyProtection="1">
      <alignment horizontal="right" vertical="center"/>
      <protection hidden="1"/>
    </xf>
    <xf numFmtId="41" fontId="32" fillId="0" borderId="0" xfId="4" applyNumberFormat="1" applyFont="1" applyFill="1" applyAlignment="1" applyProtection="1">
      <alignment horizontal="right" vertical="center"/>
      <protection hidden="1"/>
    </xf>
    <xf numFmtId="0" fontId="32" fillId="0" borderId="0" xfId="4" applyFont="1" applyFill="1" applyBorder="1" applyAlignment="1" applyProtection="1">
      <alignment horizontal="center" vertical="center"/>
      <protection hidden="1"/>
    </xf>
    <xf numFmtId="0" fontId="34" fillId="0" borderId="0" xfId="4" applyFont="1" applyFill="1" applyBorder="1" applyAlignment="1" applyProtection="1">
      <alignment horizontal="center" vertical="center"/>
      <protection hidden="1"/>
    </xf>
    <xf numFmtId="0" fontId="4" fillId="0" borderId="0" xfId="0" applyFont="1" applyFill="1" applyAlignment="1">
      <alignment vertical="center"/>
    </xf>
    <xf numFmtId="0" fontId="8" fillId="0" borderId="0" xfId="0" applyFont="1" applyFill="1" applyAlignment="1">
      <alignment vertical="center"/>
    </xf>
    <xf numFmtId="43" fontId="8" fillId="0" borderId="0" xfId="0" applyNumberFormat="1" applyFont="1" applyFill="1" applyAlignment="1">
      <alignment vertical="center"/>
    </xf>
    <xf numFmtId="0" fontId="8" fillId="0" borderId="0" xfId="0" applyFont="1" applyFill="1" applyBorder="1" applyAlignment="1">
      <alignment vertical="center"/>
    </xf>
    <xf numFmtId="0" fontId="12" fillId="0" borderId="0" xfId="0" applyFont="1" applyFill="1" applyAlignment="1">
      <alignment horizontal="center"/>
    </xf>
    <xf numFmtId="43" fontId="12" fillId="0" borderId="1" xfId="0" applyNumberFormat="1" applyFont="1" applyFill="1" applyBorder="1" applyAlignment="1">
      <alignment horizontal="center"/>
    </xf>
    <xf numFmtId="0" fontId="12" fillId="0" borderId="0" xfId="0" applyFont="1" applyFill="1" applyBorder="1" applyAlignment="1">
      <alignment horizontal="center"/>
    </xf>
    <xf numFmtId="0" fontId="12" fillId="0" borderId="0" xfId="0" applyFont="1" applyFill="1" applyAlignment="1">
      <alignment horizontal="center" vertical="center"/>
    </xf>
    <xf numFmtId="43" fontId="12" fillId="0" borderId="0" xfId="0" applyNumberFormat="1" applyFont="1" applyFill="1" applyAlignment="1">
      <alignment horizontal="center" vertical="center"/>
    </xf>
    <xf numFmtId="0" fontId="12" fillId="0" borderId="0" xfId="0" applyFont="1" applyFill="1" applyBorder="1" applyAlignment="1">
      <alignment horizontal="center" vertical="center"/>
    </xf>
    <xf numFmtId="0" fontId="12" fillId="0" borderId="0" xfId="0" applyFont="1" applyFill="1" applyAlignment="1">
      <alignment vertical="center"/>
    </xf>
    <xf numFmtId="43" fontId="12" fillId="0" borderId="0" xfId="0" applyNumberFormat="1" applyFont="1" applyFill="1" applyAlignment="1">
      <alignment vertical="center"/>
    </xf>
    <xf numFmtId="0" fontId="12" fillId="0" borderId="0" xfId="0" applyFont="1" applyFill="1" applyBorder="1" applyAlignment="1">
      <alignment vertical="center"/>
    </xf>
    <xf numFmtId="49" fontId="8" fillId="0" borderId="0" xfId="0" applyNumberFormat="1" applyFont="1" applyFill="1" applyAlignment="1">
      <alignment vertical="center"/>
    </xf>
    <xf numFmtId="39" fontId="8" fillId="0" borderId="0" xfId="0" applyNumberFormat="1" applyFont="1" applyFill="1" applyAlignment="1">
      <alignment vertical="center"/>
    </xf>
    <xf numFmtId="0" fontId="49" fillId="0" borderId="0" xfId="0" applyFont="1" applyFill="1" applyAlignment="1">
      <alignment vertical="center"/>
    </xf>
    <xf numFmtId="43" fontId="49" fillId="0" borderId="0" xfId="0" applyNumberFormat="1" applyFont="1" applyFill="1" applyAlignment="1">
      <alignment vertical="center"/>
    </xf>
    <xf numFmtId="0" fontId="49" fillId="0" borderId="0" xfId="0" applyFont="1" applyFill="1" applyBorder="1" applyAlignment="1">
      <alignment vertical="center"/>
    </xf>
    <xf numFmtId="39" fontId="12" fillId="0" borderId="18" xfId="0" applyNumberFormat="1" applyFont="1" applyFill="1" applyBorder="1" applyAlignment="1">
      <alignment vertical="center"/>
    </xf>
    <xf numFmtId="39" fontId="12" fillId="0" borderId="0" xfId="0" applyNumberFormat="1" applyFont="1" applyFill="1" applyBorder="1" applyAlignment="1">
      <alignment vertical="center"/>
    </xf>
    <xf numFmtId="0" fontId="4" fillId="0" borderId="0" xfId="0" applyFont="1" applyFill="1" applyAlignment="1" applyProtection="1">
      <alignment vertical="center"/>
      <protection hidden="1"/>
    </xf>
    <xf numFmtId="0" fontId="46" fillId="0" borderId="0" xfId="0" applyFont="1" applyAlignment="1" applyProtection="1">
      <alignment vertical="center"/>
      <protection hidden="1"/>
    </xf>
    <xf numFmtId="0" fontId="47" fillId="0" borderId="0" xfId="0" applyFont="1" applyAlignment="1" applyProtection="1">
      <alignment horizontal="left"/>
      <protection hidden="1"/>
    </xf>
    <xf numFmtId="0" fontId="47" fillId="0" borderId="0" xfId="0" applyFont="1" applyAlignment="1" applyProtection="1">
      <alignment horizontal="left" vertical="center"/>
      <protection hidden="1"/>
    </xf>
    <xf numFmtId="0" fontId="12" fillId="0" borderId="0" xfId="0" applyFont="1" applyFill="1" applyAlignment="1" applyProtection="1">
      <alignment horizontal="center"/>
      <protection hidden="1"/>
    </xf>
    <xf numFmtId="0" fontId="50" fillId="0" borderId="0" xfId="0" applyFont="1" applyFill="1" applyAlignment="1" applyProtection="1">
      <alignment horizontal="center"/>
      <protection hidden="1"/>
    </xf>
    <xf numFmtId="0" fontId="12" fillId="0" borderId="0" xfId="0" applyFont="1" applyFill="1" applyAlignment="1" applyProtection="1">
      <alignment horizontal="center" vertical="center"/>
      <protection hidden="1"/>
    </xf>
    <xf numFmtId="0" fontId="50" fillId="0" borderId="0" xfId="0" applyFont="1" applyAlignment="1" applyProtection="1">
      <alignment horizontal="left" wrapText="1"/>
      <protection hidden="1"/>
    </xf>
    <xf numFmtId="0" fontId="12" fillId="0" borderId="0" xfId="0" applyFont="1" applyFill="1" applyAlignment="1" applyProtection="1">
      <alignment vertical="center"/>
      <protection hidden="1"/>
    </xf>
    <xf numFmtId="0" fontId="50" fillId="0" borderId="0" xfId="0" applyFont="1" applyFill="1" applyAlignment="1" applyProtection="1">
      <alignment vertical="center"/>
      <protection hidden="1"/>
    </xf>
    <xf numFmtId="0" fontId="8" fillId="0" borderId="0" xfId="0" applyFont="1" applyFill="1" applyAlignment="1" applyProtection="1">
      <alignment vertical="center"/>
      <protection hidden="1"/>
    </xf>
    <xf numFmtId="0" fontId="47" fillId="0" borderId="0" xfId="0" applyFont="1" applyFill="1" applyAlignment="1" applyProtection="1">
      <alignment vertical="center"/>
      <protection hidden="1"/>
    </xf>
    <xf numFmtId="0" fontId="49" fillId="0" borderId="0" xfId="0" applyFont="1" applyFill="1" applyAlignment="1" applyProtection="1">
      <alignment vertical="center"/>
      <protection hidden="1"/>
    </xf>
    <xf numFmtId="0" fontId="51" fillId="0" borderId="0" xfId="0" applyFont="1" applyFill="1" applyAlignment="1" applyProtection="1">
      <alignment vertical="center"/>
      <protection hidden="1"/>
    </xf>
    <xf numFmtId="0" fontId="46" fillId="0" borderId="0" xfId="0" applyFont="1" applyFill="1" applyAlignment="1" applyProtection="1">
      <alignment vertical="center"/>
      <protection hidden="1"/>
    </xf>
    <xf numFmtId="0" fontId="12" fillId="0" borderId="0" xfId="0" applyFont="1" applyFill="1" applyAlignment="1" applyProtection="1">
      <alignment horizontal="center" wrapText="1"/>
      <protection hidden="1"/>
    </xf>
    <xf numFmtId="0" fontId="37" fillId="2" borderId="0" xfId="4" applyFont="1" applyFill="1" applyAlignment="1" applyProtection="1">
      <protection locked="0"/>
    </xf>
    <xf numFmtId="168" fontId="23" fillId="2" borderId="0" xfId="1" applyNumberFormat="1" applyFont="1" applyFill="1" applyAlignment="1" applyProtection="1">
      <protection locked="0"/>
    </xf>
    <xf numFmtId="168" fontId="23" fillId="2" borderId="1" xfId="1" applyNumberFormat="1" applyFont="1" applyFill="1" applyBorder="1" applyAlignment="1" applyProtection="1">
      <protection locked="0"/>
    </xf>
    <xf numFmtId="168" fontId="23" fillId="2" borderId="18" xfId="1" applyNumberFormat="1" applyFont="1" applyFill="1" applyBorder="1" applyAlignment="1" applyProtection="1">
      <protection locked="0"/>
    </xf>
    <xf numFmtId="0" fontId="30" fillId="2" borderId="0" xfId="4" applyFill="1" applyAlignment="1" applyProtection="1">
      <protection locked="0"/>
    </xf>
    <xf numFmtId="0" fontId="0" fillId="8" borderId="2" xfId="0" applyFill="1" applyBorder="1" applyProtection="1">
      <protection locked="0"/>
    </xf>
    <xf numFmtId="14" fontId="0" fillId="8" borderId="2" xfId="0" applyNumberFormat="1" applyFill="1" applyBorder="1" applyProtection="1">
      <protection locked="0"/>
    </xf>
    <xf numFmtId="0" fontId="0" fillId="8" borderId="2" xfId="0" applyFill="1" applyBorder="1" applyAlignment="1" applyProtection="1">
      <alignment horizontal="right"/>
      <protection locked="0"/>
    </xf>
    <xf numFmtId="41" fontId="24" fillId="0" borderId="0" xfId="0" applyNumberFormat="1" applyFont="1" applyFill="1" applyAlignment="1" applyProtection="1">
      <alignment horizontal="center" vertical="center"/>
    </xf>
    <xf numFmtId="0" fontId="24" fillId="0" borderId="0" xfId="0" applyFont="1" applyFill="1" applyAlignment="1" applyProtection="1">
      <alignment horizontal="right" vertical="center"/>
    </xf>
    <xf numFmtId="0" fontId="24" fillId="0" borderId="0" xfId="0" applyFont="1" applyFill="1" applyAlignment="1" applyProtection="1">
      <alignment vertical="center"/>
    </xf>
    <xf numFmtId="0" fontId="43" fillId="0" borderId="0" xfId="0" applyFont="1" applyFill="1" applyAlignment="1" applyProtection="1">
      <alignment vertical="center"/>
    </xf>
    <xf numFmtId="168" fontId="0" fillId="3" borderId="0" xfId="1" applyNumberFormat="1" applyFont="1" applyFill="1" applyAlignment="1"/>
    <xf numFmtId="0" fontId="2" fillId="7" borderId="0" xfId="4" applyFont="1" applyFill="1" applyAlignment="1" applyProtection="1">
      <protection locked="0"/>
    </xf>
    <xf numFmtId="0" fontId="0" fillId="0" borderId="0" xfId="0" applyProtection="1">
      <protection hidden="1"/>
    </xf>
    <xf numFmtId="0" fontId="0" fillId="0" borderId="0" xfId="0" applyFill="1" applyAlignment="1" applyProtection="1">
      <alignment horizontal="center"/>
      <protection hidden="1"/>
    </xf>
    <xf numFmtId="0" fontId="24" fillId="0" borderId="0" xfId="0" applyFont="1" applyFill="1" applyAlignment="1" applyProtection="1">
      <alignment horizontal="center" vertical="center"/>
      <protection hidden="1"/>
    </xf>
    <xf numFmtId="0" fontId="24" fillId="0" borderId="0" xfId="0" applyFont="1" applyFill="1" applyAlignment="1" applyProtection="1">
      <alignment horizontal="right" vertical="center"/>
      <protection hidden="1"/>
    </xf>
    <xf numFmtId="41" fontId="24" fillId="0" borderId="0" xfId="0" applyNumberFormat="1" applyFont="1" applyFill="1" applyAlignment="1" applyProtection="1">
      <alignment horizontal="center" vertical="center"/>
      <protection hidden="1"/>
    </xf>
    <xf numFmtId="0" fontId="24" fillId="0" borderId="0" xfId="0" applyFont="1" applyFill="1" applyBorder="1" applyAlignment="1" applyProtection="1">
      <alignment horizontal="right" vertical="center"/>
      <protection hidden="1"/>
    </xf>
    <xf numFmtId="41" fontId="24" fillId="2" borderId="1" xfId="0" applyNumberFormat="1" applyFont="1" applyFill="1" applyBorder="1" applyAlignment="1" applyProtection="1">
      <alignment horizontal="right" vertical="center"/>
      <protection hidden="1"/>
    </xf>
    <xf numFmtId="0" fontId="21" fillId="6" borderId="0" xfId="0" applyFont="1" applyFill="1" applyAlignment="1">
      <alignment horizontal="left"/>
    </xf>
    <xf numFmtId="0" fontId="32" fillId="0" borderId="0" xfId="4" applyFont="1" applyFill="1" applyBorder="1" applyAlignment="1" applyProtection="1">
      <alignment horizontal="left" vertical="center"/>
      <protection hidden="1"/>
    </xf>
    <xf numFmtId="168" fontId="32" fillId="0" borderId="0" xfId="5" applyNumberFormat="1" applyFont="1" applyFill="1" applyBorder="1" applyAlignment="1" applyProtection="1">
      <alignment horizontal="right" vertical="center"/>
      <protection hidden="1"/>
    </xf>
    <xf numFmtId="0" fontId="30" fillId="2" borderId="0" xfId="4" applyFill="1" applyAlignment="1"/>
    <xf numFmtId="0" fontId="38" fillId="0" borderId="0" xfId="4" applyFont="1" applyAlignment="1" applyProtection="1">
      <protection hidden="1"/>
    </xf>
    <xf numFmtId="15" fontId="36" fillId="0" borderId="0" xfId="4" applyNumberFormat="1" applyFont="1" applyFill="1" applyAlignment="1" applyProtection="1">
      <alignment horizontal="center"/>
      <protection hidden="1"/>
    </xf>
    <xf numFmtId="0" fontId="23" fillId="0" borderId="0" xfId="4" applyFont="1" applyFill="1" applyAlignment="1" applyProtection="1">
      <alignment horizontal="center"/>
      <protection hidden="1"/>
    </xf>
    <xf numFmtId="0" fontId="37" fillId="0" borderId="0" xfId="4" applyFont="1" applyFill="1" applyAlignment="1" applyProtection="1">
      <alignment horizontal="center"/>
      <protection hidden="1"/>
    </xf>
    <xf numFmtId="168" fontId="23" fillId="0" borderId="0" xfId="1" applyNumberFormat="1" applyFont="1" applyFill="1" applyBorder="1" applyAlignment="1" applyProtection="1">
      <protection hidden="1"/>
    </xf>
    <xf numFmtId="0" fontId="23" fillId="0" borderId="0" xfId="4" quotePrefix="1" applyFont="1" applyFill="1" applyAlignment="1" applyProtection="1">
      <protection hidden="1"/>
    </xf>
    <xf numFmtId="0" fontId="2" fillId="6" borderId="0" xfId="4" quotePrefix="1" applyFont="1" applyFill="1" applyAlignment="1" applyProtection="1">
      <protection hidden="1"/>
    </xf>
    <xf numFmtId="0" fontId="23" fillId="6" borderId="0" xfId="4" applyFont="1" applyFill="1" applyAlignment="1" applyProtection="1">
      <protection hidden="1"/>
    </xf>
    <xf numFmtId="168" fontId="23" fillId="6" borderId="0" xfId="1" applyNumberFormat="1" applyFont="1" applyFill="1" applyBorder="1" applyAlignment="1" applyProtection="1">
      <protection hidden="1"/>
    </xf>
    <xf numFmtId="0" fontId="2" fillId="0" borderId="0" xfId="4" quotePrefix="1" applyFont="1" applyFill="1" applyAlignment="1" applyProtection="1">
      <protection hidden="1"/>
    </xf>
    <xf numFmtId="168" fontId="23" fillId="0" borderId="0" xfId="1" applyNumberFormat="1" applyFont="1" applyFill="1" applyAlignment="1" applyProtection="1">
      <protection hidden="1"/>
    </xf>
    <xf numFmtId="0" fontId="23" fillId="0" borderId="0" xfId="4" applyFont="1" applyFill="1" applyAlignment="1" applyProtection="1">
      <alignment horizontal="right"/>
      <protection hidden="1"/>
    </xf>
    <xf numFmtId="0" fontId="2" fillId="2" borderId="0" xfId="4" applyFont="1" applyFill="1" applyAlignment="1"/>
    <xf numFmtId="41" fontId="24" fillId="9" borderId="0" xfId="0" applyNumberFormat="1" applyFont="1" applyFill="1" applyAlignment="1">
      <alignment horizontal="right" vertical="center"/>
    </xf>
    <xf numFmtId="41" fontId="24" fillId="9" borderId="18" xfId="0" applyNumberFormat="1" applyFont="1" applyFill="1" applyBorder="1" applyAlignment="1">
      <alignment horizontal="right" vertical="center"/>
    </xf>
    <xf numFmtId="0" fontId="10" fillId="9" borderId="0" xfId="0" applyFont="1" applyFill="1" applyAlignment="1">
      <alignment vertical="center"/>
    </xf>
    <xf numFmtId="0" fontId="10" fillId="9" borderId="0" xfId="0" applyFont="1" applyFill="1" applyAlignment="1" applyProtection="1">
      <alignment vertical="center"/>
    </xf>
    <xf numFmtId="41" fontId="24" fillId="9" borderId="0" xfId="0" applyNumberFormat="1" applyFont="1" applyFill="1" applyAlignment="1" applyProtection="1">
      <alignment horizontal="right" vertical="center"/>
      <protection hidden="1"/>
    </xf>
    <xf numFmtId="41" fontId="24" fillId="9" borderId="8" xfId="0" applyNumberFormat="1" applyFont="1" applyFill="1" applyBorder="1" applyAlignment="1">
      <alignment horizontal="right" vertical="center"/>
    </xf>
    <xf numFmtId="41" fontId="24" fillId="9" borderId="8" xfId="0" applyNumberFormat="1" applyFont="1" applyFill="1" applyBorder="1" applyAlignment="1" applyProtection="1">
      <alignment horizontal="right" vertical="center"/>
      <protection locked="0" hidden="1"/>
    </xf>
    <xf numFmtId="41" fontId="24" fillId="9" borderId="16" xfId="0" applyNumberFormat="1" applyFont="1" applyFill="1" applyBorder="1" applyAlignment="1">
      <alignment horizontal="right" vertical="center"/>
    </xf>
    <xf numFmtId="41" fontId="24" fillId="9" borderId="1" xfId="0" applyNumberFormat="1" applyFont="1" applyFill="1" applyBorder="1" applyAlignment="1" applyProtection="1">
      <alignment horizontal="right" vertical="center"/>
      <protection hidden="1"/>
    </xf>
    <xf numFmtId="41" fontId="24" fillId="9" borderId="1" xfId="0" applyNumberFormat="1" applyFont="1" applyFill="1" applyBorder="1" applyAlignment="1">
      <alignment horizontal="right" vertical="center"/>
    </xf>
    <xf numFmtId="0" fontId="24" fillId="9" borderId="0" xfId="0" applyFont="1" applyFill="1" applyAlignment="1">
      <alignment vertical="center"/>
    </xf>
    <xf numFmtId="41" fontId="24" fillId="9" borderId="0" xfId="0" applyNumberFormat="1" applyFont="1" applyFill="1" applyBorder="1" applyAlignment="1">
      <alignment horizontal="right" vertical="center"/>
    </xf>
    <xf numFmtId="0" fontId="23" fillId="9" borderId="0" xfId="4" applyFont="1" applyFill="1" applyAlignment="1"/>
    <xf numFmtId="0" fontId="2" fillId="9" borderId="0" xfId="4" applyFont="1" applyFill="1" applyAlignment="1"/>
    <xf numFmtId="41" fontId="32" fillId="9" borderId="0" xfId="4" applyNumberFormat="1" applyFont="1" applyFill="1" applyAlignment="1" applyProtection="1">
      <alignment horizontal="right" vertical="center"/>
      <protection hidden="1"/>
    </xf>
    <xf numFmtId="41" fontId="32" fillId="9" borderId="19" xfId="4" applyNumberFormat="1" applyFont="1" applyFill="1" applyBorder="1" applyAlignment="1" applyProtection="1">
      <alignment horizontal="right" vertical="center"/>
      <protection hidden="1"/>
    </xf>
    <xf numFmtId="0" fontId="33" fillId="9" borderId="0" xfId="4" applyFont="1" applyFill="1" applyBorder="1" applyAlignment="1" applyProtection="1">
      <alignment horizontal="center" vertical="center"/>
      <protection hidden="1"/>
    </xf>
    <xf numFmtId="0" fontId="35" fillId="9" borderId="0" xfId="4" applyFont="1" applyFill="1" applyBorder="1" applyAlignment="1" applyProtection="1">
      <alignment horizontal="center" vertical="center"/>
      <protection hidden="1"/>
    </xf>
    <xf numFmtId="168" fontId="32" fillId="9" borderId="16" xfId="5" applyNumberFormat="1" applyFont="1" applyFill="1" applyBorder="1" applyAlignment="1">
      <alignment horizontal="right" vertical="center"/>
    </xf>
    <xf numFmtId="168" fontId="32" fillId="9" borderId="0" xfId="5" applyNumberFormat="1" applyFont="1" applyFill="1" applyBorder="1" applyAlignment="1">
      <alignment horizontal="right" vertical="center"/>
    </xf>
    <xf numFmtId="168" fontId="32" fillId="9" borderId="19" xfId="5" applyNumberFormat="1" applyFont="1" applyFill="1" applyBorder="1" applyAlignment="1">
      <alignment horizontal="right" vertical="center"/>
    </xf>
    <xf numFmtId="41" fontId="24" fillId="0" borderId="0" xfId="0" applyNumberFormat="1" applyFont="1" applyFill="1" applyAlignment="1" applyProtection="1">
      <alignment horizontal="right" vertical="center"/>
      <protection hidden="1"/>
    </xf>
    <xf numFmtId="41" fontId="24" fillId="9" borderId="0" xfId="0" applyNumberFormat="1" applyFont="1" applyFill="1" applyBorder="1" applyAlignment="1" applyProtection="1">
      <alignment horizontal="right" vertical="center"/>
      <protection hidden="1"/>
    </xf>
    <xf numFmtId="0" fontId="24" fillId="0" borderId="0" xfId="0" applyFont="1" applyFill="1" applyBorder="1" applyAlignment="1" applyProtection="1">
      <alignment horizontal="right" vertical="center"/>
      <protection locked="0"/>
    </xf>
    <xf numFmtId="0" fontId="0" fillId="3" borderId="0" xfId="0" applyFill="1" applyAlignment="1" applyProtection="1">
      <alignment horizontal="left"/>
      <protection locked="0"/>
    </xf>
    <xf numFmtId="0" fontId="0" fillId="3" borderId="0" xfId="0" quotePrefix="1" applyFill="1" applyAlignment="1" applyProtection="1">
      <alignment horizontal="left"/>
      <protection locked="0"/>
    </xf>
    <xf numFmtId="0" fontId="40" fillId="0" borderId="0" xfId="0" applyFont="1" applyFill="1" applyAlignment="1">
      <alignment horizontal="left"/>
    </xf>
    <xf numFmtId="0" fontId="0" fillId="3" borderId="0" xfId="0" applyFill="1" applyAlignment="1">
      <alignment horizontal="left"/>
    </xf>
    <xf numFmtId="0" fontId="0" fillId="0" borderId="0" xfId="0" quotePrefix="1" applyFill="1" applyAlignment="1">
      <alignment horizontal="left"/>
    </xf>
    <xf numFmtId="0" fontId="0" fillId="0" borderId="0" xfId="0" applyFill="1" applyAlignment="1">
      <alignment horizontal="left"/>
    </xf>
    <xf numFmtId="39" fontId="0" fillId="3" borderId="0" xfId="0" applyNumberFormat="1" applyFill="1" applyAlignment="1">
      <alignment horizontal="left"/>
    </xf>
    <xf numFmtId="166" fontId="0" fillId="3" borderId="0" xfId="0" quotePrefix="1" applyNumberFormat="1" applyFill="1" applyAlignment="1" applyProtection="1">
      <alignment horizontal="left"/>
      <protection locked="0"/>
    </xf>
    <xf numFmtId="166" fontId="0" fillId="3" borderId="0" xfId="0" applyNumberFormat="1" applyFill="1" applyAlignment="1" applyProtection="1">
      <alignment horizontal="left"/>
      <protection locked="0"/>
    </xf>
    <xf numFmtId="0" fontId="12" fillId="0" borderId="0" xfId="0" applyFont="1" applyAlignment="1">
      <alignment horizontal="center" vertical="center"/>
    </xf>
    <xf numFmtId="0" fontId="13" fillId="3" borderId="0" xfId="0" applyFont="1" applyFill="1" applyAlignment="1">
      <alignment horizontal="center" vertical="center"/>
    </xf>
    <xf numFmtId="0" fontId="18" fillId="0" borderId="0" xfId="0" applyFont="1" applyAlignment="1">
      <alignment horizontal="center" vertical="center"/>
    </xf>
    <xf numFmtId="0" fontId="17" fillId="0" borderId="0" xfId="0" applyFont="1" applyAlignment="1">
      <alignment horizontal="distributed"/>
    </xf>
    <xf numFmtId="0" fontId="16" fillId="2" borderId="6" xfId="0" applyFont="1" applyFill="1" applyBorder="1" applyAlignment="1">
      <alignment horizontal="center" vertical="center"/>
    </xf>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1" xfId="0" applyFont="1" applyBorder="1" applyAlignment="1">
      <alignment horizontal="center" vertical="center"/>
    </xf>
    <xf numFmtId="0" fontId="14" fillId="0" borderId="1" xfId="0" applyFont="1" applyBorder="1" applyAlignment="1">
      <alignment horizontal="center" vertical="center"/>
    </xf>
    <xf numFmtId="0" fontId="14" fillId="0" borderId="12" xfId="0" applyFont="1" applyBorder="1" applyAlignment="1">
      <alignment horizontal="center" vertical="center"/>
    </xf>
    <xf numFmtId="0" fontId="14" fillId="0" borderId="8"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16" fillId="0" borderId="10" xfId="0" applyFont="1" applyFill="1" applyBorder="1" applyAlignment="1">
      <alignment horizontal="center" vertical="center"/>
    </xf>
    <xf numFmtId="0" fontId="14" fillId="0" borderId="15"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2" xfId="0" applyFont="1" applyBorder="1" applyAlignment="1">
      <alignment horizontal="center" vertical="center"/>
    </xf>
    <xf numFmtId="43" fontId="14" fillId="2" borderId="2" xfId="1" applyFont="1" applyFill="1" applyBorder="1" applyAlignment="1">
      <alignment horizontal="center" vertical="center"/>
    </xf>
    <xf numFmtId="3" fontId="14" fillId="0" borderId="2" xfId="0" applyNumberFormat="1" applyFont="1" applyBorder="1" applyAlignment="1">
      <alignment horizontal="center" vertical="center"/>
    </xf>
    <xf numFmtId="165" fontId="14" fillId="0" borderId="2" xfId="1" applyNumberFormat="1" applyFont="1" applyBorder="1" applyAlignment="1">
      <alignment horizontal="center" vertical="center"/>
    </xf>
    <xf numFmtId="165" fontId="14" fillId="0" borderId="7" xfId="0" applyNumberFormat="1" applyFont="1" applyBorder="1" applyAlignment="1">
      <alignment horizontal="center" vertical="center"/>
    </xf>
    <xf numFmtId="165" fontId="14" fillId="0" borderId="8" xfId="0" applyNumberFormat="1" applyFont="1" applyBorder="1" applyAlignment="1">
      <alignment horizontal="center" vertical="center"/>
    </xf>
    <xf numFmtId="165" fontId="14" fillId="0" borderId="9" xfId="0" applyNumberFormat="1" applyFont="1" applyBorder="1" applyAlignment="1">
      <alignment horizontal="center" vertical="center"/>
    </xf>
    <xf numFmtId="165" fontId="14" fillId="0" borderId="13" xfId="0" applyNumberFormat="1" applyFont="1" applyBorder="1" applyAlignment="1">
      <alignment horizontal="center" vertical="center"/>
    </xf>
    <xf numFmtId="165" fontId="14" fillId="0" borderId="0" xfId="0" applyNumberFormat="1" applyFont="1" applyBorder="1" applyAlignment="1">
      <alignment horizontal="center" vertical="center"/>
    </xf>
    <xf numFmtId="165" fontId="14" fillId="0" borderId="14" xfId="0" applyNumberFormat="1" applyFont="1" applyBorder="1" applyAlignment="1">
      <alignment horizontal="center" vertical="center"/>
    </xf>
    <xf numFmtId="165" fontId="14" fillId="0" borderId="11" xfId="0" applyNumberFormat="1" applyFont="1" applyBorder="1" applyAlignment="1">
      <alignment horizontal="center" vertical="center"/>
    </xf>
    <xf numFmtId="165" fontId="14" fillId="0" borderId="1" xfId="0" applyNumberFormat="1" applyFont="1" applyBorder="1" applyAlignment="1">
      <alignment horizontal="center" vertical="center"/>
    </xf>
    <xf numFmtId="165" fontId="14" fillId="0" borderId="12" xfId="0" applyNumberFormat="1" applyFont="1" applyBorder="1" applyAlignment="1">
      <alignment horizontal="center" vertical="center"/>
    </xf>
    <xf numFmtId="0" fontId="14" fillId="0" borderId="13" xfId="0" applyFont="1" applyBorder="1" applyAlignment="1">
      <alignment horizontal="center" vertical="center"/>
    </xf>
    <xf numFmtId="0" fontId="14" fillId="0" borderId="0" xfId="0" applyFont="1" applyBorder="1" applyAlignment="1">
      <alignment horizontal="center" vertical="center"/>
    </xf>
    <xf numFmtId="0" fontId="14" fillId="0" borderId="14" xfId="0" applyFont="1" applyBorder="1" applyAlignment="1">
      <alignment horizontal="center" vertical="center"/>
    </xf>
    <xf numFmtId="39" fontId="14" fillId="0" borderId="15" xfId="0" applyNumberFormat="1" applyFont="1" applyBorder="1" applyAlignment="1">
      <alignment horizontal="center" vertical="center"/>
    </xf>
    <xf numFmtId="39" fontId="14" fillId="0" borderId="16" xfId="0" applyNumberFormat="1" applyFont="1" applyBorder="1" applyAlignment="1">
      <alignment horizontal="center" vertical="center"/>
    </xf>
    <xf numFmtId="39" fontId="14" fillId="0" borderId="17" xfId="0" applyNumberFormat="1" applyFont="1" applyBorder="1" applyAlignment="1">
      <alignment horizontal="center" vertical="center"/>
    </xf>
    <xf numFmtId="0" fontId="6" fillId="0" borderId="0" xfId="0" applyFont="1" applyAlignment="1">
      <alignment horizontal="distributed" vertical="center"/>
    </xf>
    <xf numFmtId="0" fontId="4" fillId="0" borderId="0" xfId="0" applyFont="1" applyAlignment="1">
      <alignment horizontal="center" vertical="center"/>
    </xf>
    <xf numFmtId="0" fontId="5" fillId="0" borderId="0" xfId="0" applyFont="1" applyAlignment="1">
      <alignment horizontal="center" vertical="center"/>
    </xf>
    <xf numFmtId="0" fontId="6" fillId="2" borderId="1" xfId="0" applyFont="1" applyFill="1" applyBorder="1" applyAlignment="1">
      <alignment horizontal="left" vertical="center"/>
    </xf>
    <xf numFmtId="0" fontId="6" fillId="2" borderId="0" xfId="0" applyFont="1" applyFill="1" applyBorder="1" applyAlignment="1">
      <alignment horizontal="left" vertical="top" wrapText="1"/>
    </xf>
    <xf numFmtId="0" fontId="6" fillId="2" borderId="1" xfId="0" applyFont="1" applyFill="1" applyBorder="1" applyAlignment="1">
      <alignment horizontal="left" vertical="top" wrapText="1"/>
    </xf>
    <xf numFmtId="0" fontId="6" fillId="0" borderId="0" xfId="0" applyFont="1" applyAlignment="1">
      <alignment horizontal="left" vertical="center"/>
    </xf>
    <xf numFmtId="0" fontId="8" fillId="2" borderId="4" xfId="0" applyFont="1" applyFill="1" applyBorder="1" applyAlignment="1">
      <alignment horizontal="left" vertical="center" wrapText="1"/>
    </xf>
    <xf numFmtId="0" fontId="6" fillId="0" borderId="0" xfId="0" applyFont="1" applyBorder="1" applyAlignment="1">
      <alignment horizontal="left" vertical="center"/>
    </xf>
    <xf numFmtId="0" fontId="10" fillId="0" borderId="0" xfId="0" applyFont="1" applyAlignment="1">
      <alignment horizontal="left" vertical="center"/>
    </xf>
    <xf numFmtId="0" fontId="19"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0" fillId="3" borderId="0" xfId="0" applyFont="1" applyFill="1" applyAlignment="1">
      <alignment horizontal="center" vertical="center"/>
    </xf>
    <xf numFmtId="0" fontId="19" fillId="3" borderId="0" xfId="0" applyFont="1" applyFill="1" applyAlignment="1">
      <alignment horizontal="center" vertical="center"/>
    </xf>
    <xf numFmtId="0" fontId="20" fillId="0" borderId="0" xfId="7" applyFont="1" applyAlignment="1">
      <alignment horizontal="center" vertical="center"/>
    </xf>
    <xf numFmtId="0" fontId="12" fillId="3" borderId="0" xfId="0" applyFont="1" applyFill="1" applyAlignment="1">
      <alignment horizontal="center" vertical="center"/>
    </xf>
    <xf numFmtId="0" fontId="48" fillId="0" borderId="0" xfId="0" applyFont="1" applyAlignment="1">
      <alignment horizontal="center" vertical="center"/>
    </xf>
  </cellXfs>
  <cellStyles count="9">
    <cellStyle name="Comma" xfId="1" builtinId="3"/>
    <cellStyle name="Hyperlink" xfId="3" builtinId="8"/>
    <cellStyle name="Normal" xfId="0" builtinId="0"/>
    <cellStyle name="Normal 3" xfId="2" xr:uid="{00000000-0005-0000-0000-000003000000}"/>
    <cellStyle name="一般 2" xfId="4" xr:uid="{00000000-0005-0000-0000-000004000000}"/>
    <cellStyle name="一般 3" xfId="6" xr:uid="{00000000-0005-0000-0000-000005000000}"/>
    <cellStyle name="一般 4" xfId="7" xr:uid="{00000000-0005-0000-0000-000006000000}"/>
    <cellStyle name="千分位 2" xfId="5" xr:uid="{00000000-0005-0000-0000-000007000000}"/>
    <cellStyle name="千分位 3" xfId="8" xr:uid="{00000000-0005-0000-0000-000008000000}"/>
  </cellStyles>
  <dxfs count="5">
    <dxf>
      <fill>
        <patternFill>
          <bgColor rgb="FFFF0000"/>
        </patternFill>
      </fill>
    </dxf>
    <dxf>
      <numFmt numFmtId="0" formatCode="General"/>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DEVELOPMENT\git\AccountRptGenCloud\app\src\test\resources\All%20documents%2018.1.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ntents"/>
      <sheetName val="Control"/>
      <sheetName val="Dir info"/>
      <sheetName val="Doc list"/>
      <sheetName val="D emol"/>
      <sheetName val="D emol (2)"/>
      <sheetName val="D emol (3)"/>
      <sheetName val="D emol (4)"/>
      <sheetName val="D emol (5)"/>
      <sheetName val="D emol (6)"/>
      <sheetName val="LOR"/>
      <sheetName val="LOR y.e. after 14.12.16"/>
      <sheetName val="LOE"/>
      <sheetName val="LOE (CAP622)"/>
      <sheetName val="LOE y.e. after 14.12.16"/>
      <sheetName val="LOS"/>
      <sheetName val="Audit conf."/>
      <sheetName val="Audit conf. (2)"/>
      <sheetName val="Audit conf. (3)"/>
      <sheetName val="Audit conf. (4)"/>
      <sheetName val="Audit conf. (5)"/>
      <sheetName val="Audit conf. (6)"/>
      <sheetName val="Audit conf. 3rd"/>
      <sheetName val="cash and F.F"/>
      <sheetName val="141D"/>
      <sheetName val="Tax rep."/>
      <sheetName val="T com dor"/>
      <sheetName val="T com (loss)"/>
      <sheetName val="T com (profit)"/>
      <sheetName val="Depn Allowances"/>
      <sheetName val="FA"/>
      <sheetName val="FA breakdown"/>
      <sheetName val="Depre rate by IRD"/>
      <sheetName val="Adj"/>
      <sheetName val="B conf."/>
      <sheetName val="B conf. (2)"/>
      <sheetName val="B conf. (3)"/>
      <sheetName val="B conf. (4)"/>
      <sheetName val="Section1"/>
      <sheetName val="Section2"/>
      <sheetName val="Section3"/>
      <sheetName val="Section4"/>
      <sheetName val="Section5"/>
      <sheetName val="Section6"/>
      <sheetName val="Letter to client"/>
      <sheetName val="IRD Letter1"/>
      <sheetName val="IRD Letter2"/>
      <sheetName val="Pro Clear"/>
      <sheetName val="Pro Clear (2)"/>
      <sheetName val="AGM"/>
      <sheetName val="No deli"/>
      <sheetName val="EGM"/>
      <sheetName val="Spe. Reso"/>
      <sheetName val="no consol"/>
      <sheetName val="Accounts (3)"/>
    </sheetNames>
    <sheetDataSet>
      <sheetData sheetId="0"/>
      <sheetData sheetId="1"/>
      <sheetData sheetId="2">
        <row r="7">
          <cell r="D7" t="str">
            <v>30 NOVEMBER, 2017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gov.hk/en/residents/taxes/etax/services/brn_enquiry.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Q162"/>
  <sheetViews>
    <sheetView topLeftCell="A10" workbookViewId="0">
      <selection activeCell="D28" sqref="D28"/>
    </sheetView>
  </sheetViews>
  <sheetFormatPr defaultRowHeight="15.75"/>
  <cols>
    <col min="1" max="2" width="13.875" customWidth="1"/>
    <col min="3" max="3" width="4.125" customWidth="1"/>
    <col min="4" max="4" width="12.875" bestFit="1" customWidth="1"/>
    <col min="5" max="5" width="13.375" customWidth="1"/>
    <col min="6" max="6" width="14.125" customWidth="1"/>
    <col min="7" max="7" width="9.75" customWidth="1"/>
    <col min="8" max="8" width="13.75" customWidth="1"/>
    <col min="9" max="9" width="12.5" customWidth="1"/>
    <col min="10" max="10" width="11.125" customWidth="1"/>
  </cols>
  <sheetData>
    <row r="1" spans="1:10">
      <c r="A1" s="73" t="s">
        <v>2</v>
      </c>
    </row>
    <row r="2" spans="1:10">
      <c r="A2" t="s">
        <v>3</v>
      </c>
      <c r="D2" s="205" t="s">
        <v>341</v>
      </c>
      <c r="E2" s="132"/>
      <c r="F2" s="132"/>
      <c r="G2" s="132"/>
      <c r="H2" s="132"/>
      <c r="I2" s="132"/>
      <c r="J2" s="132"/>
    </row>
    <row r="3" spans="1:10">
      <c r="D3" s="392" t="str">
        <f>+UPPER(D2)</f>
        <v>MOP ENTERTAINMENT LIMITED</v>
      </c>
      <c r="E3" s="392"/>
      <c r="F3" s="392"/>
      <c r="G3" s="392"/>
      <c r="H3" s="392"/>
      <c r="I3" s="131"/>
      <c r="J3" s="131"/>
    </row>
    <row r="4" spans="1:10">
      <c r="A4" t="s">
        <v>4</v>
      </c>
      <c r="D4" s="205" t="s">
        <v>342</v>
      </c>
      <c r="E4" s="115"/>
      <c r="F4" s="115"/>
      <c r="G4" s="115"/>
      <c r="H4" s="115"/>
      <c r="I4" s="115"/>
      <c r="J4" s="115"/>
    </row>
    <row r="5" spans="1:10">
      <c r="D5" s="116"/>
      <c r="E5" s="116"/>
      <c r="F5" s="116"/>
      <c r="G5" s="116"/>
      <c r="H5" s="116"/>
      <c r="I5" s="116"/>
      <c r="J5" s="116"/>
    </row>
    <row r="6" spans="1:10">
      <c r="A6" t="s">
        <v>5</v>
      </c>
      <c r="D6" s="394"/>
      <c r="E6" s="395"/>
      <c r="F6" s="395"/>
    </row>
    <row r="7" spans="1:10">
      <c r="D7" s="395"/>
      <c r="E7" s="395"/>
      <c r="F7" s="395"/>
    </row>
    <row r="8" spans="1:10">
      <c r="D8" s="221" t="s">
        <v>487</v>
      </c>
      <c r="E8" s="221"/>
      <c r="F8" s="221"/>
      <c r="G8" s="221"/>
      <c r="H8" s="221"/>
      <c r="I8" s="204"/>
    </row>
    <row r="9" spans="1:10">
      <c r="A9" t="s">
        <v>6</v>
      </c>
      <c r="D9" t="str">
        <f>+IF(AND(D13=12,D14=0),"Year","Period")</f>
        <v>Period</v>
      </c>
      <c r="G9" t="str">
        <f>+IF(AND(G13=12,G14=0),"Year","Period")</f>
        <v>Year</v>
      </c>
    </row>
    <row r="10" spans="1:10">
      <c r="D10" s="73" t="s">
        <v>7</v>
      </c>
      <c r="G10" s="73" t="s">
        <v>8</v>
      </c>
    </row>
    <row r="11" spans="1:10">
      <c r="A11" t="s">
        <v>9</v>
      </c>
      <c r="D11" s="206">
        <v>41626</v>
      </c>
      <c r="E11" s="86"/>
      <c r="F11" t="s">
        <v>9</v>
      </c>
      <c r="G11" s="206">
        <v>41640</v>
      </c>
      <c r="H11" s="86"/>
    </row>
    <row r="12" spans="1:10">
      <c r="A12" t="s">
        <v>10</v>
      </c>
      <c r="D12" s="207">
        <v>42582</v>
      </c>
      <c r="E12" s="75">
        <f>+D12+1</f>
        <v>42583</v>
      </c>
      <c r="F12" t="s">
        <v>10</v>
      </c>
      <c r="G12" s="207">
        <v>42004</v>
      </c>
      <c r="H12" s="75">
        <f>+G12+1</f>
        <v>42005</v>
      </c>
    </row>
    <row r="13" spans="1:10">
      <c r="A13" t="s">
        <v>11</v>
      </c>
      <c r="D13" s="43">
        <f>+DATEDIF(D11,E12,"m")</f>
        <v>31</v>
      </c>
      <c r="F13" t="s">
        <v>11</v>
      </c>
      <c r="G13" s="43">
        <f>+DATEDIF(G11,H12,"m")</f>
        <v>12</v>
      </c>
      <c r="H13" t="str">
        <f>TEXT(G12, "d mmmm, yyyy")</f>
        <v>31 December, 2014</v>
      </c>
    </row>
    <row r="14" spans="1:10">
      <c r="A14" t="s">
        <v>12</v>
      </c>
      <c r="D14">
        <f>+DATEDIF(D11,E12,"md")</f>
        <v>14</v>
      </c>
      <c r="F14" t="s">
        <v>12</v>
      </c>
      <c r="G14">
        <f>+DATEDIF(G11,H12,"md")</f>
        <v>0</v>
      </c>
      <c r="I14" s="110"/>
    </row>
    <row r="15" spans="1:10">
      <c r="A15" t="s">
        <v>13</v>
      </c>
      <c r="D15" t="str">
        <f>+IF(AND(D13&gt;=18,D14&gt;=0,(D13+D14)&gt;=19),"over 18 months","within 18 months")</f>
        <v>over 18 months</v>
      </c>
      <c r="F15" t="s">
        <v>13</v>
      </c>
      <c r="G15" t="str">
        <f>+IF(AND(G13&gt;=18,G14&gt;=0,(G13+G14)&gt;=19),"over 18 months","within 18 months")</f>
        <v>within 18 months</v>
      </c>
    </row>
    <row r="17" spans="1:6">
      <c r="A17" t="s">
        <v>400</v>
      </c>
      <c r="D17" s="208"/>
      <c r="E17" t="s">
        <v>401</v>
      </c>
    </row>
    <row r="19" spans="1:6" s="43" customFormat="1">
      <c r="A19" s="43" t="s">
        <v>441</v>
      </c>
      <c r="D19" s="333">
        <v>1</v>
      </c>
      <c r="E19" s="43" t="s">
        <v>401</v>
      </c>
    </row>
    <row r="21" spans="1:6" s="203" customFormat="1">
      <c r="A21" s="203" t="s">
        <v>460</v>
      </c>
      <c r="D21" s="333">
        <v>0</v>
      </c>
      <c r="E21" s="203" t="s">
        <v>401</v>
      </c>
    </row>
    <row r="22" spans="1:6" s="203" customFormat="1">
      <c r="A22" s="203" t="s">
        <v>461</v>
      </c>
      <c r="D22" s="334">
        <v>42370</v>
      </c>
      <c r="E22" s="203" t="s">
        <v>462</v>
      </c>
    </row>
    <row r="23" spans="1:6" s="203" customFormat="1">
      <c r="A23" s="203" t="s">
        <v>463</v>
      </c>
      <c r="D23" s="333">
        <v>100</v>
      </c>
      <c r="E23" s="203" t="s">
        <v>464</v>
      </c>
    </row>
    <row r="24" spans="1:6" s="203" customFormat="1">
      <c r="D24" s="335" t="s">
        <v>465</v>
      </c>
      <c r="E24" s="203" t="s">
        <v>466</v>
      </c>
    </row>
    <row r="25" spans="1:6" s="203" customFormat="1">
      <c r="A25" s="203" t="s">
        <v>467</v>
      </c>
      <c r="D25" s="335" t="s">
        <v>468</v>
      </c>
      <c r="E25" s="203" t="s">
        <v>469</v>
      </c>
    </row>
    <row r="26" spans="1:6" s="203" customFormat="1">
      <c r="A26" s="203" t="s">
        <v>470</v>
      </c>
      <c r="D26" s="333">
        <v>0</v>
      </c>
      <c r="E26" s="203" t="s">
        <v>401</v>
      </c>
      <c r="F26" s="203" t="s">
        <v>471</v>
      </c>
    </row>
    <row r="28" spans="1:6">
      <c r="A28" t="s">
        <v>14</v>
      </c>
      <c r="D28" s="209" t="s">
        <v>343</v>
      </c>
    </row>
    <row r="31" spans="1:6">
      <c r="A31" t="s">
        <v>255</v>
      </c>
      <c r="D31" s="208">
        <v>0</v>
      </c>
      <c r="E31" t="s">
        <v>258</v>
      </c>
    </row>
    <row r="32" spans="1:6">
      <c r="D32" s="208"/>
      <c r="E32" t="s">
        <v>256</v>
      </c>
    </row>
    <row r="33" spans="1:8">
      <c r="D33" s="207">
        <v>42300</v>
      </c>
      <c r="E33" t="s">
        <v>257</v>
      </c>
    </row>
    <row r="35" spans="1:8" hidden="1">
      <c r="A35" t="s">
        <v>15</v>
      </c>
      <c r="D35" s="208">
        <v>1</v>
      </c>
      <c r="E35" t="s">
        <v>16</v>
      </c>
    </row>
    <row r="36" spans="1:8" hidden="1">
      <c r="H36" s="94"/>
    </row>
    <row r="37" spans="1:8">
      <c r="A37" t="s">
        <v>17</v>
      </c>
      <c r="D37" s="208">
        <v>0</v>
      </c>
      <c r="E37" t="s">
        <v>18</v>
      </c>
    </row>
    <row r="39" spans="1:8">
      <c r="A39" t="s">
        <v>19</v>
      </c>
      <c r="D39" s="208">
        <v>1</v>
      </c>
      <c r="E39" t="s">
        <v>18</v>
      </c>
    </row>
    <row r="41" spans="1:8">
      <c r="A41" t="s">
        <v>20</v>
      </c>
      <c r="D41" s="208">
        <v>0</v>
      </c>
      <c r="E41" t="s">
        <v>18</v>
      </c>
    </row>
    <row r="43" spans="1:8">
      <c r="A43" t="s">
        <v>350</v>
      </c>
      <c r="D43" s="208">
        <v>1</v>
      </c>
      <c r="E43" t="s">
        <v>18</v>
      </c>
    </row>
    <row r="46" spans="1:8">
      <c r="A46" t="s">
        <v>269</v>
      </c>
      <c r="D46" s="208">
        <v>0</v>
      </c>
      <c r="E46" t="s">
        <v>18</v>
      </c>
    </row>
    <row r="47" spans="1:8">
      <c r="D47" s="208" t="s">
        <v>283</v>
      </c>
      <c r="E47" t="s">
        <v>270</v>
      </c>
    </row>
    <row r="48" spans="1:8">
      <c r="D48" s="333"/>
      <c r="E48" s="203" t="s">
        <v>431</v>
      </c>
      <c r="F48" s="203"/>
      <c r="G48" s="203"/>
    </row>
    <row r="49" spans="1:9">
      <c r="D49" s="208"/>
      <c r="E49" t="s">
        <v>271</v>
      </c>
    </row>
    <row r="50" spans="1:9">
      <c r="D50" s="333"/>
      <c r="E50" s="203" t="s">
        <v>432</v>
      </c>
      <c r="F50" s="203"/>
      <c r="G50" s="203"/>
    </row>
    <row r="52" spans="1:9">
      <c r="A52" s="203" t="s">
        <v>433</v>
      </c>
      <c r="B52" s="203"/>
      <c r="C52" s="203"/>
      <c r="D52" s="203"/>
      <c r="E52" s="203"/>
      <c r="F52" s="203"/>
      <c r="G52" s="203"/>
      <c r="H52" s="203"/>
      <c r="I52" s="203"/>
    </row>
    <row r="53" spans="1:9">
      <c r="A53" s="203" t="s">
        <v>434</v>
      </c>
      <c r="B53" s="203"/>
      <c r="C53" s="203"/>
      <c r="D53" s="333"/>
      <c r="E53" s="203" t="s">
        <v>435</v>
      </c>
      <c r="F53" s="203"/>
      <c r="G53" s="203"/>
      <c r="H53" s="203"/>
      <c r="I53" s="203"/>
    </row>
    <row r="54" spans="1:9">
      <c r="A54" s="203"/>
      <c r="B54" s="203"/>
      <c r="C54" s="203"/>
      <c r="D54" s="333"/>
      <c r="E54" s="203" t="s">
        <v>436</v>
      </c>
      <c r="F54" s="203"/>
      <c r="G54" s="203"/>
      <c r="H54" s="203"/>
      <c r="I54" s="203"/>
    </row>
    <row r="55" spans="1:9">
      <c r="A55" s="203"/>
      <c r="B55" s="203"/>
      <c r="C55" s="203"/>
      <c r="D55" s="333"/>
      <c r="E55" s="203" t="s">
        <v>437</v>
      </c>
      <c r="F55" s="203"/>
      <c r="G55" s="203"/>
      <c r="H55" s="203"/>
      <c r="I55" s="203"/>
    </row>
    <row r="56" spans="1:9">
      <c r="A56" s="203"/>
      <c r="B56" s="203"/>
      <c r="C56" s="203"/>
      <c r="D56" s="333"/>
      <c r="E56" s="203" t="s">
        <v>438</v>
      </c>
      <c r="F56" s="203"/>
      <c r="G56" s="203"/>
      <c r="H56" s="203"/>
      <c r="I56" s="203"/>
    </row>
    <row r="58" spans="1:9">
      <c r="A58" t="s">
        <v>531</v>
      </c>
      <c r="D58" s="39">
        <v>1</v>
      </c>
      <c r="E58" s="57" t="s">
        <v>532</v>
      </c>
    </row>
    <row r="59" spans="1:9">
      <c r="D59" s="39" t="s">
        <v>533</v>
      </c>
      <c r="E59" s="57" t="s">
        <v>534</v>
      </c>
    </row>
    <row r="60" spans="1:9">
      <c r="D60" s="340"/>
      <c r="E60" s="57" t="s">
        <v>535</v>
      </c>
    </row>
    <row r="61" spans="1:9">
      <c r="D61" s="340"/>
      <c r="E61" s="57" t="s">
        <v>536</v>
      </c>
    </row>
    <row r="63" spans="1:9">
      <c r="A63" t="s">
        <v>21</v>
      </c>
      <c r="D63" s="208" t="s">
        <v>295</v>
      </c>
      <c r="E63" t="s">
        <v>22</v>
      </c>
    </row>
    <row r="64" spans="1:9">
      <c r="D64" s="208" t="s">
        <v>296</v>
      </c>
      <c r="E64" t="s">
        <v>23</v>
      </c>
    </row>
    <row r="65" spans="1:8">
      <c r="D65" s="208" t="s">
        <v>297</v>
      </c>
    </row>
    <row r="67" spans="1:8">
      <c r="A67" t="s">
        <v>24</v>
      </c>
      <c r="D67" s="208">
        <v>1</v>
      </c>
      <c r="E67" t="s">
        <v>18</v>
      </c>
    </row>
    <row r="68" spans="1:8">
      <c r="A68" t="s">
        <v>25</v>
      </c>
      <c r="D68" s="208" t="s">
        <v>341</v>
      </c>
      <c r="E68" t="s">
        <v>26</v>
      </c>
    </row>
    <row r="69" spans="1:8">
      <c r="A69" t="s">
        <v>27</v>
      </c>
      <c r="D69" s="207">
        <v>42016</v>
      </c>
    </row>
    <row r="71" spans="1:8">
      <c r="A71" t="s">
        <v>28</v>
      </c>
      <c r="D71" s="208">
        <v>0</v>
      </c>
      <c r="E71" t="s">
        <v>18</v>
      </c>
    </row>
    <row r="72" spans="1:8">
      <c r="A72" t="s">
        <v>29</v>
      </c>
      <c r="D72" s="207">
        <v>42004</v>
      </c>
    </row>
    <row r="73" spans="1:8">
      <c r="A73" t="s">
        <v>30</v>
      </c>
      <c r="D73" s="210" t="s">
        <v>31</v>
      </c>
      <c r="E73" t="s">
        <v>32</v>
      </c>
    </row>
    <row r="74" spans="1:8">
      <c r="A74" t="s">
        <v>33</v>
      </c>
      <c r="D74" s="208" t="s">
        <v>34</v>
      </c>
    </row>
    <row r="76" spans="1:8">
      <c r="A76" t="s">
        <v>35</v>
      </c>
      <c r="D76" s="208">
        <v>1</v>
      </c>
      <c r="E76" t="s">
        <v>408</v>
      </c>
    </row>
    <row r="77" spans="1:8">
      <c r="A77" t="s">
        <v>235</v>
      </c>
      <c r="D77" s="208" t="s">
        <v>344</v>
      </c>
    </row>
    <row r="79" spans="1:8">
      <c r="A79" t="s">
        <v>36</v>
      </c>
      <c r="D79" s="208" t="s">
        <v>289</v>
      </c>
      <c r="F79" t="s">
        <v>459</v>
      </c>
      <c r="G79" t="s">
        <v>288</v>
      </c>
      <c r="H79" t="s">
        <v>404</v>
      </c>
    </row>
    <row r="80" spans="1:8">
      <c r="D80" s="208" t="s">
        <v>291</v>
      </c>
      <c r="F80" t="s">
        <v>287</v>
      </c>
      <c r="G80" t="s">
        <v>290</v>
      </c>
      <c r="H80" t="s">
        <v>405</v>
      </c>
    </row>
    <row r="81" spans="1:9">
      <c r="D81" s="208" t="s">
        <v>293</v>
      </c>
      <c r="F81" t="s">
        <v>294</v>
      </c>
      <c r="G81" t="s">
        <v>292</v>
      </c>
      <c r="H81" t="s">
        <v>406</v>
      </c>
    </row>
    <row r="83" spans="1:9">
      <c r="A83" t="s">
        <v>403</v>
      </c>
      <c r="D83" s="208" t="s">
        <v>289</v>
      </c>
      <c r="F83" t="s">
        <v>459</v>
      </c>
      <c r="G83" t="s">
        <v>288</v>
      </c>
      <c r="H83" t="s">
        <v>404</v>
      </c>
    </row>
    <row r="84" spans="1:9">
      <c r="D84" s="208" t="s">
        <v>291</v>
      </c>
      <c r="F84" t="s">
        <v>287</v>
      </c>
      <c r="G84" t="s">
        <v>290</v>
      </c>
      <c r="H84" t="s">
        <v>405</v>
      </c>
    </row>
    <row r="85" spans="1:9">
      <c r="D85" s="208" t="s">
        <v>293</v>
      </c>
      <c r="F85" t="s">
        <v>294</v>
      </c>
      <c r="G85" t="s">
        <v>292</v>
      </c>
      <c r="H85" t="s">
        <v>406</v>
      </c>
    </row>
    <row r="87" spans="1:9">
      <c r="A87" t="s">
        <v>37</v>
      </c>
      <c r="D87" s="211" t="s">
        <v>345</v>
      </c>
      <c r="E87" s="39"/>
      <c r="F87" s="222" t="s">
        <v>38</v>
      </c>
    </row>
    <row r="89" spans="1:9">
      <c r="A89" s="130"/>
      <c r="B89" s="76"/>
      <c r="C89" s="76"/>
      <c r="D89" s="76"/>
      <c r="E89" s="76"/>
    </row>
    <row r="90" spans="1:9" hidden="1">
      <c r="A90" s="74" t="s">
        <v>39</v>
      </c>
      <c r="D90" s="43" t="e">
        <f>+'Dir info'!#REF!</f>
        <v>#REF!</v>
      </c>
    </row>
    <row r="91" spans="1:9" hidden="1">
      <c r="A91" s="74"/>
    </row>
    <row r="92" spans="1:9" hidden="1">
      <c r="A92" t="s">
        <v>40</v>
      </c>
      <c r="D92" s="395" t="s">
        <v>251</v>
      </c>
      <c r="E92" s="395"/>
      <c r="F92" s="395"/>
    </row>
    <row r="93" spans="1:9" hidden="1">
      <c r="A93" t="s">
        <v>41</v>
      </c>
    </row>
    <row r="94" spans="1:9" hidden="1">
      <c r="A94" t="s">
        <v>42</v>
      </c>
      <c r="D94" s="393" t="s">
        <v>233</v>
      </c>
      <c r="E94" s="393"/>
      <c r="F94" s="393"/>
    </row>
    <row r="95" spans="1:9" hidden="1"/>
    <row r="96" spans="1:9" hidden="1">
      <c r="A96" t="s">
        <v>43</v>
      </c>
      <c r="D96" s="393" t="s">
        <v>252</v>
      </c>
      <c r="E96" s="393"/>
      <c r="F96" s="393"/>
      <c r="H96" t="s">
        <v>44</v>
      </c>
      <c r="I96" t="s">
        <v>45</v>
      </c>
    </row>
    <row r="97" spans="1:10" hidden="1"/>
    <row r="98" spans="1:10" hidden="1">
      <c r="A98" t="s">
        <v>46</v>
      </c>
      <c r="D98" s="396">
        <v>355709</v>
      </c>
      <c r="E98" s="396"/>
      <c r="F98" s="396"/>
      <c r="G98" t="s">
        <v>47</v>
      </c>
    </row>
    <row r="99" spans="1:10" hidden="1"/>
    <row r="100" spans="1:10" hidden="1">
      <c r="A100" t="s">
        <v>48</v>
      </c>
      <c r="D100" s="393" t="s">
        <v>49</v>
      </c>
      <c r="E100" s="393"/>
      <c r="F100" s="393"/>
      <c r="G100" s="393"/>
      <c r="H100" s="393"/>
      <c r="I100" s="115"/>
      <c r="J100" s="115"/>
    </row>
    <row r="101" spans="1:10" hidden="1"/>
    <row r="102" spans="1:10" hidden="1">
      <c r="A102" s="73" t="s">
        <v>50</v>
      </c>
    </row>
    <row r="103" spans="1:10" hidden="1">
      <c r="A103" t="s">
        <v>51</v>
      </c>
      <c r="D103" s="396">
        <v>38400</v>
      </c>
      <c r="E103" s="396"/>
      <c r="F103" s="396"/>
    </row>
    <row r="106" spans="1:10">
      <c r="A106" s="73" t="s">
        <v>52</v>
      </c>
    </row>
    <row r="107" spans="1:10">
      <c r="A107" s="74" t="s">
        <v>53</v>
      </c>
      <c r="D107" s="208"/>
    </row>
    <row r="108" spans="1:10">
      <c r="A108" t="s">
        <v>54</v>
      </c>
      <c r="D108" s="43" t="str">
        <f>+IF(D107=1,"shareholder","shareholders")</f>
        <v>shareholders</v>
      </c>
    </row>
    <row r="109" spans="1:10">
      <c r="A109" t="s">
        <v>55</v>
      </c>
      <c r="D109" s="208" t="s">
        <v>347</v>
      </c>
      <c r="G109" s="218" t="s">
        <v>56</v>
      </c>
      <c r="H109" s="219" t="s">
        <v>57</v>
      </c>
      <c r="I109" s="219" t="s">
        <v>58</v>
      </c>
    </row>
    <row r="110" spans="1:10">
      <c r="A110" t="s">
        <v>59</v>
      </c>
      <c r="D110" s="220" t="str">
        <f>+IF(D107=1,"I","We")</f>
        <v>We</v>
      </c>
      <c r="E110" s="220" t="str">
        <f>+IF(D107=1,"I","we")</f>
        <v>we</v>
      </c>
    </row>
    <row r="112" spans="1:10">
      <c r="A112" t="s">
        <v>60</v>
      </c>
      <c r="C112">
        <v>1</v>
      </c>
      <c r="D112" s="390"/>
      <c r="E112" s="390"/>
      <c r="F112">
        <v>2</v>
      </c>
      <c r="G112" s="391" t="str">
        <f>+'Dir info'!C5</f>
        <v>ABC</v>
      </c>
      <c r="H112" s="390"/>
      <c r="I112" s="390"/>
      <c r="J112" s="390"/>
    </row>
    <row r="113" spans="1:10">
      <c r="C113">
        <v>3</v>
      </c>
      <c r="D113" s="390">
        <f>+'Dir info'!C6</f>
        <v>0</v>
      </c>
      <c r="E113" s="390"/>
      <c r="F113">
        <v>4</v>
      </c>
      <c r="G113" s="390">
        <f>+'Dir info'!C7</f>
        <v>0</v>
      </c>
      <c r="H113" s="390"/>
      <c r="I113" s="390"/>
      <c r="J113" s="390"/>
    </row>
    <row r="114" spans="1:10">
      <c r="C114">
        <v>5</v>
      </c>
      <c r="D114" s="390">
        <f>+'Dir info'!C8</f>
        <v>0</v>
      </c>
      <c r="E114" s="390"/>
      <c r="F114">
        <v>6</v>
      </c>
      <c r="G114" s="390">
        <f>+'Dir info'!C9</f>
        <v>0</v>
      </c>
      <c r="H114" s="390"/>
      <c r="I114" s="390"/>
      <c r="J114" s="390"/>
    </row>
    <row r="115" spans="1:10">
      <c r="D115" s="43"/>
      <c r="E115" s="43"/>
      <c r="F115" s="43"/>
    </row>
    <row r="116" spans="1:10">
      <c r="A116" s="73" t="s">
        <v>61</v>
      </c>
    </row>
    <row r="118" spans="1:10">
      <c r="A118" t="s">
        <v>62</v>
      </c>
      <c r="D118" s="102"/>
    </row>
    <row r="120" spans="1:10">
      <c r="A120" s="73" t="s">
        <v>63</v>
      </c>
    </row>
    <row r="122" spans="1:10">
      <c r="A122" t="s">
        <v>46</v>
      </c>
      <c r="D122" s="212">
        <v>10506.66</v>
      </c>
    </row>
    <row r="124" spans="1:10">
      <c r="A124" s="73" t="s">
        <v>64</v>
      </c>
      <c r="E124" s="43"/>
    </row>
    <row r="125" spans="1:10">
      <c r="A125" t="s">
        <v>65</v>
      </c>
      <c r="D125" s="43"/>
    </row>
    <row r="126" spans="1:10">
      <c r="A126" t="s">
        <v>46</v>
      </c>
      <c r="D126" s="102"/>
    </row>
    <row r="128" spans="1:10">
      <c r="A128" t="s">
        <v>66</v>
      </c>
      <c r="D128" s="102">
        <f>IF(D126&gt;0,'T com (profit)'!D38,0)</f>
        <v>0</v>
      </c>
    </row>
    <row r="130" spans="1:11" s="76" customFormat="1">
      <c r="D130" s="77"/>
    </row>
    <row r="131" spans="1:11">
      <c r="A131" s="73" t="s">
        <v>67</v>
      </c>
    </row>
    <row r="132" spans="1:11">
      <c r="A132" t="s">
        <v>68</v>
      </c>
      <c r="D132" s="208" t="s">
        <v>348</v>
      </c>
    </row>
    <row r="134" spans="1:11">
      <c r="A134" t="s">
        <v>69</v>
      </c>
      <c r="D134" s="43"/>
      <c r="E134" s="43"/>
    </row>
    <row r="135" spans="1:11">
      <c r="D135" s="43"/>
      <c r="E135" s="43"/>
    </row>
    <row r="136" spans="1:11">
      <c r="A136" t="s">
        <v>70</v>
      </c>
      <c r="D136" s="208">
        <v>-9</v>
      </c>
      <c r="E136" t="s">
        <v>71</v>
      </c>
    </row>
    <row r="137" spans="1:11">
      <c r="E137" s="43" t="s">
        <v>72</v>
      </c>
    </row>
    <row r="139" spans="1:11">
      <c r="A139" t="s">
        <v>73</v>
      </c>
      <c r="D139" s="213"/>
    </row>
    <row r="141" spans="1:11">
      <c r="A141" s="73" t="s">
        <v>74</v>
      </c>
    </row>
    <row r="142" spans="1:11">
      <c r="A142" t="s">
        <v>75</v>
      </c>
      <c r="D142" s="208"/>
      <c r="G142" s="208"/>
      <c r="I142" s="208"/>
      <c r="K142" s="208"/>
    </row>
    <row r="144" spans="1:11">
      <c r="A144" t="s">
        <v>76</v>
      </c>
      <c r="D144" s="397"/>
      <c r="E144" s="398"/>
      <c r="G144" s="208"/>
      <c r="I144" s="208"/>
      <c r="K144" s="208"/>
    </row>
    <row r="147" spans="1:17">
      <c r="A147" s="73" t="s">
        <v>77</v>
      </c>
    </row>
    <row r="148" spans="1:17">
      <c r="A148" t="s">
        <v>78</v>
      </c>
      <c r="D148" s="205" t="s">
        <v>261</v>
      </c>
      <c r="E148" s="115"/>
      <c r="F148" s="115"/>
      <c r="G148" s="115"/>
      <c r="H148" s="115"/>
      <c r="I148" s="115"/>
      <c r="J148" s="115"/>
      <c r="K148" s="215" t="s">
        <v>261</v>
      </c>
      <c r="N148" s="215" t="s">
        <v>391</v>
      </c>
      <c r="Q148" s="215" t="s">
        <v>472</v>
      </c>
    </row>
    <row r="149" spans="1:17">
      <c r="D149" s="205" t="s">
        <v>339</v>
      </c>
      <c r="E149" s="115"/>
      <c r="F149" s="115"/>
      <c r="G149" s="115"/>
      <c r="H149" s="115"/>
      <c r="I149" s="115"/>
      <c r="J149" s="115"/>
      <c r="K149" s="215" t="s">
        <v>339</v>
      </c>
      <c r="N149" s="215" t="s">
        <v>339</v>
      </c>
      <c r="Q149" s="215" t="s">
        <v>473</v>
      </c>
    </row>
    <row r="150" spans="1:17">
      <c r="D150" s="205" t="s">
        <v>352</v>
      </c>
      <c r="E150" s="115"/>
      <c r="F150" s="115"/>
      <c r="G150" s="115"/>
      <c r="H150" s="115"/>
      <c r="I150" s="115"/>
      <c r="J150" s="115"/>
      <c r="K150" s="215" t="s">
        <v>474</v>
      </c>
      <c r="N150" s="215" t="s">
        <v>392</v>
      </c>
      <c r="Q150" s="215" t="s">
        <v>475</v>
      </c>
    </row>
    <row r="151" spans="1:17">
      <c r="A151" t="s">
        <v>263</v>
      </c>
      <c r="D151" s="205" t="s">
        <v>351</v>
      </c>
      <c r="E151" s="133"/>
      <c r="F151" s="133"/>
      <c r="G151" s="133"/>
      <c r="H151" s="133"/>
      <c r="I151" s="133"/>
      <c r="J151" s="133"/>
      <c r="K151" s="215" t="s">
        <v>351</v>
      </c>
      <c r="N151" s="215" t="s">
        <v>393</v>
      </c>
      <c r="Q151" s="215" t="s">
        <v>393</v>
      </c>
    </row>
    <row r="152" spans="1:17">
      <c r="A152" t="s">
        <v>264</v>
      </c>
      <c r="D152" s="205" t="s">
        <v>356</v>
      </c>
      <c r="E152" s="133"/>
      <c r="F152" s="133"/>
      <c r="G152" s="133"/>
      <c r="H152" s="133"/>
      <c r="I152" s="133"/>
      <c r="J152" s="133"/>
      <c r="K152" s="215" t="s">
        <v>476</v>
      </c>
      <c r="N152" s="215" t="s">
        <v>394</v>
      </c>
      <c r="Q152" s="215" t="s">
        <v>394</v>
      </c>
    </row>
    <row r="153" spans="1:17">
      <c r="D153" s="216"/>
      <c r="K153" s="216"/>
      <c r="N153" s="216"/>
      <c r="Q153" s="216"/>
    </row>
    <row r="154" spans="1:17">
      <c r="A154" t="s">
        <v>79</v>
      </c>
      <c r="D154" s="208" t="s">
        <v>354</v>
      </c>
      <c r="E154" s="39"/>
      <c r="F154" s="39"/>
      <c r="G154" s="39"/>
      <c r="H154" s="39"/>
      <c r="I154" s="39"/>
      <c r="J154" s="39"/>
      <c r="K154" s="215" t="s">
        <v>477</v>
      </c>
      <c r="L154" t="s">
        <v>478</v>
      </c>
      <c r="N154" s="215" t="s">
        <v>395</v>
      </c>
      <c r="Q154" s="215" t="s">
        <v>479</v>
      </c>
    </row>
    <row r="155" spans="1:17">
      <c r="D155" s="208" t="s">
        <v>355</v>
      </c>
      <c r="E155" s="39"/>
      <c r="F155" s="39"/>
      <c r="G155" s="39"/>
      <c r="H155" s="39"/>
      <c r="I155" s="39"/>
      <c r="J155" s="39"/>
      <c r="K155" s="215" t="s">
        <v>480</v>
      </c>
      <c r="L155" t="s">
        <v>481</v>
      </c>
      <c r="N155" s="215" t="s">
        <v>396</v>
      </c>
      <c r="Q155" s="215" t="s">
        <v>482</v>
      </c>
    </row>
    <row r="156" spans="1:17">
      <c r="D156" s="217"/>
      <c r="E156" s="43"/>
      <c r="F156" s="43"/>
      <c r="G156" s="43"/>
      <c r="H156" s="43"/>
      <c r="I156" s="43"/>
      <c r="J156" s="43"/>
      <c r="K156" s="216"/>
      <c r="N156" s="216"/>
      <c r="Q156" s="216"/>
    </row>
    <row r="157" spans="1:17">
      <c r="A157" t="s">
        <v>80</v>
      </c>
      <c r="D157" s="208" t="s">
        <v>265</v>
      </c>
      <c r="E157" s="39"/>
      <c r="F157" s="43"/>
      <c r="G157" s="43"/>
      <c r="H157" s="43"/>
      <c r="I157" s="43"/>
      <c r="J157" s="43"/>
      <c r="K157" s="215" t="s">
        <v>265</v>
      </c>
      <c r="N157" s="215" t="s">
        <v>265</v>
      </c>
      <c r="Q157" s="215" t="s">
        <v>265</v>
      </c>
    </row>
    <row r="158" spans="1:17">
      <c r="A158" t="s">
        <v>81</v>
      </c>
      <c r="D158" s="208" t="s">
        <v>266</v>
      </c>
      <c r="E158" s="39"/>
      <c r="F158" s="43" t="s">
        <v>82</v>
      </c>
      <c r="G158" s="43"/>
      <c r="H158" s="43"/>
      <c r="I158" s="43"/>
      <c r="J158" s="43"/>
      <c r="K158" s="215" t="s">
        <v>266</v>
      </c>
      <c r="N158" s="215" t="s">
        <v>397</v>
      </c>
      <c r="Q158" s="215" t="s">
        <v>397</v>
      </c>
    </row>
    <row r="159" spans="1:17">
      <c r="A159" t="s">
        <v>81</v>
      </c>
      <c r="D159" s="208" t="s">
        <v>266</v>
      </c>
      <c r="E159" s="39"/>
      <c r="F159" s="43" t="s">
        <v>83</v>
      </c>
      <c r="G159" s="43"/>
      <c r="H159" s="43"/>
      <c r="I159" s="43"/>
      <c r="J159" s="43"/>
      <c r="K159" s="215" t="s">
        <v>266</v>
      </c>
      <c r="N159" s="215" t="s">
        <v>397</v>
      </c>
      <c r="Q159" s="215" t="s">
        <v>397</v>
      </c>
    </row>
    <row r="160" spans="1:17">
      <c r="A160" t="s">
        <v>84</v>
      </c>
      <c r="D160" s="208" t="s">
        <v>353</v>
      </c>
      <c r="E160" s="39"/>
      <c r="F160" s="43"/>
      <c r="G160" s="43"/>
      <c r="H160" s="43"/>
      <c r="I160" s="43"/>
      <c r="J160" s="43"/>
      <c r="K160" s="215" t="s">
        <v>483</v>
      </c>
      <c r="N160" s="215" t="s">
        <v>398</v>
      </c>
      <c r="Q160" s="215" t="s">
        <v>484</v>
      </c>
    </row>
    <row r="161" spans="1:17">
      <c r="D161" s="216"/>
      <c r="K161" s="216" t="s">
        <v>485</v>
      </c>
      <c r="N161" s="216"/>
      <c r="Q161" s="216"/>
    </row>
    <row r="162" spans="1:17">
      <c r="A162" t="s">
        <v>267</v>
      </c>
      <c r="D162" s="214" t="s">
        <v>272</v>
      </c>
      <c r="K162" s="215" t="s">
        <v>486</v>
      </c>
      <c r="N162" s="215" t="s">
        <v>399</v>
      </c>
      <c r="Q162" s="215" t="s">
        <v>399</v>
      </c>
    </row>
  </sheetData>
  <sheetProtection algorithmName="SHA-512" hashValue="HlRkR8L2Edazs8zOCHjq5G/MBoDLnX0nXdY7Ye+7S/0oGk5+wxSE5gcNfNgaD2B/i6YoliSS0aMb+44uoX6OOg==" saltValue="CuaLBFZ43xKCxwdgvmIl3Q==" spinCount="100000" sheet="1" objects="1" scenarios="1"/>
  <mergeCells count="16">
    <mergeCell ref="D103:F103"/>
    <mergeCell ref="D98:F98"/>
    <mergeCell ref="D7:F7"/>
    <mergeCell ref="D92:F92"/>
    <mergeCell ref="D144:E144"/>
    <mergeCell ref="D3:H3"/>
    <mergeCell ref="D94:F94"/>
    <mergeCell ref="D96:F96"/>
    <mergeCell ref="D100:H100"/>
    <mergeCell ref="D6:F6"/>
    <mergeCell ref="G114:J114"/>
    <mergeCell ref="G113:J113"/>
    <mergeCell ref="G112:J112"/>
    <mergeCell ref="D114:E114"/>
    <mergeCell ref="D113:E113"/>
    <mergeCell ref="D112:E112"/>
  </mergeCells>
  <phoneticPr fontId="11" type="noConversion"/>
  <dataValidations count="3">
    <dataValidation type="list" allowBlank="1" showInputMessage="1" showErrorMessage="1" sqref="D125" xr:uid="{00000000-0002-0000-0000-000000000000}">
      <formula1>TITLE2</formula1>
    </dataValidation>
    <dataValidation type="list" allowBlank="1" showInputMessage="1" showErrorMessage="1" sqref="D109" xr:uid="{00000000-0002-0000-0000-000001000000}">
      <formula1>Shareholderhishertheir</formula1>
    </dataValidation>
    <dataValidation type="list" allowBlank="1" showInputMessage="1" showErrorMessage="1" sqref="D96:F96" xr:uid="{00000000-0002-0000-0000-000002000000}">
      <formula1>Due_to_from_a_director</formula1>
    </dataValidation>
  </dataValidations>
  <hyperlinks>
    <hyperlink ref="F87"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2">
    <tabColor rgb="FFFF0000"/>
  </sheetPr>
  <dimension ref="A1:Q58"/>
  <sheetViews>
    <sheetView view="pageBreakPreview" zoomScale="115" zoomScaleNormal="100" zoomScaleSheetLayoutView="115" workbookViewId="0">
      <selection activeCell="Q9" sqref="Q9"/>
    </sheetView>
  </sheetViews>
  <sheetFormatPr defaultRowHeight="15.75"/>
  <cols>
    <col min="1" max="1" width="19.625" bestFit="1" customWidth="1"/>
    <col min="3" max="3" width="20.375" customWidth="1"/>
    <col min="4" max="4" width="21.125" style="43" bestFit="1" customWidth="1"/>
    <col min="5" max="5" width="13.5" style="43" bestFit="1" customWidth="1"/>
    <col min="6" max="6" width="2.75" style="43" customWidth="1"/>
    <col min="7" max="7" width="11.875" style="43" customWidth="1"/>
    <col min="8" max="8" width="2.125" style="43" customWidth="1"/>
    <col min="9" max="9" width="15.25" style="43" bestFit="1" customWidth="1"/>
    <col min="10" max="10" width="13.125" bestFit="1" customWidth="1"/>
    <col min="11" max="11" width="12.875" style="110" customWidth="1"/>
    <col min="12" max="12" width="2.5" customWidth="1"/>
    <col min="13" max="13" width="9" customWidth="1"/>
    <col min="14" max="14" width="10.875" bestFit="1" customWidth="1"/>
    <col min="15" max="15" width="11.75" style="110" customWidth="1"/>
  </cols>
  <sheetData>
    <row r="1" spans="1:17">
      <c r="M1" s="221" t="s">
        <v>540</v>
      </c>
      <c r="N1" s="221"/>
      <c r="O1" s="221"/>
      <c r="P1" s="221"/>
    </row>
    <row r="2" spans="1:17">
      <c r="D2" s="43" t="s">
        <v>246</v>
      </c>
      <c r="G2" s="43" t="s">
        <v>247</v>
      </c>
      <c r="I2" s="43" t="s">
        <v>250</v>
      </c>
      <c r="K2" s="110" t="s">
        <v>221</v>
      </c>
      <c r="M2" t="s">
        <v>242</v>
      </c>
      <c r="O2" s="110" t="s">
        <v>221</v>
      </c>
      <c r="Q2" s="110" t="s">
        <v>221</v>
      </c>
    </row>
    <row r="3" spans="1:17">
      <c r="D3" s="43" t="s">
        <v>248</v>
      </c>
      <c r="E3" s="43" t="s">
        <v>249</v>
      </c>
    </row>
    <row r="4" spans="1:17">
      <c r="A4" t="s">
        <v>236</v>
      </c>
      <c r="C4" s="208" t="s">
        <v>346</v>
      </c>
      <c r="D4" s="123">
        <f>+IF(Control!$D$37=1,Control!$D$11,E4)</f>
        <v>0</v>
      </c>
      <c r="E4" s="207"/>
      <c r="F4" s="122"/>
      <c r="G4" s="207"/>
      <c r="I4" s="43">
        <f t="shared" ref="I4:I9" si="0">IF(C4=0,0,IF(G4=0,1,0))</f>
        <v>1</v>
      </c>
      <c r="J4" t="s">
        <v>243</v>
      </c>
      <c r="K4" s="212">
        <v>20000</v>
      </c>
      <c r="M4" s="208"/>
      <c r="N4" t="s">
        <v>244</v>
      </c>
      <c r="O4" s="212"/>
      <c r="P4" t="s">
        <v>489</v>
      </c>
      <c r="Q4" s="212">
        <v>6000</v>
      </c>
    </row>
    <row r="5" spans="1:17">
      <c r="A5" t="s">
        <v>237</v>
      </c>
      <c r="C5" s="208" t="s">
        <v>490</v>
      </c>
      <c r="D5" s="123">
        <f>+IF(Control!$D$37=1,Control!$D$11,E5)</f>
        <v>0</v>
      </c>
      <c r="E5" s="207"/>
      <c r="G5" s="207"/>
      <c r="I5" s="43">
        <f t="shared" si="0"/>
        <v>1</v>
      </c>
      <c r="J5" t="s">
        <v>243</v>
      </c>
      <c r="K5" s="212">
        <v>-30000</v>
      </c>
      <c r="M5" s="208"/>
      <c r="N5" t="s">
        <v>244</v>
      </c>
      <c r="O5" s="212"/>
      <c r="P5" t="s">
        <v>489</v>
      </c>
      <c r="Q5" s="212"/>
    </row>
    <row r="6" spans="1:17">
      <c r="A6" t="s">
        <v>238</v>
      </c>
      <c r="C6" s="208">
        <v>0</v>
      </c>
      <c r="D6" s="123">
        <f>+IF(Control!$D$37=1,Control!$D$11,E6)</f>
        <v>0</v>
      </c>
      <c r="E6" s="207"/>
      <c r="G6" s="207"/>
      <c r="I6" s="43">
        <f t="shared" si="0"/>
        <v>0</v>
      </c>
      <c r="J6" t="s">
        <v>243</v>
      </c>
      <c r="K6" s="212"/>
      <c r="M6" s="208"/>
      <c r="N6" t="s">
        <v>244</v>
      </c>
      <c r="O6" s="212"/>
      <c r="P6" t="s">
        <v>489</v>
      </c>
      <c r="Q6" s="212"/>
    </row>
    <row r="7" spans="1:17">
      <c r="A7" t="s">
        <v>239</v>
      </c>
      <c r="C7" s="208">
        <v>0</v>
      </c>
      <c r="D7" s="123">
        <f>+IF(Control!$D$37=1,Control!$D$11,E7)</f>
        <v>0</v>
      </c>
      <c r="E7" s="207"/>
      <c r="G7" s="207"/>
      <c r="I7" s="43">
        <f t="shared" si="0"/>
        <v>0</v>
      </c>
      <c r="J7" t="s">
        <v>243</v>
      </c>
      <c r="K7" s="212"/>
      <c r="M7" s="208"/>
      <c r="N7" t="s">
        <v>244</v>
      </c>
      <c r="O7" s="212"/>
      <c r="P7" t="s">
        <v>489</v>
      </c>
      <c r="Q7" s="212"/>
    </row>
    <row r="8" spans="1:17">
      <c r="A8" t="s">
        <v>240</v>
      </c>
      <c r="C8" s="208">
        <v>0</v>
      </c>
      <c r="D8" s="123">
        <f>+IF(Control!$D$37=1,Control!$D$11,E8)</f>
        <v>0</v>
      </c>
      <c r="E8" s="207"/>
      <c r="G8" s="207"/>
      <c r="I8" s="43">
        <f t="shared" si="0"/>
        <v>0</v>
      </c>
      <c r="J8" t="s">
        <v>243</v>
      </c>
      <c r="K8" s="212"/>
      <c r="M8" s="208"/>
      <c r="N8" t="s">
        <v>244</v>
      </c>
      <c r="O8" s="212"/>
      <c r="P8" t="s">
        <v>489</v>
      </c>
      <c r="Q8" s="212"/>
    </row>
    <row r="9" spans="1:17">
      <c r="A9" t="s">
        <v>241</v>
      </c>
      <c r="C9" s="208">
        <v>0</v>
      </c>
      <c r="D9" s="123">
        <f>+IF(Control!$D$37=1,Control!$D$11,E9)</f>
        <v>0</v>
      </c>
      <c r="E9" s="207"/>
      <c r="G9" s="207"/>
      <c r="I9" s="43">
        <f t="shared" si="0"/>
        <v>0</v>
      </c>
      <c r="J9" t="s">
        <v>243</v>
      </c>
      <c r="K9" s="212"/>
      <c r="M9" s="208"/>
      <c r="N9" t="s">
        <v>244</v>
      </c>
      <c r="O9" s="212"/>
      <c r="P9" t="s">
        <v>489</v>
      </c>
      <c r="Q9" s="212"/>
    </row>
    <row r="10" spans="1:17" ht="16.5" thickBot="1">
      <c r="O10" s="229">
        <f>SUM(O4:O9)</f>
        <v>0</v>
      </c>
      <c r="Q10" s="230">
        <f>SUM(Q4:Q9)</f>
        <v>6000</v>
      </c>
    </row>
    <row r="11" spans="1:17" ht="16.5" thickTop="1">
      <c r="J11" s="238"/>
      <c r="K11" s="239">
        <f>+IF(K3&gt;=0,K3,"")</f>
        <v>0</v>
      </c>
      <c r="L11" s="238"/>
      <c r="M11" s="238"/>
      <c r="N11" s="238">
        <f>+IF(K3&lt;0,K3,0)</f>
        <v>0</v>
      </c>
    </row>
    <row r="12" spans="1:17">
      <c r="J12" s="238"/>
      <c r="K12" s="239">
        <f>+IF(K4&gt;=0,K4,"")</f>
        <v>20000</v>
      </c>
      <c r="L12" s="238"/>
      <c r="M12" s="238"/>
      <c r="N12" s="238">
        <f t="shared" ref="N12:N16" si="1">+IF(K4&lt;0,K4,0)</f>
        <v>0</v>
      </c>
    </row>
    <row r="13" spans="1:17">
      <c r="J13" s="238"/>
      <c r="K13" s="239">
        <f t="shared" ref="K13:K16" si="2">+IF(K5&gt;=0,K5,0)</f>
        <v>0</v>
      </c>
      <c r="L13" s="238"/>
      <c r="M13" s="238"/>
      <c r="N13" s="238">
        <f t="shared" si="1"/>
        <v>-30000</v>
      </c>
    </row>
    <row r="14" spans="1:17">
      <c r="J14" s="238"/>
      <c r="K14" s="239">
        <f t="shared" si="2"/>
        <v>0</v>
      </c>
      <c r="L14" s="238"/>
      <c r="M14" s="238"/>
      <c r="N14" s="238">
        <f t="shared" si="1"/>
        <v>0</v>
      </c>
    </row>
    <row r="15" spans="1:17">
      <c r="J15" s="238"/>
      <c r="K15" s="239">
        <f t="shared" si="2"/>
        <v>0</v>
      </c>
      <c r="L15" s="238"/>
      <c r="M15" s="238"/>
      <c r="N15" s="238">
        <f t="shared" si="1"/>
        <v>0</v>
      </c>
    </row>
    <row r="16" spans="1:17">
      <c r="J16" s="238"/>
      <c r="K16" s="239">
        <f t="shared" si="2"/>
        <v>0</v>
      </c>
      <c r="L16" s="238"/>
      <c r="M16" s="238"/>
      <c r="N16" s="238">
        <f t="shared" si="1"/>
        <v>0</v>
      </c>
    </row>
    <row r="17" spans="10:14" ht="16.5" thickBot="1">
      <c r="J17" s="238">
        <f>+K17+N17</f>
        <v>-10000</v>
      </c>
      <c r="K17" s="240">
        <f>SUM(K11:K16)</f>
        <v>20000</v>
      </c>
      <c r="L17" s="238"/>
      <c r="M17" s="238"/>
      <c r="N17" s="241">
        <f>SUM(N11:N16)</f>
        <v>-30000</v>
      </c>
    </row>
    <row r="18" spans="10:14" ht="16.5" thickTop="1">
      <c r="J18" s="238"/>
      <c r="K18" s="242"/>
      <c r="L18" s="238"/>
      <c r="M18" s="238"/>
      <c r="N18" s="238"/>
    </row>
    <row r="19" spans="10:14">
      <c r="J19" s="238"/>
      <c r="K19" s="239">
        <f>+COUNTIF(K11:K16,"&gt;0")</f>
        <v>1</v>
      </c>
      <c r="L19" s="238"/>
      <c r="M19" s="238"/>
      <c r="N19" s="238">
        <f>+COUNTIF(N11:N16,"&lt;0")</f>
        <v>1</v>
      </c>
    </row>
    <row r="58" spans="4:4">
      <c r="D58" s="43">
        <v>-23056</v>
      </c>
    </row>
  </sheetData>
  <sheetProtection algorithmName="SHA-512" hashValue="DrWxBaxiSLTfKCdbiK2Qbxhia3KYFGosljSKjSkJiW9JdAPbs4Tw2fKU8se9xdBMYxVxuMUrJH4sTXSvIUaZOQ==" saltValue="5pjLhmDPfz6ZZK54wSXVOg==" spinCount="100000" sheet="1" objects="1" scenarios="1"/>
  <phoneticPr fontId="1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4">
    <pageSetUpPr fitToPage="1"/>
  </sheetPr>
  <dimension ref="A1:AQ78"/>
  <sheetViews>
    <sheetView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399" t="s">
        <v>85</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row>
    <row r="2" spans="1:43" customFormat="1" ht="15.75">
      <c r="A2" s="399" t="s">
        <v>86</v>
      </c>
      <c r="B2" s="399"/>
      <c r="C2" s="399"/>
      <c r="D2" s="399"/>
      <c r="E2" s="399"/>
      <c r="F2" s="399"/>
      <c r="G2" s="399"/>
      <c r="H2" s="399"/>
      <c r="I2" s="399"/>
      <c r="J2" s="399"/>
      <c r="K2" s="399"/>
      <c r="L2" s="399"/>
      <c r="M2" s="399"/>
      <c r="N2" s="399"/>
      <c r="O2" s="399"/>
      <c r="P2" s="399"/>
      <c r="Q2" s="399"/>
      <c r="R2" s="399"/>
      <c r="S2" s="399"/>
      <c r="T2" s="399"/>
      <c r="U2" s="399"/>
      <c r="V2" s="399"/>
      <c r="W2" s="399"/>
      <c r="X2" s="399"/>
      <c r="Y2" s="399"/>
      <c r="Z2" s="399"/>
      <c r="AA2" s="399"/>
      <c r="AB2" s="399"/>
      <c r="AC2" s="399"/>
      <c r="AD2" s="399"/>
      <c r="AE2" s="399"/>
      <c r="AF2" s="399"/>
      <c r="AG2" s="399"/>
      <c r="AH2" s="399"/>
      <c r="AI2" s="399"/>
      <c r="AJ2" s="399"/>
      <c r="AK2" s="399"/>
      <c r="AL2" s="399"/>
    </row>
    <row r="3" spans="1:43" customFormat="1" ht="15.75">
      <c r="A3" s="399" t="s">
        <v>87</v>
      </c>
      <c r="B3" s="399"/>
      <c r="C3" s="399"/>
      <c r="D3" s="399"/>
      <c r="E3" s="399"/>
      <c r="F3" s="399"/>
      <c r="G3" s="399"/>
      <c r="H3" s="399"/>
      <c r="I3" s="399"/>
      <c r="J3" s="399"/>
      <c r="K3" s="399"/>
      <c r="L3" s="399"/>
      <c r="M3" s="399"/>
      <c r="N3" s="399"/>
      <c r="O3" s="399"/>
      <c r="P3" s="399"/>
      <c r="Q3" s="399"/>
      <c r="R3" s="399"/>
      <c r="S3" s="399"/>
      <c r="T3" s="399"/>
      <c r="U3" s="399"/>
      <c r="V3" s="399"/>
      <c r="W3" s="399"/>
      <c r="X3" s="399"/>
      <c r="Y3" s="399"/>
      <c r="Z3" s="399"/>
      <c r="AA3" s="399"/>
      <c r="AB3" s="399"/>
      <c r="AC3" s="399"/>
      <c r="AD3" s="399"/>
      <c r="AE3" s="399"/>
      <c r="AF3" s="399"/>
      <c r="AG3" s="399"/>
      <c r="AH3" s="399"/>
      <c r="AI3" s="399"/>
      <c r="AJ3" s="399"/>
      <c r="AK3" s="399"/>
      <c r="AL3" s="399"/>
    </row>
    <row r="4" spans="1:43" customFormat="1" ht="15.75">
      <c r="A4" s="399" t="s">
        <v>88</v>
      </c>
      <c r="B4" s="399"/>
      <c r="C4" s="399"/>
      <c r="D4" s="399"/>
      <c r="E4" s="399"/>
      <c r="F4" s="399"/>
      <c r="G4" s="399"/>
      <c r="H4" s="399"/>
      <c r="I4" s="399"/>
      <c r="J4" s="399"/>
      <c r="K4" s="399"/>
      <c r="L4" s="399"/>
      <c r="M4" s="399"/>
      <c r="N4" s="399"/>
      <c r="O4" s="399"/>
      <c r="P4" s="399"/>
      <c r="Q4" s="399"/>
      <c r="R4" s="399"/>
      <c r="S4" s="399"/>
      <c r="T4" s="399"/>
      <c r="U4" s="399"/>
      <c r="V4" s="399"/>
      <c r="W4" s="399"/>
      <c r="X4" s="399"/>
      <c r="Y4" s="399"/>
      <c r="Z4" s="399"/>
      <c r="AA4" s="399"/>
      <c r="AB4" s="399"/>
      <c r="AC4" s="399"/>
      <c r="AD4" s="399"/>
      <c r="AE4" s="399"/>
      <c r="AF4" s="399"/>
      <c r="AG4" s="399"/>
      <c r="AH4" s="399"/>
      <c r="AI4" s="399"/>
      <c r="AJ4" s="399"/>
      <c r="AK4" s="399"/>
      <c r="AL4" s="399"/>
    </row>
    <row r="5" spans="1:43" customFormat="1" ht="15.75">
      <c r="A5" s="126"/>
    </row>
    <row r="6" spans="1:43" customFormat="1" ht="15.75">
      <c r="A6" s="400" t="str">
        <f>+Control!D3</f>
        <v>MOP ENTERTAINMENT LIMITED</v>
      </c>
      <c r="B6" s="400"/>
      <c r="C6" s="400"/>
      <c r="D6" s="400"/>
      <c r="E6" s="400"/>
      <c r="F6" s="400"/>
      <c r="G6" s="400"/>
      <c r="H6" s="400"/>
      <c r="I6" s="400"/>
      <c r="J6" s="400"/>
      <c r="K6" s="400"/>
      <c r="L6" s="400"/>
      <c r="M6" s="400"/>
      <c r="N6" s="400"/>
      <c r="O6" s="400"/>
      <c r="P6" s="400"/>
      <c r="Q6" s="400"/>
      <c r="R6" s="400"/>
      <c r="S6" s="400"/>
      <c r="T6" s="400"/>
      <c r="U6" s="400"/>
      <c r="V6" s="400"/>
      <c r="W6" s="400"/>
      <c r="X6" s="400"/>
      <c r="Y6" s="400"/>
      <c r="Z6" s="400"/>
      <c r="AA6" s="400"/>
      <c r="AB6" s="400"/>
      <c r="AC6" s="400"/>
      <c r="AD6" s="400"/>
      <c r="AE6" s="400"/>
      <c r="AF6" s="400"/>
      <c r="AG6" s="400"/>
      <c r="AH6" s="400"/>
      <c r="AI6" s="400"/>
      <c r="AJ6" s="400"/>
      <c r="AK6" s="400"/>
      <c r="AL6" s="400"/>
      <c r="AQ6" t="s">
        <v>1</v>
      </c>
    </row>
    <row r="7" spans="1:43" customFormat="1" ht="15.75">
      <c r="A7" s="401" t="str">
        <f>+CONCATENATE(AQ6,Control!F8,AQ8,'D emol (3)'!AQ7,Control!D7)</f>
        <v xml:space="preserve">FOR THE  ENDED </v>
      </c>
      <c r="B7" s="401"/>
      <c r="C7" s="401"/>
      <c r="D7" s="401"/>
      <c r="E7" s="401"/>
      <c r="F7" s="401"/>
      <c r="G7" s="401"/>
      <c r="H7" s="401"/>
      <c r="I7" s="401"/>
      <c r="J7" s="401"/>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Q7" t="s">
        <v>89</v>
      </c>
    </row>
    <row r="8" spans="1:43" customFormat="1" ht="15.75">
      <c r="AQ8" t="s">
        <v>90</v>
      </c>
    </row>
    <row r="9" spans="1:43" s="35" customFormat="1">
      <c r="C9" s="35" t="s">
        <v>91</v>
      </c>
    </row>
    <row r="10" spans="1:43" s="35" customFormat="1"/>
    <row r="11" spans="1:43" s="35" customFormat="1">
      <c r="A11" s="35" t="s">
        <v>92</v>
      </c>
      <c r="C11" s="402" t="s">
        <v>93</v>
      </c>
      <c r="D11" s="402"/>
      <c r="E11" s="402"/>
      <c r="F11" s="402"/>
      <c r="G11" s="402"/>
      <c r="H11" s="40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row>
    <row r="12" spans="1:43" s="35" customFormat="1">
      <c r="C12" s="402" t="s">
        <v>94</v>
      </c>
      <c r="D12" s="402"/>
      <c r="E12" s="402"/>
      <c r="F12" s="402"/>
      <c r="G12" s="402"/>
      <c r="H12" s="402"/>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row>
    <row r="13" spans="1:43" s="35" customFormat="1">
      <c r="C13" s="402" t="s">
        <v>95</v>
      </c>
      <c r="D13" s="402"/>
      <c r="E13" s="402"/>
      <c r="F13" s="402"/>
      <c r="G13" s="402"/>
      <c r="H13" s="402"/>
      <c r="I13" s="402"/>
      <c r="J13" s="402"/>
      <c r="K13" s="402"/>
      <c r="L13" s="402"/>
      <c r="M13" s="402"/>
      <c r="N13" s="402"/>
      <c r="O13" s="402"/>
      <c r="P13" s="402"/>
      <c r="Q13" s="402"/>
      <c r="R13" s="402"/>
      <c r="S13" s="402"/>
      <c r="T13" s="402"/>
      <c r="U13" s="402"/>
      <c r="V13" s="402"/>
      <c r="W13" s="402"/>
      <c r="X13" s="402"/>
      <c r="Y13" s="402"/>
      <c r="Z13" s="402"/>
      <c r="AA13" s="402"/>
      <c r="AB13" s="402"/>
      <c r="AC13" s="402"/>
      <c r="AD13" s="402"/>
      <c r="AE13" s="402"/>
      <c r="AF13" s="402"/>
      <c r="AG13" s="402"/>
      <c r="AH13" s="402"/>
      <c r="AI13" s="402"/>
      <c r="AJ13" s="402"/>
      <c r="AK13" s="402"/>
      <c r="AL13" s="402"/>
    </row>
    <row r="14" spans="1:43" s="35" customFormat="1">
      <c r="C14" s="35" t="str">
        <f>+CONCATENATE(B68,B69,B70)</f>
        <v>to be disclosed under Section 161 of the Companies Ordinance;</v>
      </c>
      <c r="AQ14" s="35">
        <v>383</v>
      </c>
    </row>
    <row r="15" spans="1:43" s="35" customFormat="1">
      <c r="A15" s="35" t="s">
        <v>96</v>
      </c>
      <c r="C15" s="402" t="s">
        <v>97</v>
      </c>
      <c r="D15" s="402"/>
      <c r="E15" s="402"/>
      <c r="F15" s="402"/>
      <c r="G15" s="402"/>
      <c r="H15" s="402"/>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403">
        <f>+'Dir info'!C6</f>
        <v>0</v>
      </c>
      <c r="E18" s="403"/>
      <c r="F18" s="403"/>
      <c r="G18" s="403"/>
      <c r="H18" s="403"/>
      <c r="I18" s="403"/>
      <c r="J18" s="403"/>
      <c r="K18" s="403"/>
      <c r="L18" s="403"/>
      <c r="M18" s="403"/>
      <c r="N18" s="27"/>
      <c r="O18" s="404" t="s">
        <v>99</v>
      </c>
      <c r="P18" s="405"/>
      <c r="Q18" s="405"/>
      <c r="R18" s="405"/>
      <c r="S18" s="405"/>
      <c r="T18" s="405"/>
      <c r="U18" s="405"/>
      <c r="V18" s="406"/>
      <c r="W18" s="28"/>
      <c r="X18" s="410" t="s">
        <v>100</v>
      </c>
      <c r="Y18" s="410"/>
      <c r="Z18" s="410"/>
      <c r="AA18" s="410"/>
      <c r="AB18" s="410"/>
      <c r="AC18" s="410"/>
      <c r="AD18" s="29"/>
      <c r="AE18" s="412" t="s">
        <v>101</v>
      </c>
      <c r="AF18" s="410"/>
      <c r="AG18" s="410"/>
      <c r="AH18" s="410"/>
      <c r="AI18" s="410"/>
      <c r="AJ18" s="410"/>
      <c r="AK18" s="410"/>
      <c r="AL18" s="413"/>
    </row>
    <row r="19" spans="1:38" ht="27" customHeight="1">
      <c r="A19" s="26" t="s">
        <v>102</v>
      </c>
      <c r="C19" s="27"/>
      <c r="D19" s="416" t="s">
        <v>103</v>
      </c>
      <c r="E19" s="416"/>
      <c r="F19" s="416"/>
      <c r="G19" s="416"/>
      <c r="H19" s="416"/>
      <c r="I19" s="416"/>
      <c r="J19" s="416"/>
      <c r="K19" s="416"/>
      <c r="L19" s="416"/>
      <c r="M19" s="416"/>
      <c r="N19" s="27"/>
      <c r="O19" s="407"/>
      <c r="P19" s="408"/>
      <c r="Q19" s="408"/>
      <c r="R19" s="408"/>
      <c r="S19" s="408"/>
      <c r="T19" s="408"/>
      <c r="U19" s="408"/>
      <c r="V19" s="409"/>
      <c r="W19" s="31"/>
      <c r="X19" s="411"/>
      <c r="Y19" s="411"/>
      <c r="Z19" s="411"/>
      <c r="AA19" s="411"/>
      <c r="AB19" s="411"/>
      <c r="AC19" s="411"/>
      <c r="AD19" s="32"/>
      <c r="AE19" s="414"/>
      <c r="AF19" s="411"/>
      <c r="AG19" s="411"/>
      <c r="AH19" s="411"/>
      <c r="AI19" s="411"/>
      <c r="AJ19" s="411"/>
      <c r="AK19" s="411"/>
      <c r="AL19" s="415"/>
    </row>
    <row r="20" spans="1:38" ht="14.25" customHeight="1">
      <c r="O20" s="420" t="s">
        <v>104</v>
      </c>
      <c r="P20" s="420"/>
      <c r="Q20" s="420"/>
      <c r="R20" s="420"/>
      <c r="S20" s="420" t="s">
        <v>105</v>
      </c>
      <c r="T20" s="420"/>
      <c r="U20" s="420"/>
      <c r="V20" s="420"/>
      <c r="W20" s="420" t="s">
        <v>104</v>
      </c>
      <c r="X20" s="420"/>
      <c r="Y20" s="420"/>
      <c r="Z20" s="420"/>
      <c r="AA20" s="420" t="s">
        <v>105</v>
      </c>
      <c r="AB20" s="420"/>
      <c r="AC20" s="420"/>
      <c r="AD20" s="420"/>
      <c r="AE20" s="420" t="s">
        <v>104</v>
      </c>
      <c r="AF20" s="420"/>
      <c r="AG20" s="420"/>
      <c r="AH20" s="420"/>
      <c r="AI20" s="420" t="s">
        <v>105</v>
      </c>
      <c r="AJ20" s="420"/>
      <c r="AK20" s="420"/>
      <c r="AL20" s="420"/>
    </row>
    <row r="21" spans="1:38">
      <c r="O21" s="417" t="str">
        <f>+Control!D80</f>
        <v>HK$</v>
      </c>
      <c r="P21" s="418"/>
      <c r="Q21" s="418"/>
      <c r="R21" s="419"/>
      <c r="S21" s="417" t="str">
        <f>+Control!D80</f>
        <v>HK$</v>
      </c>
      <c r="T21" s="418"/>
      <c r="U21" s="418"/>
      <c r="V21" s="419"/>
      <c r="W21" s="417" t="str">
        <f>+Control!D80</f>
        <v>HK$</v>
      </c>
      <c r="X21" s="418"/>
      <c r="Y21" s="418"/>
      <c r="Z21" s="419"/>
      <c r="AA21" s="417" t="str">
        <f>+Control!D80</f>
        <v>HK$</v>
      </c>
      <c r="AB21" s="418"/>
      <c r="AC21" s="418"/>
      <c r="AD21" s="419"/>
      <c r="AE21" s="417" t="str">
        <f>+Control!D80</f>
        <v>HK$</v>
      </c>
      <c r="AF21" s="418"/>
      <c r="AG21" s="418"/>
      <c r="AH21" s="419"/>
      <c r="AI21" s="417" t="str">
        <f>+Control!D80</f>
        <v>HK$</v>
      </c>
      <c r="AJ21" s="418"/>
      <c r="AK21" s="418"/>
      <c r="AL21" s="419"/>
    </row>
    <row r="22" spans="1:38">
      <c r="A22" s="30" t="s">
        <v>106</v>
      </c>
      <c r="B22" s="33" t="s">
        <v>107</v>
      </c>
      <c r="C22" s="30" t="s">
        <v>108</v>
      </c>
      <c r="O22" s="422"/>
      <c r="P22" s="420"/>
      <c r="Q22" s="420"/>
      <c r="R22" s="420"/>
      <c r="S22" s="420"/>
      <c r="T22" s="420"/>
      <c r="U22" s="420"/>
      <c r="V22" s="420"/>
      <c r="W22" s="420"/>
      <c r="X22" s="420"/>
      <c r="Y22" s="420"/>
      <c r="Z22" s="420"/>
      <c r="AA22" s="420"/>
      <c r="AB22" s="420"/>
      <c r="AC22" s="420"/>
      <c r="AD22" s="420"/>
      <c r="AE22" s="420"/>
      <c r="AF22" s="420"/>
      <c r="AG22" s="420"/>
      <c r="AH22" s="420"/>
      <c r="AI22" s="420"/>
      <c r="AJ22" s="420"/>
      <c r="AK22" s="420"/>
      <c r="AL22" s="420"/>
    </row>
    <row r="23" spans="1:38">
      <c r="C23" s="30" t="s">
        <v>109</v>
      </c>
      <c r="O23" s="420"/>
      <c r="P23" s="420"/>
      <c r="Q23" s="420"/>
      <c r="R23" s="420"/>
      <c r="S23" s="420"/>
      <c r="T23" s="420"/>
      <c r="U23" s="420"/>
      <c r="V23" s="420"/>
      <c r="W23" s="420"/>
      <c r="X23" s="420"/>
      <c r="Y23" s="420"/>
      <c r="Z23" s="420"/>
      <c r="AA23" s="420"/>
      <c r="AB23" s="420"/>
      <c r="AC23" s="420"/>
      <c r="AD23" s="420"/>
      <c r="AE23" s="420"/>
      <c r="AF23" s="420"/>
      <c r="AG23" s="420"/>
      <c r="AH23" s="420"/>
      <c r="AI23" s="420"/>
      <c r="AJ23" s="420"/>
      <c r="AK23" s="420"/>
      <c r="AL23" s="420"/>
    </row>
    <row r="24" spans="1:38">
      <c r="C24" s="30" t="s">
        <v>110</v>
      </c>
      <c r="O24" s="421">
        <f>+'Dir info'!O6</f>
        <v>0</v>
      </c>
      <c r="P24" s="421"/>
      <c r="Q24" s="421"/>
      <c r="R24" s="421"/>
      <c r="S24" s="420"/>
      <c r="T24" s="420"/>
      <c r="U24" s="420"/>
      <c r="V24" s="420"/>
      <c r="W24" s="420"/>
      <c r="X24" s="420"/>
      <c r="Y24" s="420"/>
      <c r="Z24" s="420"/>
      <c r="AA24" s="420"/>
      <c r="AB24" s="420"/>
      <c r="AC24" s="420"/>
      <c r="AD24" s="420"/>
      <c r="AE24" s="420"/>
      <c r="AF24" s="420"/>
      <c r="AG24" s="420"/>
      <c r="AH24" s="420"/>
      <c r="AI24" s="420"/>
      <c r="AJ24" s="420"/>
      <c r="AK24" s="420"/>
      <c r="AL24" s="420"/>
    </row>
    <row r="25" spans="1:38">
      <c r="C25" s="30" t="s">
        <v>111</v>
      </c>
      <c r="O25" s="420"/>
      <c r="P25" s="420"/>
      <c r="Q25" s="420"/>
      <c r="R25" s="420"/>
      <c r="S25" s="420"/>
      <c r="T25" s="420"/>
      <c r="U25" s="420"/>
      <c r="V25" s="420"/>
      <c r="W25" s="420"/>
      <c r="X25" s="420"/>
      <c r="Y25" s="420"/>
      <c r="Z25" s="420"/>
      <c r="AA25" s="420"/>
      <c r="AB25" s="420"/>
      <c r="AC25" s="420"/>
      <c r="AD25" s="420"/>
      <c r="AE25" s="420"/>
      <c r="AF25" s="420"/>
      <c r="AG25" s="420"/>
      <c r="AH25" s="420"/>
      <c r="AI25" s="420"/>
      <c r="AJ25" s="420"/>
      <c r="AK25" s="420"/>
      <c r="AL25" s="420"/>
    </row>
    <row r="26" spans="1:38">
      <c r="C26" s="30" t="s">
        <v>112</v>
      </c>
      <c r="O26" s="420"/>
      <c r="P26" s="420"/>
      <c r="Q26" s="420"/>
      <c r="R26" s="420"/>
      <c r="S26" s="420"/>
      <c r="T26" s="420"/>
      <c r="U26" s="420"/>
      <c r="V26" s="420"/>
      <c r="W26" s="420"/>
      <c r="X26" s="420"/>
      <c r="Y26" s="420"/>
      <c r="Z26" s="420"/>
      <c r="AA26" s="420"/>
      <c r="AB26" s="420"/>
      <c r="AC26" s="420"/>
      <c r="AD26" s="420"/>
      <c r="AE26" s="420"/>
      <c r="AF26" s="420"/>
      <c r="AG26" s="420"/>
      <c r="AH26" s="420"/>
      <c r="AI26" s="420"/>
      <c r="AJ26" s="420"/>
      <c r="AK26" s="420"/>
      <c r="AL26" s="420"/>
    </row>
    <row r="27" spans="1:38">
      <c r="C27" s="30" t="s">
        <v>113</v>
      </c>
      <c r="O27" s="420"/>
      <c r="P27" s="420"/>
      <c r="Q27" s="420"/>
      <c r="R27" s="420"/>
      <c r="S27" s="420"/>
      <c r="T27" s="420"/>
      <c r="U27" s="420"/>
      <c r="V27" s="420"/>
      <c r="W27" s="420"/>
      <c r="X27" s="420"/>
      <c r="Y27" s="420"/>
      <c r="Z27" s="420"/>
      <c r="AA27" s="420"/>
      <c r="AB27" s="420"/>
      <c r="AC27" s="420"/>
      <c r="AD27" s="420"/>
      <c r="AE27" s="420"/>
      <c r="AF27" s="420"/>
      <c r="AG27" s="420"/>
      <c r="AH27" s="420"/>
      <c r="AI27" s="420"/>
      <c r="AJ27" s="420"/>
      <c r="AK27" s="420"/>
      <c r="AL27" s="420"/>
    </row>
    <row r="28" spans="1:38">
      <c r="D28" s="30" t="s">
        <v>114</v>
      </c>
      <c r="O28" s="420"/>
      <c r="P28" s="420"/>
      <c r="Q28" s="420"/>
      <c r="R28" s="420"/>
      <c r="S28" s="420"/>
      <c r="T28" s="420"/>
      <c r="U28" s="420"/>
      <c r="V28" s="420"/>
      <c r="W28" s="420"/>
      <c r="X28" s="420"/>
      <c r="Y28" s="420"/>
      <c r="Z28" s="420"/>
      <c r="AA28" s="420"/>
      <c r="AB28" s="420"/>
      <c r="AC28" s="420"/>
      <c r="AD28" s="420"/>
      <c r="AE28" s="420"/>
      <c r="AF28" s="420"/>
      <c r="AG28" s="420"/>
      <c r="AH28" s="420"/>
      <c r="AI28" s="420"/>
      <c r="AJ28" s="420"/>
      <c r="AK28" s="420"/>
      <c r="AL28" s="420"/>
    </row>
    <row r="29" spans="1:38">
      <c r="C29" s="30" t="s">
        <v>115</v>
      </c>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row>
    <row r="30" spans="1:38">
      <c r="C30" s="30" t="s">
        <v>116</v>
      </c>
      <c r="O30" s="424"/>
      <c r="P30" s="425"/>
      <c r="Q30" s="425"/>
      <c r="R30" s="426"/>
      <c r="S30" s="420"/>
      <c r="T30" s="420"/>
      <c r="U30" s="420"/>
      <c r="V30" s="420"/>
      <c r="W30" s="420"/>
      <c r="X30" s="420"/>
      <c r="Y30" s="420"/>
      <c r="Z30" s="420"/>
      <c r="AA30" s="420"/>
      <c r="AB30" s="420"/>
      <c r="AC30" s="420"/>
      <c r="AD30" s="420"/>
      <c r="AE30" s="420"/>
      <c r="AF30" s="420"/>
      <c r="AG30" s="420"/>
      <c r="AH30" s="420"/>
      <c r="AI30" s="420"/>
      <c r="AJ30" s="420"/>
      <c r="AK30" s="420"/>
      <c r="AL30" s="420"/>
    </row>
    <row r="31" spans="1:38">
      <c r="D31" s="30" t="s">
        <v>117</v>
      </c>
      <c r="O31" s="427"/>
      <c r="P31" s="428"/>
      <c r="Q31" s="428"/>
      <c r="R31" s="429"/>
      <c r="S31" s="420"/>
      <c r="T31" s="420"/>
      <c r="U31" s="420"/>
      <c r="V31" s="420"/>
      <c r="W31" s="420"/>
      <c r="X31" s="420"/>
      <c r="Y31" s="420"/>
      <c r="Z31" s="420"/>
      <c r="AA31" s="420"/>
      <c r="AB31" s="420"/>
      <c r="AC31" s="420"/>
      <c r="AD31" s="420"/>
      <c r="AE31" s="420"/>
      <c r="AF31" s="420"/>
      <c r="AG31" s="420"/>
      <c r="AH31" s="420"/>
      <c r="AI31" s="420"/>
      <c r="AJ31" s="420"/>
      <c r="AK31" s="420"/>
      <c r="AL31" s="420"/>
    </row>
    <row r="32" spans="1:38">
      <c r="D32" s="30" t="s">
        <v>118</v>
      </c>
      <c r="E32" s="30" t="s">
        <v>119</v>
      </c>
      <c r="O32" s="430"/>
      <c r="P32" s="431"/>
      <c r="Q32" s="431"/>
      <c r="R32" s="432"/>
      <c r="S32" s="420"/>
      <c r="T32" s="420"/>
      <c r="U32" s="420"/>
      <c r="V32" s="420"/>
      <c r="W32" s="420"/>
      <c r="X32" s="420"/>
      <c r="Y32" s="420"/>
      <c r="Z32" s="420"/>
      <c r="AA32" s="420"/>
      <c r="AB32" s="420"/>
      <c r="AC32" s="420"/>
      <c r="AD32" s="420"/>
      <c r="AE32" s="420"/>
      <c r="AF32" s="420"/>
      <c r="AG32" s="420"/>
      <c r="AH32" s="420"/>
      <c r="AI32" s="420"/>
      <c r="AJ32" s="420"/>
      <c r="AK32" s="420"/>
      <c r="AL32" s="420"/>
    </row>
    <row r="33" spans="2:43">
      <c r="O33" s="423"/>
      <c r="P33" s="423"/>
      <c r="Q33" s="423"/>
      <c r="R33" s="423"/>
      <c r="S33" s="420"/>
      <c r="T33" s="420"/>
      <c r="U33" s="420"/>
      <c r="V33" s="420"/>
      <c r="W33" s="420"/>
      <c r="X33" s="420"/>
      <c r="Y33" s="420"/>
      <c r="Z33" s="420"/>
      <c r="AA33" s="420"/>
      <c r="AB33" s="420"/>
      <c r="AC33" s="420"/>
      <c r="AD33" s="420"/>
      <c r="AE33" s="420"/>
      <c r="AF33" s="420"/>
      <c r="AG33" s="420"/>
      <c r="AH33" s="420"/>
      <c r="AI33" s="420"/>
      <c r="AJ33" s="420"/>
      <c r="AK33" s="420"/>
      <c r="AL33" s="420"/>
    </row>
    <row r="34" spans="2:43">
      <c r="O34" s="420"/>
      <c r="P34" s="420"/>
      <c r="Q34" s="420"/>
      <c r="R34" s="420"/>
      <c r="S34" s="420"/>
      <c r="T34" s="420"/>
      <c r="U34" s="420"/>
      <c r="V34" s="420"/>
      <c r="W34" s="420"/>
      <c r="X34" s="420"/>
      <c r="Y34" s="420"/>
      <c r="Z34" s="420"/>
      <c r="AA34" s="420"/>
      <c r="AB34" s="420"/>
      <c r="AC34" s="420"/>
      <c r="AD34" s="420"/>
      <c r="AE34" s="420"/>
      <c r="AF34" s="420"/>
      <c r="AG34" s="420"/>
      <c r="AH34" s="420"/>
      <c r="AI34" s="420"/>
      <c r="AJ34" s="420"/>
      <c r="AK34" s="420"/>
      <c r="AL34" s="420"/>
    </row>
    <row r="35" spans="2:43">
      <c r="B35" s="33" t="s">
        <v>120</v>
      </c>
      <c r="C35" s="30" t="s">
        <v>121</v>
      </c>
      <c r="O35" s="420"/>
      <c r="P35" s="420"/>
      <c r="Q35" s="420"/>
      <c r="R35" s="420"/>
      <c r="S35" s="420"/>
      <c r="T35" s="420"/>
      <c r="U35" s="420"/>
      <c r="V35" s="420"/>
      <c r="W35" s="420"/>
      <c r="X35" s="420"/>
      <c r="Y35" s="420"/>
      <c r="Z35" s="420"/>
      <c r="AA35" s="420"/>
      <c r="AB35" s="420"/>
      <c r="AC35" s="420"/>
      <c r="AD35" s="420"/>
      <c r="AE35" s="420"/>
      <c r="AF35" s="420"/>
      <c r="AG35" s="420"/>
      <c r="AH35" s="420"/>
      <c r="AI35" s="420"/>
      <c r="AJ35" s="420"/>
      <c r="AK35" s="420"/>
      <c r="AL35" s="420"/>
    </row>
    <row r="36" spans="2:43">
      <c r="C36" s="30" t="s">
        <v>122</v>
      </c>
      <c r="O36" s="420"/>
      <c r="P36" s="420"/>
      <c r="Q36" s="420"/>
      <c r="R36" s="420"/>
      <c r="S36" s="420"/>
      <c r="T36" s="420"/>
      <c r="U36" s="420"/>
      <c r="V36" s="420"/>
      <c r="W36" s="420"/>
      <c r="X36" s="420"/>
      <c r="Y36" s="420"/>
      <c r="Z36" s="420"/>
      <c r="AA36" s="420"/>
      <c r="AB36" s="420"/>
      <c r="AC36" s="420"/>
      <c r="AD36" s="420"/>
      <c r="AE36" s="420"/>
      <c r="AF36" s="420"/>
      <c r="AG36" s="420"/>
      <c r="AH36" s="420"/>
      <c r="AI36" s="420"/>
      <c r="AJ36" s="420"/>
      <c r="AK36" s="420"/>
      <c r="AL36" s="420"/>
    </row>
    <row r="37" spans="2:43">
      <c r="D37" s="30" t="s">
        <v>123</v>
      </c>
      <c r="O37" s="420"/>
      <c r="P37" s="420"/>
      <c r="Q37" s="420"/>
      <c r="R37" s="420"/>
      <c r="S37" s="420"/>
      <c r="T37" s="420"/>
      <c r="U37" s="420"/>
      <c r="V37" s="420"/>
      <c r="W37" s="420"/>
      <c r="X37" s="420"/>
      <c r="Y37" s="420"/>
      <c r="Z37" s="420"/>
      <c r="AA37" s="420"/>
      <c r="AB37" s="420"/>
      <c r="AC37" s="420"/>
      <c r="AD37" s="420"/>
      <c r="AE37" s="420"/>
      <c r="AF37" s="420"/>
      <c r="AG37" s="420"/>
      <c r="AH37" s="420"/>
      <c r="AI37" s="420"/>
      <c r="AJ37" s="420"/>
      <c r="AK37" s="420"/>
      <c r="AL37" s="420"/>
    </row>
    <row r="38" spans="2:43">
      <c r="D38" s="30" t="s">
        <v>124</v>
      </c>
      <c r="O38" s="420"/>
      <c r="P38" s="420"/>
      <c r="Q38" s="420"/>
      <c r="R38" s="420"/>
      <c r="S38" s="420"/>
      <c r="T38" s="420"/>
      <c r="U38" s="420"/>
      <c r="V38" s="420"/>
      <c r="W38" s="420"/>
      <c r="X38" s="420"/>
      <c r="Y38" s="420"/>
      <c r="Z38" s="420"/>
      <c r="AA38" s="420"/>
      <c r="AB38" s="420"/>
      <c r="AC38" s="420"/>
      <c r="AD38" s="420"/>
      <c r="AE38" s="420"/>
      <c r="AF38" s="420"/>
      <c r="AG38" s="420"/>
      <c r="AH38" s="420"/>
      <c r="AI38" s="420"/>
      <c r="AJ38" s="420"/>
      <c r="AK38" s="420"/>
      <c r="AL38" s="420"/>
    </row>
    <row r="39" spans="2:43">
      <c r="D39" s="30" t="s">
        <v>125</v>
      </c>
      <c r="O39" s="420"/>
      <c r="P39" s="420"/>
      <c r="Q39" s="420"/>
      <c r="R39" s="420"/>
      <c r="S39" s="420"/>
      <c r="T39" s="420"/>
      <c r="U39" s="420"/>
      <c r="V39" s="420"/>
      <c r="W39" s="420"/>
      <c r="X39" s="420"/>
      <c r="Y39" s="420"/>
      <c r="Z39" s="420"/>
      <c r="AA39" s="420"/>
      <c r="AB39" s="420"/>
      <c r="AC39" s="420"/>
      <c r="AD39" s="420"/>
      <c r="AE39" s="420"/>
      <c r="AF39" s="420"/>
      <c r="AG39" s="420"/>
      <c r="AH39" s="420"/>
      <c r="AI39" s="420"/>
      <c r="AJ39" s="420"/>
      <c r="AK39" s="420"/>
      <c r="AL39" s="420"/>
    </row>
    <row r="40" spans="2:43">
      <c r="C40" s="30" t="s">
        <v>126</v>
      </c>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20"/>
      <c r="AL40" s="420"/>
    </row>
    <row r="41" spans="2:43">
      <c r="C41" s="30" t="s">
        <v>127</v>
      </c>
      <c r="O41" s="420"/>
      <c r="P41" s="420"/>
      <c r="Q41" s="420"/>
      <c r="R41" s="420"/>
      <c r="S41" s="420"/>
      <c r="T41" s="420"/>
      <c r="U41" s="420"/>
      <c r="V41" s="420"/>
      <c r="W41" s="420"/>
      <c r="X41" s="420"/>
      <c r="Y41" s="420"/>
      <c r="Z41" s="420"/>
      <c r="AA41" s="420"/>
      <c r="AB41" s="420"/>
      <c r="AC41" s="420"/>
      <c r="AD41" s="420"/>
      <c r="AE41" s="420"/>
      <c r="AF41" s="420"/>
      <c r="AG41" s="420"/>
      <c r="AH41" s="420"/>
      <c r="AI41" s="420"/>
      <c r="AJ41" s="420"/>
      <c r="AK41" s="420"/>
      <c r="AL41" s="420"/>
    </row>
    <row r="42" spans="2:43">
      <c r="B42" s="33" t="s">
        <v>128</v>
      </c>
      <c r="C42" s="30" t="s">
        <v>129</v>
      </c>
      <c r="O42" s="420"/>
      <c r="P42" s="420"/>
      <c r="Q42" s="420"/>
      <c r="R42" s="420"/>
      <c r="S42" s="420"/>
      <c r="T42" s="420"/>
      <c r="U42" s="420"/>
      <c r="V42" s="420"/>
      <c r="W42" s="420"/>
      <c r="X42" s="420"/>
      <c r="Y42" s="420"/>
      <c r="Z42" s="420"/>
      <c r="AA42" s="420"/>
      <c r="AB42" s="420"/>
      <c r="AC42" s="420"/>
      <c r="AD42" s="420"/>
      <c r="AE42" s="420"/>
      <c r="AF42" s="420"/>
      <c r="AG42" s="420"/>
      <c r="AH42" s="420"/>
      <c r="AI42" s="420"/>
      <c r="AJ42" s="420"/>
      <c r="AK42" s="420"/>
      <c r="AL42" s="420"/>
    </row>
    <row r="43" spans="2:43">
      <c r="C43" s="30" t="s">
        <v>126</v>
      </c>
      <c r="O43" s="420"/>
      <c r="P43" s="420"/>
      <c r="Q43" s="420"/>
      <c r="R43" s="420"/>
      <c r="S43" s="420"/>
      <c r="T43" s="420"/>
      <c r="U43" s="420"/>
      <c r="V43" s="420"/>
      <c r="W43" s="420"/>
      <c r="X43" s="420"/>
      <c r="Y43" s="420"/>
      <c r="Z43" s="420"/>
      <c r="AA43" s="420"/>
      <c r="AB43" s="420"/>
      <c r="AC43" s="420"/>
      <c r="AD43" s="420"/>
      <c r="AE43" s="420"/>
      <c r="AF43" s="420"/>
      <c r="AG43" s="420"/>
      <c r="AH43" s="420"/>
      <c r="AI43" s="420"/>
      <c r="AJ43" s="420"/>
      <c r="AK43" s="420"/>
      <c r="AL43" s="420"/>
    </row>
    <row r="44" spans="2:43">
      <c r="C44" s="30" t="s">
        <v>127</v>
      </c>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row>
    <row r="45" spans="2:43">
      <c r="B45" s="30" t="e">
        <f>+#REF!</f>
        <v>#REF!</v>
      </c>
      <c r="O45" s="436" t="str">
        <f>IF(SUM(O23:O44)&gt;0,SUM(O23:O44),"NIL")</f>
        <v>NIL</v>
      </c>
      <c r="P45" s="437"/>
      <c r="Q45" s="437"/>
      <c r="R45" s="437"/>
      <c r="S45" s="437"/>
      <c r="T45" s="437"/>
      <c r="U45" s="437"/>
      <c r="V45" s="438"/>
      <c r="W45" s="417" t="s">
        <v>130</v>
      </c>
      <c r="X45" s="418"/>
      <c r="Y45" s="418"/>
      <c r="Z45" s="418"/>
      <c r="AA45" s="418"/>
      <c r="AB45" s="418"/>
      <c r="AC45" s="418"/>
      <c r="AD45" s="419"/>
      <c r="AE45" s="417" t="s">
        <v>130</v>
      </c>
      <c r="AF45" s="418"/>
      <c r="AG45" s="418"/>
      <c r="AH45" s="418"/>
      <c r="AI45" s="418"/>
      <c r="AJ45" s="418"/>
      <c r="AK45" s="418"/>
      <c r="AL45" s="419"/>
      <c r="AQ45" s="34"/>
    </row>
    <row r="47" spans="2:43">
      <c r="O47" s="404" t="s">
        <v>131</v>
      </c>
      <c r="P47" s="405"/>
      <c r="Q47" s="405"/>
      <c r="R47" s="405"/>
      <c r="S47" s="405"/>
      <c r="T47" s="405"/>
      <c r="U47" s="405"/>
      <c r="V47" s="405"/>
      <c r="W47" s="405"/>
      <c r="X47" s="405"/>
      <c r="Y47" s="405"/>
      <c r="Z47" s="406"/>
      <c r="AA47" s="412" t="s">
        <v>132</v>
      </c>
      <c r="AB47" s="410"/>
      <c r="AC47" s="410"/>
      <c r="AD47" s="410"/>
      <c r="AE47" s="410"/>
      <c r="AF47" s="410"/>
      <c r="AG47" s="410"/>
      <c r="AH47" s="410"/>
      <c r="AI47" s="410"/>
      <c r="AJ47" s="410"/>
      <c r="AK47" s="410"/>
      <c r="AL47" s="413"/>
    </row>
    <row r="48" spans="2:43">
      <c r="O48" s="407"/>
      <c r="P48" s="408"/>
      <c r="Q48" s="408"/>
      <c r="R48" s="408"/>
      <c r="S48" s="408"/>
      <c r="T48" s="408"/>
      <c r="U48" s="408"/>
      <c r="V48" s="408"/>
      <c r="W48" s="408"/>
      <c r="X48" s="408"/>
      <c r="Y48" s="408"/>
      <c r="Z48" s="409"/>
      <c r="AA48" s="414"/>
      <c r="AB48" s="411"/>
      <c r="AC48" s="411"/>
      <c r="AD48" s="411"/>
      <c r="AE48" s="411"/>
      <c r="AF48" s="411"/>
      <c r="AG48" s="411"/>
      <c r="AH48" s="411"/>
      <c r="AI48" s="411"/>
      <c r="AJ48" s="411"/>
      <c r="AK48" s="411"/>
      <c r="AL48" s="415"/>
    </row>
    <row r="49" spans="1:38">
      <c r="O49" s="404" t="str">
        <f>+Control!D80</f>
        <v>HK$</v>
      </c>
      <c r="P49" s="405"/>
      <c r="Q49" s="405"/>
      <c r="R49" s="405"/>
      <c r="S49" s="405"/>
      <c r="T49" s="405"/>
      <c r="U49" s="405"/>
      <c r="V49" s="405"/>
      <c r="W49" s="405"/>
      <c r="X49" s="405"/>
      <c r="Y49" s="405"/>
      <c r="Z49" s="406"/>
      <c r="AA49" s="404" t="str">
        <f>+Control!D80</f>
        <v>HK$</v>
      </c>
      <c r="AB49" s="405"/>
      <c r="AC49" s="405"/>
      <c r="AD49" s="405"/>
      <c r="AE49" s="405"/>
      <c r="AF49" s="405"/>
      <c r="AG49" s="405"/>
      <c r="AH49" s="405"/>
      <c r="AI49" s="405"/>
      <c r="AJ49" s="405"/>
      <c r="AK49" s="405"/>
      <c r="AL49" s="406"/>
    </row>
    <row r="50" spans="1:38">
      <c r="A50" s="30" t="s">
        <v>133</v>
      </c>
      <c r="B50" s="30" t="s">
        <v>134</v>
      </c>
      <c r="O50" s="433"/>
      <c r="P50" s="434"/>
      <c r="Q50" s="434"/>
      <c r="R50" s="434"/>
      <c r="S50" s="434"/>
      <c r="T50" s="434"/>
      <c r="U50" s="434"/>
      <c r="V50" s="434"/>
      <c r="W50" s="434"/>
      <c r="X50" s="434"/>
      <c r="Y50" s="434"/>
      <c r="Z50" s="435"/>
      <c r="AA50" s="433"/>
      <c r="AB50" s="434"/>
      <c r="AC50" s="434"/>
      <c r="AD50" s="434"/>
      <c r="AE50" s="434"/>
      <c r="AF50" s="434"/>
      <c r="AG50" s="434"/>
      <c r="AH50" s="434"/>
      <c r="AI50" s="434"/>
      <c r="AJ50" s="434"/>
      <c r="AK50" s="434"/>
      <c r="AL50" s="435"/>
    </row>
    <row r="51" spans="1:38">
      <c r="B51" s="30" t="s">
        <v>135</v>
      </c>
      <c r="O51" s="407"/>
      <c r="P51" s="408"/>
      <c r="Q51" s="408"/>
      <c r="R51" s="408"/>
      <c r="S51" s="408"/>
      <c r="T51" s="408"/>
      <c r="U51" s="408"/>
      <c r="V51" s="408"/>
      <c r="W51" s="408"/>
      <c r="X51" s="408"/>
      <c r="Y51" s="408"/>
      <c r="Z51" s="409"/>
      <c r="AA51" s="407"/>
      <c r="AB51" s="408"/>
      <c r="AC51" s="408"/>
      <c r="AD51" s="408"/>
      <c r="AE51" s="408"/>
      <c r="AF51" s="408"/>
      <c r="AG51" s="408"/>
      <c r="AH51" s="408"/>
      <c r="AI51" s="408"/>
      <c r="AJ51" s="408"/>
      <c r="AK51" s="408"/>
      <c r="AL51" s="409"/>
    </row>
    <row r="52" spans="1:38">
      <c r="B52" s="30" t="s">
        <v>136</v>
      </c>
      <c r="O52" s="417"/>
      <c r="P52" s="418"/>
      <c r="Q52" s="418"/>
      <c r="R52" s="418"/>
      <c r="S52" s="418"/>
      <c r="T52" s="418"/>
      <c r="U52" s="418"/>
      <c r="V52" s="418"/>
      <c r="W52" s="418"/>
      <c r="X52" s="418"/>
      <c r="Y52" s="418"/>
      <c r="Z52" s="419"/>
      <c r="AA52" s="417"/>
      <c r="AB52" s="418"/>
      <c r="AC52" s="418"/>
      <c r="AD52" s="418"/>
      <c r="AE52" s="418"/>
      <c r="AF52" s="418"/>
      <c r="AG52" s="418"/>
      <c r="AH52" s="418"/>
      <c r="AI52" s="418"/>
      <c r="AJ52" s="418"/>
      <c r="AK52" s="418"/>
      <c r="AL52" s="419"/>
    </row>
    <row r="53" spans="1:38">
      <c r="B53" s="30" t="s">
        <v>137</v>
      </c>
      <c r="O53" s="404"/>
      <c r="P53" s="405"/>
      <c r="Q53" s="405"/>
      <c r="R53" s="405"/>
      <c r="S53" s="405"/>
      <c r="T53" s="405"/>
      <c r="U53" s="405"/>
      <c r="V53" s="405"/>
      <c r="W53" s="405"/>
      <c r="X53" s="405"/>
      <c r="Y53" s="405"/>
      <c r="Z53" s="406"/>
      <c r="AA53" s="404"/>
      <c r="AB53" s="405"/>
      <c r="AC53" s="405"/>
      <c r="AD53" s="405"/>
      <c r="AE53" s="405"/>
      <c r="AF53" s="405"/>
      <c r="AG53" s="405"/>
      <c r="AH53" s="405"/>
      <c r="AI53" s="405"/>
      <c r="AJ53" s="405"/>
      <c r="AK53" s="405"/>
      <c r="AL53" s="406"/>
    </row>
    <row r="54" spans="1:38">
      <c r="D54" s="30" t="s">
        <v>138</v>
      </c>
      <c r="O54" s="407"/>
      <c r="P54" s="408"/>
      <c r="Q54" s="408"/>
      <c r="R54" s="408"/>
      <c r="S54" s="408"/>
      <c r="T54" s="408"/>
      <c r="U54" s="408"/>
      <c r="V54" s="408"/>
      <c r="W54" s="408"/>
      <c r="X54" s="408"/>
      <c r="Y54" s="408"/>
      <c r="Z54" s="409"/>
      <c r="AA54" s="407"/>
      <c r="AB54" s="408"/>
      <c r="AC54" s="408"/>
      <c r="AD54" s="408"/>
      <c r="AE54" s="408"/>
      <c r="AF54" s="408"/>
      <c r="AG54" s="408"/>
      <c r="AH54" s="408"/>
      <c r="AI54" s="408"/>
      <c r="AJ54" s="408"/>
      <c r="AK54" s="408"/>
      <c r="AL54" s="409"/>
    </row>
    <row r="55" spans="1:38">
      <c r="B55" s="30" t="e">
        <f>+#REF!</f>
        <v>#REF!</v>
      </c>
      <c r="O55" s="417" t="s">
        <v>130</v>
      </c>
      <c r="P55" s="418"/>
      <c r="Q55" s="418"/>
      <c r="R55" s="418"/>
      <c r="S55" s="418"/>
      <c r="T55" s="418"/>
      <c r="U55" s="418"/>
      <c r="V55" s="418"/>
      <c r="W55" s="418"/>
      <c r="X55" s="418"/>
      <c r="Y55" s="418"/>
      <c r="Z55" s="419"/>
      <c r="AA55" s="417" t="s">
        <v>130</v>
      </c>
      <c r="AB55" s="418"/>
      <c r="AC55" s="418"/>
      <c r="AD55" s="418"/>
      <c r="AE55" s="418"/>
      <c r="AF55" s="418"/>
      <c r="AG55" s="418"/>
      <c r="AH55" s="418"/>
      <c r="AI55" s="418"/>
      <c r="AJ55" s="418"/>
      <c r="AK55" s="418"/>
      <c r="AL55" s="419"/>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6">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399" t="s">
        <v>85</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row>
    <row r="2" spans="1:43" customFormat="1" ht="15.75">
      <c r="A2" s="399" t="s">
        <v>86</v>
      </c>
      <c r="B2" s="399"/>
      <c r="C2" s="399"/>
      <c r="D2" s="399"/>
      <c r="E2" s="399"/>
      <c r="F2" s="399"/>
      <c r="G2" s="399"/>
      <c r="H2" s="399"/>
      <c r="I2" s="399"/>
      <c r="J2" s="399"/>
      <c r="K2" s="399"/>
      <c r="L2" s="399"/>
      <c r="M2" s="399"/>
      <c r="N2" s="399"/>
      <c r="O2" s="399"/>
      <c r="P2" s="399"/>
      <c r="Q2" s="399"/>
      <c r="R2" s="399"/>
      <c r="S2" s="399"/>
      <c r="T2" s="399"/>
      <c r="U2" s="399"/>
      <c r="V2" s="399"/>
      <c r="W2" s="399"/>
      <c r="X2" s="399"/>
      <c r="Y2" s="399"/>
      <c r="Z2" s="399"/>
      <c r="AA2" s="399"/>
      <c r="AB2" s="399"/>
      <c r="AC2" s="399"/>
      <c r="AD2" s="399"/>
      <c r="AE2" s="399"/>
      <c r="AF2" s="399"/>
      <c r="AG2" s="399"/>
      <c r="AH2" s="399"/>
      <c r="AI2" s="399"/>
      <c r="AJ2" s="399"/>
      <c r="AK2" s="399"/>
      <c r="AL2" s="399"/>
    </row>
    <row r="3" spans="1:43" customFormat="1" ht="15.75">
      <c r="A3" s="399" t="s">
        <v>87</v>
      </c>
      <c r="B3" s="399"/>
      <c r="C3" s="399"/>
      <c r="D3" s="399"/>
      <c r="E3" s="399"/>
      <c r="F3" s="399"/>
      <c r="G3" s="399"/>
      <c r="H3" s="399"/>
      <c r="I3" s="399"/>
      <c r="J3" s="399"/>
      <c r="K3" s="399"/>
      <c r="L3" s="399"/>
      <c r="M3" s="399"/>
      <c r="N3" s="399"/>
      <c r="O3" s="399"/>
      <c r="P3" s="399"/>
      <c r="Q3" s="399"/>
      <c r="R3" s="399"/>
      <c r="S3" s="399"/>
      <c r="T3" s="399"/>
      <c r="U3" s="399"/>
      <c r="V3" s="399"/>
      <c r="W3" s="399"/>
      <c r="X3" s="399"/>
      <c r="Y3" s="399"/>
      <c r="Z3" s="399"/>
      <c r="AA3" s="399"/>
      <c r="AB3" s="399"/>
      <c r="AC3" s="399"/>
      <c r="AD3" s="399"/>
      <c r="AE3" s="399"/>
      <c r="AF3" s="399"/>
      <c r="AG3" s="399"/>
      <c r="AH3" s="399"/>
      <c r="AI3" s="399"/>
      <c r="AJ3" s="399"/>
      <c r="AK3" s="399"/>
      <c r="AL3" s="399"/>
    </row>
    <row r="4" spans="1:43" customFormat="1" ht="15.75">
      <c r="A4" s="399" t="s">
        <v>88</v>
      </c>
      <c r="B4" s="399"/>
      <c r="C4" s="399"/>
      <c r="D4" s="399"/>
      <c r="E4" s="399"/>
      <c r="F4" s="399"/>
      <c r="G4" s="399"/>
      <c r="H4" s="399"/>
      <c r="I4" s="399"/>
      <c r="J4" s="399"/>
      <c r="K4" s="399"/>
      <c r="L4" s="399"/>
      <c r="M4" s="399"/>
      <c r="N4" s="399"/>
      <c r="O4" s="399"/>
      <c r="P4" s="399"/>
      <c r="Q4" s="399"/>
      <c r="R4" s="399"/>
      <c r="S4" s="399"/>
      <c r="T4" s="399"/>
      <c r="U4" s="399"/>
      <c r="V4" s="399"/>
      <c r="W4" s="399"/>
      <c r="X4" s="399"/>
      <c r="Y4" s="399"/>
      <c r="Z4" s="399"/>
      <c r="AA4" s="399"/>
      <c r="AB4" s="399"/>
      <c r="AC4" s="399"/>
      <c r="AD4" s="399"/>
      <c r="AE4" s="399"/>
      <c r="AF4" s="399"/>
      <c r="AG4" s="399"/>
      <c r="AH4" s="399"/>
      <c r="AI4" s="399"/>
      <c r="AJ4" s="399"/>
      <c r="AK4" s="399"/>
      <c r="AL4" s="399"/>
    </row>
    <row r="5" spans="1:43" customFormat="1" ht="15.75">
      <c r="A5" s="126"/>
    </row>
    <row r="6" spans="1:43" customFormat="1" ht="15.75">
      <c r="A6" s="400" t="str">
        <f>+Control!D3</f>
        <v>MOP ENTERTAINMENT LIMITED</v>
      </c>
      <c r="B6" s="400"/>
      <c r="C6" s="400"/>
      <c r="D6" s="400"/>
      <c r="E6" s="400"/>
      <c r="F6" s="400"/>
      <c r="G6" s="400"/>
      <c r="H6" s="400"/>
      <c r="I6" s="400"/>
      <c r="J6" s="400"/>
      <c r="K6" s="400"/>
      <c r="L6" s="400"/>
      <c r="M6" s="400"/>
      <c r="N6" s="400"/>
      <c r="O6" s="400"/>
      <c r="P6" s="400"/>
      <c r="Q6" s="400"/>
      <c r="R6" s="400"/>
      <c r="S6" s="400"/>
      <c r="T6" s="400"/>
      <c r="U6" s="400"/>
      <c r="V6" s="400"/>
      <c r="W6" s="400"/>
      <c r="X6" s="400"/>
      <c r="Y6" s="400"/>
      <c r="Z6" s="400"/>
      <c r="AA6" s="400"/>
      <c r="AB6" s="400"/>
      <c r="AC6" s="400"/>
      <c r="AD6" s="400"/>
      <c r="AE6" s="400"/>
      <c r="AF6" s="400"/>
      <c r="AG6" s="400"/>
      <c r="AH6" s="400"/>
      <c r="AI6" s="400"/>
      <c r="AJ6" s="400"/>
      <c r="AK6" s="400"/>
      <c r="AL6" s="400"/>
      <c r="AQ6" t="s">
        <v>1</v>
      </c>
    </row>
    <row r="7" spans="1:43" customFormat="1" ht="15.75">
      <c r="A7" s="401" t="str">
        <f>+CONCATENATE(AQ6,Control!F8,AQ8,'D emol (4)'!AQ7,Control!D7)</f>
        <v xml:space="preserve">FOR THE  ENDED </v>
      </c>
      <c r="B7" s="401"/>
      <c r="C7" s="401"/>
      <c r="D7" s="401"/>
      <c r="E7" s="401"/>
      <c r="F7" s="401"/>
      <c r="G7" s="401"/>
      <c r="H7" s="401"/>
      <c r="I7" s="401"/>
      <c r="J7" s="401"/>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Q7" t="s">
        <v>89</v>
      </c>
    </row>
    <row r="8" spans="1:43" customFormat="1" ht="15.75">
      <c r="AQ8" t="s">
        <v>90</v>
      </c>
    </row>
    <row r="9" spans="1:43" s="35" customFormat="1">
      <c r="C9" s="35" t="s">
        <v>91</v>
      </c>
    </row>
    <row r="10" spans="1:43" s="35" customFormat="1"/>
    <row r="11" spans="1:43" s="35" customFormat="1">
      <c r="A11" s="35" t="s">
        <v>92</v>
      </c>
      <c r="C11" s="402" t="s">
        <v>93</v>
      </c>
      <c r="D11" s="402"/>
      <c r="E11" s="402"/>
      <c r="F11" s="402"/>
      <c r="G11" s="402"/>
      <c r="H11" s="40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row>
    <row r="12" spans="1:43" s="35" customFormat="1">
      <c r="C12" s="402" t="s">
        <v>94</v>
      </c>
      <c r="D12" s="402"/>
      <c r="E12" s="402"/>
      <c r="F12" s="402"/>
      <c r="G12" s="402"/>
      <c r="H12" s="402"/>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row>
    <row r="13" spans="1:43" s="35" customFormat="1">
      <c r="C13" s="402" t="s">
        <v>95</v>
      </c>
      <c r="D13" s="402"/>
      <c r="E13" s="402"/>
      <c r="F13" s="402"/>
      <c r="G13" s="402"/>
      <c r="H13" s="402"/>
      <c r="I13" s="402"/>
      <c r="J13" s="402"/>
      <c r="K13" s="402"/>
      <c r="L13" s="402"/>
      <c r="M13" s="402"/>
      <c r="N13" s="402"/>
      <c r="O13" s="402"/>
      <c r="P13" s="402"/>
      <c r="Q13" s="402"/>
      <c r="R13" s="402"/>
      <c r="S13" s="402"/>
      <c r="T13" s="402"/>
      <c r="U13" s="402"/>
      <c r="V13" s="402"/>
      <c r="W13" s="402"/>
      <c r="X13" s="402"/>
      <c r="Y13" s="402"/>
      <c r="Z13" s="402"/>
      <c r="AA13" s="402"/>
      <c r="AB13" s="402"/>
      <c r="AC13" s="402"/>
      <c r="AD13" s="402"/>
      <c r="AE13" s="402"/>
      <c r="AF13" s="402"/>
      <c r="AG13" s="402"/>
      <c r="AH13" s="402"/>
      <c r="AI13" s="402"/>
      <c r="AJ13" s="402"/>
      <c r="AK13" s="402"/>
      <c r="AL13" s="402"/>
    </row>
    <row r="14" spans="1:43" s="35" customFormat="1">
      <c r="C14" s="35" t="str">
        <f>+CONCATENATE(B68,B69,B70)</f>
        <v>to be disclosed under Section 161 of the Companies Ordinance;</v>
      </c>
      <c r="AQ14" s="35">
        <v>383</v>
      </c>
    </row>
    <row r="15" spans="1:43" s="35" customFormat="1">
      <c r="A15" s="35" t="s">
        <v>96</v>
      </c>
      <c r="C15" s="402" t="s">
        <v>97</v>
      </c>
      <c r="D15" s="402"/>
      <c r="E15" s="402"/>
      <c r="F15" s="402"/>
      <c r="G15" s="402"/>
      <c r="H15" s="402"/>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403">
        <f>+'Dir info'!C7</f>
        <v>0</v>
      </c>
      <c r="E18" s="403"/>
      <c r="F18" s="403"/>
      <c r="G18" s="403"/>
      <c r="H18" s="403"/>
      <c r="I18" s="403"/>
      <c r="J18" s="403"/>
      <c r="K18" s="403"/>
      <c r="L18" s="403"/>
      <c r="M18" s="403"/>
      <c r="N18" s="27"/>
      <c r="O18" s="404" t="s">
        <v>99</v>
      </c>
      <c r="P18" s="405"/>
      <c r="Q18" s="405"/>
      <c r="R18" s="405"/>
      <c r="S18" s="405"/>
      <c r="T18" s="405"/>
      <c r="U18" s="405"/>
      <c r="V18" s="406"/>
      <c r="W18" s="28"/>
      <c r="X18" s="410" t="s">
        <v>100</v>
      </c>
      <c r="Y18" s="410"/>
      <c r="Z18" s="410"/>
      <c r="AA18" s="410"/>
      <c r="AB18" s="410"/>
      <c r="AC18" s="410"/>
      <c r="AD18" s="29"/>
      <c r="AE18" s="412" t="s">
        <v>101</v>
      </c>
      <c r="AF18" s="410"/>
      <c r="AG18" s="410"/>
      <c r="AH18" s="410"/>
      <c r="AI18" s="410"/>
      <c r="AJ18" s="410"/>
      <c r="AK18" s="410"/>
      <c r="AL18" s="413"/>
    </row>
    <row r="19" spans="1:38" ht="27" customHeight="1">
      <c r="A19" s="26" t="s">
        <v>102</v>
      </c>
      <c r="C19" s="27"/>
      <c r="D19" s="416" t="s">
        <v>103</v>
      </c>
      <c r="E19" s="416"/>
      <c r="F19" s="416"/>
      <c r="G19" s="416"/>
      <c r="H19" s="416"/>
      <c r="I19" s="416"/>
      <c r="J19" s="416"/>
      <c r="K19" s="416"/>
      <c r="L19" s="416"/>
      <c r="M19" s="416"/>
      <c r="N19" s="27"/>
      <c r="O19" s="407"/>
      <c r="P19" s="408"/>
      <c r="Q19" s="408"/>
      <c r="R19" s="408"/>
      <c r="S19" s="408"/>
      <c r="T19" s="408"/>
      <c r="U19" s="408"/>
      <c r="V19" s="409"/>
      <c r="W19" s="31"/>
      <c r="X19" s="411"/>
      <c r="Y19" s="411"/>
      <c r="Z19" s="411"/>
      <c r="AA19" s="411"/>
      <c r="AB19" s="411"/>
      <c r="AC19" s="411"/>
      <c r="AD19" s="32"/>
      <c r="AE19" s="414"/>
      <c r="AF19" s="411"/>
      <c r="AG19" s="411"/>
      <c r="AH19" s="411"/>
      <c r="AI19" s="411"/>
      <c r="AJ19" s="411"/>
      <c r="AK19" s="411"/>
      <c r="AL19" s="415"/>
    </row>
    <row r="20" spans="1:38" ht="14.25" customHeight="1">
      <c r="O20" s="420" t="s">
        <v>104</v>
      </c>
      <c r="P20" s="420"/>
      <c r="Q20" s="420"/>
      <c r="R20" s="420"/>
      <c r="S20" s="420" t="s">
        <v>105</v>
      </c>
      <c r="T20" s="420"/>
      <c r="U20" s="420"/>
      <c r="V20" s="420"/>
      <c r="W20" s="420" t="s">
        <v>104</v>
      </c>
      <c r="X20" s="420"/>
      <c r="Y20" s="420"/>
      <c r="Z20" s="420"/>
      <c r="AA20" s="420" t="s">
        <v>105</v>
      </c>
      <c r="AB20" s="420"/>
      <c r="AC20" s="420"/>
      <c r="AD20" s="420"/>
      <c r="AE20" s="420" t="s">
        <v>104</v>
      </c>
      <c r="AF20" s="420"/>
      <c r="AG20" s="420"/>
      <c r="AH20" s="420"/>
      <c r="AI20" s="420" t="s">
        <v>105</v>
      </c>
      <c r="AJ20" s="420"/>
      <c r="AK20" s="420"/>
      <c r="AL20" s="420"/>
    </row>
    <row r="21" spans="1:38">
      <c r="O21" s="417" t="str">
        <f>+Control!D80</f>
        <v>HK$</v>
      </c>
      <c r="P21" s="418"/>
      <c r="Q21" s="418"/>
      <c r="R21" s="419"/>
      <c r="S21" s="417" t="str">
        <f>+Control!D80</f>
        <v>HK$</v>
      </c>
      <c r="T21" s="418"/>
      <c r="U21" s="418"/>
      <c r="V21" s="419"/>
      <c r="W21" s="417" t="str">
        <f>+Control!D80</f>
        <v>HK$</v>
      </c>
      <c r="X21" s="418"/>
      <c r="Y21" s="418"/>
      <c r="Z21" s="419"/>
      <c r="AA21" s="417" t="str">
        <f>+Control!D80</f>
        <v>HK$</v>
      </c>
      <c r="AB21" s="418"/>
      <c r="AC21" s="418"/>
      <c r="AD21" s="419"/>
      <c r="AE21" s="417" t="str">
        <f>+Control!D80</f>
        <v>HK$</v>
      </c>
      <c r="AF21" s="418"/>
      <c r="AG21" s="418"/>
      <c r="AH21" s="419"/>
      <c r="AI21" s="417" t="str">
        <f>+Control!D80</f>
        <v>HK$</v>
      </c>
      <c r="AJ21" s="418"/>
      <c r="AK21" s="418"/>
      <c r="AL21" s="419"/>
    </row>
    <row r="22" spans="1:38">
      <c r="A22" s="30" t="s">
        <v>106</v>
      </c>
      <c r="B22" s="33" t="s">
        <v>107</v>
      </c>
      <c r="C22" s="30" t="s">
        <v>108</v>
      </c>
      <c r="O22" s="422"/>
      <c r="P22" s="420"/>
      <c r="Q22" s="420"/>
      <c r="R22" s="420"/>
      <c r="S22" s="420"/>
      <c r="T22" s="420"/>
      <c r="U22" s="420"/>
      <c r="V22" s="420"/>
      <c r="W22" s="420"/>
      <c r="X22" s="420"/>
      <c r="Y22" s="420"/>
      <c r="Z22" s="420"/>
      <c r="AA22" s="420"/>
      <c r="AB22" s="420"/>
      <c r="AC22" s="420"/>
      <c r="AD22" s="420"/>
      <c r="AE22" s="420"/>
      <c r="AF22" s="420"/>
      <c r="AG22" s="420"/>
      <c r="AH22" s="420"/>
      <c r="AI22" s="420"/>
      <c r="AJ22" s="420"/>
      <c r="AK22" s="420"/>
      <c r="AL22" s="420"/>
    </row>
    <row r="23" spans="1:38">
      <c r="C23" s="30" t="s">
        <v>109</v>
      </c>
      <c r="O23" s="420"/>
      <c r="P23" s="420"/>
      <c r="Q23" s="420"/>
      <c r="R23" s="420"/>
      <c r="S23" s="420"/>
      <c r="T23" s="420"/>
      <c r="U23" s="420"/>
      <c r="V23" s="420"/>
      <c r="W23" s="420"/>
      <c r="X23" s="420"/>
      <c r="Y23" s="420"/>
      <c r="Z23" s="420"/>
      <c r="AA23" s="420"/>
      <c r="AB23" s="420"/>
      <c r="AC23" s="420"/>
      <c r="AD23" s="420"/>
      <c r="AE23" s="420"/>
      <c r="AF23" s="420"/>
      <c r="AG23" s="420"/>
      <c r="AH23" s="420"/>
      <c r="AI23" s="420"/>
      <c r="AJ23" s="420"/>
      <c r="AK23" s="420"/>
      <c r="AL23" s="420"/>
    </row>
    <row r="24" spans="1:38">
      <c r="C24" s="30" t="s">
        <v>110</v>
      </c>
      <c r="O24" s="421">
        <f>+'Dir info'!O7</f>
        <v>0</v>
      </c>
      <c r="P24" s="421"/>
      <c r="Q24" s="421"/>
      <c r="R24" s="421"/>
      <c r="S24" s="420"/>
      <c r="T24" s="420"/>
      <c r="U24" s="420"/>
      <c r="V24" s="420"/>
      <c r="W24" s="420"/>
      <c r="X24" s="420"/>
      <c r="Y24" s="420"/>
      <c r="Z24" s="420"/>
      <c r="AA24" s="420"/>
      <c r="AB24" s="420"/>
      <c r="AC24" s="420"/>
      <c r="AD24" s="420"/>
      <c r="AE24" s="420"/>
      <c r="AF24" s="420"/>
      <c r="AG24" s="420"/>
      <c r="AH24" s="420"/>
      <c r="AI24" s="420"/>
      <c r="AJ24" s="420"/>
      <c r="AK24" s="420"/>
      <c r="AL24" s="420"/>
    </row>
    <row r="25" spans="1:38">
      <c r="C25" s="30" t="s">
        <v>111</v>
      </c>
      <c r="O25" s="420"/>
      <c r="P25" s="420"/>
      <c r="Q25" s="420"/>
      <c r="R25" s="420"/>
      <c r="S25" s="420"/>
      <c r="T25" s="420"/>
      <c r="U25" s="420"/>
      <c r="V25" s="420"/>
      <c r="W25" s="420"/>
      <c r="X25" s="420"/>
      <c r="Y25" s="420"/>
      <c r="Z25" s="420"/>
      <c r="AA25" s="420"/>
      <c r="AB25" s="420"/>
      <c r="AC25" s="420"/>
      <c r="AD25" s="420"/>
      <c r="AE25" s="420"/>
      <c r="AF25" s="420"/>
      <c r="AG25" s="420"/>
      <c r="AH25" s="420"/>
      <c r="AI25" s="420"/>
      <c r="AJ25" s="420"/>
      <c r="AK25" s="420"/>
      <c r="AL25" s="420"/>
    </row>
    <row r="26" spans="1:38">
      <c r="C26" s="30" t="s">
        <v>112</v>
      </c>
      <c r="O26" s="420"/>
      <c r="P26" s="420"/>
      <c r="Q26" s="420"/>
      <c r="R26" s="420"/>
      <c r="S26" s="420"/>
      <c r="T26" s="420"/>
      <c r="U26" s="420"/>
      <c r="V26" s="420"/>
      <c r="W26" s="420"/>
      <c r="X26" s="420"/>
      <c r="Y26" s="420"/>
      <c r="Z26" s="420"/>
      <c r="AA26" s="420"/>
      <c r="AB26" s="420"/>
      <c r="AC26" s="420"/>
      <c r="AD26" s="420"/>
      <c r="AE26" s="420"/>
      <c r="AF26" s="420"/>
      <c r="AG26" s="420"/>
      <c r="AH26" s="420"/>
      <c r="AI26" s="420"/>
      <c r="AJ26" s="420"/>
      <c r="AK26" s="420"/>
      <c r="AL26" s="420"/>
    </row>
    <row r="27" spans="1:38">
      <c r="C27" s="30" t="s">
        <v>113</v>
      </c>
      <c r="O27" s="420"/>
      <c r="P27" s="420"/>
      <c r="Q27" s="420"/>
      <c r="R27" s="420"/>
      <c r="S27" s="420"/>
      <c r="T27" s="420"/>
      <c r="U27" s="420"/>
      <c r="V27" s="420"/>
      <c r="W27" s="420"/>
      <c r="X27" s="420"/>
      <c r="Y27" s="420"/>
      <c r="Z27" s="420"/>
      <c r="AA27" s="420"/>
      <c r="AB27" s="420"/>
      <c r="AC27" s="420"/>
      <c r="AD27" s="420"/>
      <c r="AE27" s="420"/>
      <c r="AF27" s="420"/>
      <c r="AG27" s="420"/>
      <c r="AH27" s="420"/>
      <c r="AI27" s="420"/>
      <c r="AJ27" s="420"/>
      <c r="AK27" s="420"/>
      <c r="AL27" s="420"/>
    </row>
    <row r="28" spans="1:38">
      <c r="D28" s="30" t="s">
        <v>114</v>
      </c>
      <c r="O28" s="420"/>
      <c r="P28" s="420"/>
      <c r="Q28" s="420"/>
      <c r="R28" s="420"/>
      <c r="S28" s="420"/>
      <c r="T28" s="420"/>
      <c r="U28" s="420"/>
      <c r="V28" s="420"/>
      <c r="W28" s="420"/>
      <c r="X28" s="420"/>
      <c r="Y28" s="420"/>
      <c r="Z28" s="420"/>
      <c r="AA28" s="420"/>
      <c r="AB28" s="420"/>
      <c r="AC28" s="420"/>
      <c r="AD28" s="420"/>
      <c r="AE28" s="420"/>
      <c r="AF28" s="420"/>
      <c r="AG28" s="420"/>
      <c r="AH28" s="420"/>
      <c r="AI28" s="420"/>
      <c r="AJ28" s="420"/>
      <c r="AK28" s="420"/>
      <c r="AL28" s="420"/>
    </row>
    <row r="29" spans="1:38">
      <c r="C29" s="30" t="s">
        <v>115</v>
      </c>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row>
    <row r="30" spans="1:38">
      <c r="C30" s="30" t="s">
        <v>116</v>
      </c>
      <c r="O30" s="424"/>
      <c r="P30" s="425"/>
      <c r="Q30" s="425"/>
      <c r="R30" s="426"/>
      <c r="S30" s="420"/>
      <c r="T30" s="420"/>
      <c r="U30" s="420"/>
      <c r="V30" s="420"/>
      <c r="W30" s="420"/>
      <c r="X30" s="420"/>
      <c r="Y30" s="420"/>
      <c r="Z30" s="420"/>
      <c r="AA30" s="420"/>
      <c r="AB30" s="420"/>
      <c r="AC30" s="420"/>
      <c r="AD30" s="420"/>
      <c r="AE30" s="420"/>
      <c r="AF30" s="420"/>
      <c r="AG30" s="420"/>
      <c r="AH30" s="420"/>
      <c r="AI30" s="420"/>
      <c r="AJ30" s="420"/>
      <c r="AK30" s="420"/>
      <c r="AL30" s="420"/>
    </row>
    <row r="31" spans="1:38">
      <c r="D31" s="30" t="s">
        <v>117</v>
      </c>
      <c r="O31" s="427"/>
      <c r="P31" s="428"/>
      <c r="Q31" s="428"/>
      <c r="R31" s="429"/>
      <c r="S31" s="420"/>
      <c r="T31" s="420"/>
      <c r="U31" s="420"/>
      <c r="V31" s="420"/>
      <c r="W31" s="420"/>
      <c r="X31" s="420"/>
      <c r="Y31" s="420"/>
      <c r="Z31" s="420"/>
      <c r="AA31" s="420"/>
      <c r="AB31" s="420"/>
      <c r="AC31" s="420"/>
      <c r="AD31" s="420"/>
      <c r="AE31" s="420"/>
      <c r="AF31" s="420"/>
      <c r="AG31" s="420"/>
      <c r="AH31" s="420"/>
      <c r="AI31" s="420"/>
      <c r="AJ31" s="420"/>
      <c r="AK31" s="420"/>
      <c r="AL31" s="420"/>
    </row>
    <row r="32" spans="1:38">
      <c r="D32" s="30" t="s">
        <v>118</v>
      </c>
      <c r="E32" s="30" t="s">
        <v>119</v>
      </c>
      <c r="O32" s="430"/>
      <c r="P32" s="431"/>
      <c r="Q32" s="431"/>
      <c r="R32" s="432"/>
      <c r="S32" s="420"/>
      <c r="T32" s="420"/>
      <c r="U32" s="420"/>
      <c r="V32" s="420"/>
      <c r="W32" s="420"/>
      <c r="X32" s="420"/>
      <c r="Y32" s="420"/>
      <c r="Z32" s="420"/>
      <c r="AA32" s="420"/>
      <c r="AB32" s="420"/>
      <c r="AC32" s="420"/>
      <c r="AD32" s="420"/>
      <c r="AE32" s="420"/>
      <c r="AF32" s="420"/>
      <c r="AG32" s="420"/>
      <c r="AH32" s="420"/>
      <c r="AI32" s="420"/>
      <c r="AJ32" s="420"/>
      <c r="AK32" s="420"/>
      <c r="AL32" s="420"/>
    </row>
    <row r="33" spans="2:43">
      <c r="O33" s="423"/>
      <c r="P33" s="423"/>
      <c r="Q33" s="423"/>
      <c r="R33" s="423"/>
      <c r="S33" s="420"/>
      <c r="T33" s="420"/>
      <c r="U33" s="420"/>
      <c r="V33" s="420"/>
      <c r="W33" s="420"/>
      <c r="X33" s="420"/>
      <c r="Y33" s="420"/>
      <c r="Z33" s="420"/>
      <c r="AA33" s="420"/>
      <c r="AB33" s="420"/>
      <c r="AC33" s="420"/>
      <c r="AD33" s="420"/>
      <c r="AE33" s="420"/>
      <c r="AF33" s="420"/>
      <c r="AG33" s="420"/>
      <c r="AH33" s="420"/>
      <c r="AI33" s="420"/>
      <c r="AJ33" s="420"/>
      <c r="AK33" s="420"/>
      <c r="AL33" s="420"/>
    </row>
    <row r="34" spans="2:43">
      <c r="O34" s="420"/>
      <c r="P34" s="420"/>
      <c r="Q34" s="420"/>
      <c r="R34" s="420"/>
      <c r="S34" s="420"/>
      <c r="T34" s="420"/>
      <c r="U34" s="420"/>
      <c r="V34" s="420"/>
      <c r="W34" s="420"/>
      <c r="X34" s="420"/>
      <c r="Y34" s="420"/>
      <c r="Z34" s="420"/>
      <c r="AA34" s="420"/>
      <c r="AB34" s="420"/>
      <c r="AC34" s="420"/>
      <c r="AD34" s="420"/>
      <c r="AE34" s="420"/>
      <c r="AF34" s="420"/>
      <c r="AG34" s="420"/>
      <c r="AH34" s="420"/>
      <c r="AI34" s="420"/>
      <c r="AJ34" s="420"/>
      <c r="AK34" s="420"/>
      <c r="AL34" s="420"/>
    </row>
    <row r="35" spans="2:43">
      <c r="B35" s="33" t="s">
        <v>120</v>
      </c>
      <c r="C35" s="30" t="s">
        <v>121</v>
      </c>
      <c r="O35" s="420"/>
      <c r="P35" s="420"/>
      <c r="Q35" s="420"/>
      <c r="R35" s="420"/>
      <c r="S35" s="420"/>
      <c r="T35" s="420"/>
      <c r="U35" s="420"/>
      <c r="V35" s="420"/>
      <c r="W35" s="420"/>
      <c r="X35" s="420"/>
      <c r="Y35" s="420"/>
      <c r="Z35" s="420"/>
      <c r="AA35" s="420"/>
      <c r="AB35" s="420"/>
      <c r="AC35" s="420"/>
      <c r="AD35" s="420"/>
      <c r="AE35" s="420"/>
      <c r="AF35" s="420"/>
      <c r="AG35" s="420"/>
      <c r="AH35" s="420"/>
      <c r="AI35" s="420"/>
      <c r="AJ35" s="420"/>
      <c r="AK35" s="420"/>
      <c r="AL35" s="420"/>
    </row>
    <row r="36" spans="2:43">
      <c r="C36" s="30" t="s">
        <v>122</v>
      </c>
      <c r="O36" s="420"/>
      <c r="P36" s="420"/>
      <c r="Q36" s="420"/>
      <c r="R36" s="420"/>
      <c r="S36" s="420"/>
      <c r="T36" s="420"/>
      <c r="U36" s="420"/>
      <c r="V36" s="420"/>
      <c r="W36" s="420"/>
      <c r="X36" s="420"/>
      <c r="Y36" s="420"/>
      <c r="Z36" s="420"/>
      <c r="AA36" s="420"/>
      <c r="AB36" s="420"/>
      <c r="AC36" s="420"/>
      <c r="AD36" s="420"/>
      <c r="AE36" s="420"/>
      <c r="AF36" s="420"/>
      <c r="AG36" s="420"/>
      <c r="AH36" s="420"/>
      <c r="AI36" s="420"/>
      <c r="AJ36" s="420"/>
      <c r="AK36" s="420"/>
      <c r="AL36" s="420"/>
    </row>
    <row r="37" spans="2:43">
      <c r="D37" s="30" t="s">
        <v>123</v>
      </c>
      <c r="O37" s="420"/>
      <c r="P37" s="420"/>
      <c r="Q37" s="420"/>
      <c r="R37" s="420"/>
      <c r="S37" s="420"/>
      <c r="T37" s="420"/>
      <c r="U37" s="420"/>
      <c r="V37" s="420"/>
      <c r="W37" s="420"/>
      <c r="X37" s="420"/>
      <c r="Y37" s="420"/>
      <c r="Z37" s="420"/>
      <c r="AA37" s="420"/>
      <c r="AB37" s="420"/>
      <c r="AC37" s="420"/>
      <c r="AD37" s="420"/>
      <c r="AE37" s="420"/>
      <c r="AF37" s="420"/>
      <c r="AG37" s="420"/>
      <c r="AH37" s="420"/>
      <c r="AI37" s="420"/>
      <c r="AJ37" s="420"/>
      <c r="AK37" s="420"/>
      <c r="AL37" s="420"/>
    </row>
    <row r="38" spans="2:43">
      <c r="D38" s="30" t="s">
        <v>124</v>
      </c>
      <c r="O38" s="420"/>
      <c r="P38" s="420"/>
      <c r="Q38" s="420"/>
      <c r="R38" s="420"/>
      <c r="S38" s="420"/>
      <c r="T38" s="420"/>
      <c r="U38" s="420"/>
      <c r="V38" s="420"/>
      <c r="W38" s="420"/>
      <c r="X38" s="420"/>
      <c r="Y38" s="420"/>
      <c r="Z38" s="420"/>
      <c r="AA38" s="420"/>
      <c r="AB38" s="420"/>
      <c r="AC38" s="420"/>
      <c r="AD38" s="420"/>
      <c r="AE38" s="420"/>
      <c r="AF38" s="420"/>
      <c r="AG38" s="420"/>
      <c r="AH38" s="420"/>
      <c r="AI38" s="420"/>
      <c r="AJ38" s="420"/>
      <c r="AK38" s="420"/>
      <c r="AL38" s="420"/>
    </row>
    <row r="39" spans="2:43">
      <c r="D39" s="30" t="s">
        <v>125</v>
      </c>
      <c r="O39" s="420"/>
      <c r="P39" s="420"/>
      <c r="Q39" s="420"/>
      <c r="R39" s="420"/>
      <c r="S39" s="420"/>
      <c r="T39" s="420"/>
      <c r="U39" s="420"/>
      <c r="V39" s="420"/>
      <c r="W39" s="420"/>
      <c r="X39" s="420"/>
      <c r="Y39" s="420"/>
      <c r="Z39" s="420"/>
      <c r="AA39" s="420"/>
      <c r="AB39" s="420"/>
      <c r="AC39" s="420"/>
      <c r="AD39" s="420"/>
      <c r="AE39" s="420"/>
      <c r="AF39" s="420"/>
      <c r="AG39" s="420"/>
      <c r="AH39" s="420"/>
      <c r="AI39" s="420"/>
      <c r="AJ39" s="420"/>
      <c r="AK39" s="420"/>
      <c r="AL39" s="420"/>
    </row>
    <row r="40" spans="2:43">
      <c r="C40" s="30" t="s">
        <v>126</v>
      </c>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20"/>
      <c r="AL40" s="420"/>
    </row>
    <row r="41" spans="2:43">
      <c r="C41" s="30" t="s">
        <v>127</v>
      </c>
      <c r="O41" s="420"/>
      <c r="P41" s="420"/>
      <c r="Q41" s="420"/>
      <c r="R41" s="420"/>
      <c r="S41" s="420"/>
      <c r="T41" s="420"/>
      <c r="U41" s="420"/>
      <c r="V41" s="420"/>
      <c r="W41" s="420"/>
      <c r="X41" s="420"/>
      <c r="Y41" s="420"/>
      <c r="Z41" s="420"/>
      <c r="AA41" s="420"/>
      <c r="AB41" s="420"/>
      <c r="AC41" s="420"/>
      <c r="AD41" s="420"/>
      <c r="AE41" s="420"/>
      <c r="AF41" s="420"/>
      <c r="AG41" s="420"/>
      <c r="AH41" s="420"/>
      <c r="AI41" s="420"/>
      <c r="AJ41" s="420"/>
      <c r="AK41" s="420"/>
      <c r="AL41" s="420"/>
    </row>
    <row r="42" spans="2:43">
      <c r="B42" s="33" t="s">
        <v>128</v>
      </c>
      <c r="C42" s="30" t="s">
        <v>129</v>
      </c>
      <c r="O42" s="420"/>
      <c r="P42" s="420"/>
      <c r="Q42" s="420"/>
      <c r="R42" s="420"/>
      <c r="S42" s="420"/>
      <c r="T42" s="420"/>
      <c r="U42" s="420"/>
      <c r="V42" s="420"/>
      <c r="W42" s="420"/>
      <c r="X42" s="420"/>
      <c r="Y42" s="420"/>
      <c r="Z42" s="420"/>
      <c r="AA42" s="420"/>
      <c r="AB42" s="420"/>
      <c r="AC42" s="420"/>
      <c r="AD42" s="420"/>
      <c r="AE42" s="420"/>
      <c r="AF42" s="420"/>
      <c r="AG42" s="420"/>
      <c r="AH42" s="420"/>
      <c r="AI42" s="420"/>
      <c r="AJ42" s="420"/>
      <c r="AK42" s="420"/>
      <c r="AL42" s="420"/>
    </row>
    <row r="43" spans="2:43">
      <c r="C43" s="30" t="s">
        <v>126</v>
      </c>
      <c r="O43" s="420"/>
      <c r="P43" s="420"/>
      <c r="Q43" s="420"/>
      <c r="R43" s="420"/>
      <c r="S43" s="420"/>
      <c r="T43" s="420"/>
      <c r="U43" s="420"/>
      <c r="V43" s="420"/>
      <c r="W43" s="420"/>
      <c r="X43" s="420"/>
      <c r="Y43" s="420"/>
      <c r="Z43" s="420"/>
      <c r="AA43" s="420"/>
      <c r="AB43" s="420"/>
      <c r="AC43" s="420"/>
      <c r="AD43" s="420"/>
      <c r="AE43" s="420"/>
      <c r="AF43" s="420"/>
      <c r="AG43" s="420"/>
      <c r="AH43" s="420"/>
      <c r="AI43" s="420"/>
      <c r="AJ43" s="420"/>
      <c r="AK43" s="420"/>
      <c r="AL43" s="420"/>
    </row>
    <row r="44" spans="2:43">
      <c r="C44" s="30" t="s">
        <v>127</v>
      </c>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row>
    <row r="45" spans="2:43">
      <c r="B45" s="30" t="e">
        <f>+#REF!</f>
        <v>#REF!</v>
      </c>
      <c r="O45" s="436" t="str">
        <f>IF(SUM(O23:O44)&gt;0,SUM(O23:O44),"NIL")</f>
        <v>NIL</v>
      </c>
      <c r="P45" s="437"/>
      <c r="Q45" s="437"/>
      <c r="R45" s="437"/>
      <c r="S45" s="437"/>
      <c r="T45" s="437"/>
      <c r="U45" s="437"/>
      <c r="V45" s="438"/>
      <c r="W45" s="417" t="s">
        <v>130</v>
      </c>
      <c r="X45" s="418"/>
      <c r="Y45" s="418"/>
      <c r="Z45" s="418"/>
      <c r="AA45" s="418"/>
      <c r="AB45" s="418"/>
      <c r="AC45" s="418"/>
      <c r="AD45" s="419"/>
      <c r="AE45" s="417" t="s">
        <v>130</v>
      </c>
      <c r="AF45" s="418"/>
      <c r="AG45" s="418"/>
      <c r="AH45" s="418"/>
      <c r="AI45" s="418"/>
      <c r="AJ45" s="418"/>
      <c r="AK45" s="418"/>
      <c r="AL45" s="419"/>
      <c r="AQ45" s="34"/>
    </row>
    <row r="47" spans="2:43">
      <c r="O47" s="404" t="s">
        <v>131</v>
      </c>
      <c r="P47" s="405"/>
      <c r="Q47" s="405"/>
      <c r="R47" s="405"/>
      <c r="S47" s="405"/>
      <c r="T47" s="405"/>
      <c r="U47" s="405"/>
      <c r="V47" s="405"/>
      <c r="W47" s="405"/>
      <c r="X47" s="405"/>
      <c r="Y47" s="405"/>
      <c r="Z47" s="406"/>
      <c r="AA47" s="412" t="s">
        <v>132</v>
      </c>
      <c r="AB47" s="410"/>
      <c r="AC47" s="410"/>
      <c r="AD47" s="410"/>
      <c r="AE47" s="410"/>
      <c r="AF47" s="410"/>
      <c r="AG47" s="410"/>
      <c r="AH47" s="410"/>
      <c r="AI47" s="410"/>
      <c r="AJ47" s="410"/>
      <c r="AK47" s="410"/>
      <c r="AL47" s="413"/>
    </row>
    <row r="48" spans="2:43">
      <c r="O48" s="407"/>
      <c r="P48" s="408"/>
      <c r="Q48" s="408"/>
      <c r="R48" s="408"/>
      <c r="S48" s="408"/>
      <c r="T48" s="408"/>
      <c r="U48" s="408"/>
      <c r="V48" s="408"/>
      <c r="W48" s="408"/>
      <c r="X48" s="408"/>
      <c r="Y48" s="408"/>
      <c r="Z48" s="409"/>
      <c r="AA48" s="414"/>
      <c r="AB48" s="411"/>
      <c r="AC48" s="411"/>
      <c r="AD48" s="411"/>
      <c r="AE48" s="411"/>
      <c r="AF48" s="411"/>
      <c r="AG48" s="411"/>
      <c r="AH48" s="411"/>
      <c r="AI48" s="411"/>
      <c r="AJ48" s="411"/>
      <c r="AK48" s="411"/>
      <c r="AL48" s="415"/>
    </row>
    <row r="49" spans="1:38">
      <c r="O49" s="404" t="str">
        <f>+Control!D80</f>
        <v>HK$</v>
      </c>
      <c r="P49" s="405"/>
      <c r="Q49" s="405"/>
      <c r="R49" s="405"/>
      <c r="S49" s="405"/>
      <c r="T49" s="405"/>
      <c r="U49" s="405"/>
      <c r="V49" s="405"/>
      <c r="W49" s="405"/>
      <c r="X49" s="405"/>
      <c r="Y49" s="405"/>
      <c r="Z49" s="406"/>
      <c r="AA49" s="404" t="str">
        <f>+Control!D80</f>
        <v>HK$</v>
      </c>
      <c r="AB49" s="405"/>
      <c r="AC49" s="405"/>
      <c r="AD49" s="405"/>
      <c r="AE49" s="405"/>
      <c r="AF49" s="405"/>
      <c r="AG49" s="405"/>
      <c r="AH49" s="405"/>
      <c r="AI49" s="405"/>
      <c r="AJ49" s="405"/>
      <c r="AK49" s="405"/>
      <c r="AL49" s="406"/>
    </row>
    <row r="50" spans="1:38">
      <c r="A50" s="30" t="s">
        <v>133</v>
      </c>
      <c r="B50" s="30" t="s">
        <v>134</v>
      </c>
      <c r="O50" s="433"/>
      <c r="P50" s="434"/>
      <c r="Q50" s="434"/>
      <c r="R50" s="434"/>
      <c r="S50" s="434"/>
      <c r="T50" s="434"/>
      <c r="U50" s="434"/>
      <c r="V50" s="434"/>
      <c r="W50" s="434"/>
      <c r="X50" s="434"/>
      <c r="Y50" s="434"/>
      <c r="Z50" s="435"/>
      <c r="AA50" s="433"/>
      <c r="AB50" s="434"/>
      <c r="AC50" s="434"/>
      <c r="AD50" s="434"/>
      <c r="AE50" s="434"/>
      <c r="AF50" s="434"/>
      <c r="AG50" s="434"/>
      <c r="AH50" s="434"/>
      <c r="AI50" s="434"/>
      <c r="AJ50" s="434"/>
      <c r="AK50" s="434"/>
      <c r="AL50" s="435"/>
    </row>
    <row r="51" spans="1:38">
      <c r="B51" s="30" t="s">
        <v>135</v>
      </c>
      <c r="O51" s="407"/>
      <c r="P51" s="408"/>
      <c r="Q51" s="408"/>
      <c r="R51" s="408"/>
      <c r="S51" s="408"/>
      <c r="T51" s="408"/>
      <c r="U51" s="408"/>
      <c r="V51" s="408"/>
      <c r="W51" s="408"/>
      <c r="X51" s="408"/>
      <c r="Y51" s="408"/>
      <c r="Z51" s="409"/>
      <c r="AA51" s="407"/>
      <c r="AB51" s="408"/>
      <c r="AC51" s="408"/>
      <c r="AD51" s="408"/>
      <c r="AE51" s="408"/>
      <c r="AF51" s="408"/>
      <c r="AG51" s="408"/>
      <c r="AH51" s="408"/>
      <c r="AI51" s="408"/>
      <c r="AJ51" s="408"/>
      <c r="AK51" s="408"/>
      <c r="AL51" s="409"/>
    </row>
    <row r="52" spans="1:38">
      <c r="B52" s="30" t="s">
        <v>136</v>
      </c>
      <c r="O52" s="417"/>
      <c r="P52" s="418"/>
      <c r="Q52" s="418"/>
      <c r="R52" s="418"/>
      <c r="S52" s="418"/>
      <c r="T52" s="418"/>
      <c r="U52" s="418"/>
      <c r="V52" s="418"/>
      <c r="W52" s="418"/>
      <c r="X52" s="418"/>
      <c r="Y52" s="418"/>
      <c r="Z52" s="419"/>
      <c r="AA52" s="417"/>
      <c r="AB52" s="418"/>
      <c r="AC52" s="418"/>
      <c r="AD52" s="418"/>
      <c r="AE52" s="418"/>
      <c r="AF52" s="418"/>
      <c r="AG52" s="418"/>
      <c r="AH52" s="418"/>
      <c r="AI52" s="418"/>
      <c r="AJ52" s="418"/>
      <c r="AK52" s="418"/>
      <c r="AL52" s="419"/>
    </row>
    <row r="53" spans="1:38">
      <c r="B53" s="30" t="s">
        <v>137</v>
      </c>
      <c r="O53" s="404"/>
      <c r="P53" s="405"/>
      <c r="Q53" s="405"/>
      <c r="R53" s="405"/>
      <c r="S53" s="405"/>
      <c r="T53" s="405"/>
      <c r="U53" s="405"/>
      <c r="V53" s="405"/>
      <c r="W53" s="405"/>
      <c r="X53" s="405"/>
      <c r="Y53" s="405"/>
      <c r="Z53" s="406"/>
      <c r="AA53" s="404"/>
      <c r="AB53" s="405"/>
      <c r="AC53" s="405"/>
      <c r="AD53" s="405"/>
      <c r="AE53" s="405"/>
      <c r="AF53" s="405"/>
      <c r="AG53" s="405"/>
      <c r="AH53" s="405"/>
      <c r="AI53" s="405"/>
      <c r="AJ53" s="405"/>
      <c r="AK53" s="405"/>
      <c r="AL53" s="406"/>
    </row>
    <row r="54" spans="1:38">
      <c r="D54" s="30" t="s">
        <v>138</v>
      </c>
      <c r="O54" s="407"/>
      <c r="P54" s="408"/>
      <c r="Q54" s="408"/>
      <c r="R54" s="408"/>
      <c r="S54" s="408"/>
      <c r="T54" s="408"/>
      <c r="U54" s="408"/>
      <c r="V54" s="408"/>
      <c r="W54" s="408"/>
      <c r="X54" s="408"/>
      <c r="Y54" s="408"/>
      <c r="Z54" s="409"/>
      <c r="AA54" s="407"/>
      <c r="AB54" s="408"/>
      <c r="AC54" s="408"/>
      <c r="AD54" s="408"/>
      <c r="AE54" s="408"/>
      <c r="AF54" s="408"/>
      <c r="AG54" s="408"/>
      <c r="AH54" s="408"/>
      <c r="AI54" s="408"/>
      <c r="AJ54" s="408"/>
      <c r="AK54" s="408"/>
      <c r="AL54" s="409"/>
    </row>
    <row r="55" spans="1:38">
      <c r="B55" s="30" t="e">
        <f>+#REF!</f>
        <v>#REF!</v>
      </c>
      <c r="O55" s="417" t="s">
        <v>130</v>
      </c>
      <c r="P55" s="418"/>
      <c r="Q55" s="418"/>
      <c r="R55" s="418"/>
      <c r="S55" s="418"/>
      <c r="T55" s="418"/>
      <c r="U55" s="418"/>
      <c r="V55" s="418"/>
      <c r="W55" s="418"/>
      <c r="X55" s="418"/>
      <c r="Y55" s="418"/>
      <c r="Z55" s="419"/>
      <c r="AA55" s="417" t="s">
        <v>130</v>
      </c>
      <c r="AB55" s="418"/>
      <c r="AC55" s="418"/>
      <c r="AD55" s="418"/>
      <c r="AE55" s="418"/>
      <c r="AF55" s="418"/>
      <c r="AG55" s="418"/>
      <c r="AH55" s="418"/>
      <c r="AI55" s="418"/>
      <c r="AJ55" s="418"/>
      <c r="AK55" s="418"/>
      <c r="AL55" s="419"/>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37">
    <pageSetUpPr fitToPage="1"/>
  </sheetPr>
  <dimension ref="A1:AQ78"/>
  <sheetViews>
    <sheetView topLeftCell="A25"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399" t="s">
        <v>85</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row>
    <row r="2" spans="1:43" customFormat="1" ht="15.75">
      <c r="A2" s="399" t="s">
        <v>86</v>
      </c>
      <c r="B2" s="399"/>
      <c r="C2" s="399"/>
      <c r="D2" s="399"/>
      <c r="E2" s="399"/>
      <c r="F2" s="399"/>
      <c r="G2" s="399"/>
      <c r="H2" s="399"/>
      <c r="I2" s="399"/>
      <c r="J2" s="399"/>
      <c r="K2" s="399"/>
      <c r="L2" s="399"/>
      <c r="M2" s="399"/>
      <c r="N2" s="399"/>
      <c r="O2" s="399"/>
      <c r="P2" s="399"/>
      <c r="Q2" s="399"/>
      <c r="R2" s="399"/>
      <c r="S2" s="399"/>
      <c r="T2" s="399"/>
      <c r="U2" s="399"/>
      <c r="V2" s="399"/>
      <c r="W2" s="399"/>
      <c r="X2" s="399"/>
      <c r="Y2" s="399"/>
      <c r="Z2" s="399"/>
      <c r="AA2" s="399"/>
      <c r="AB2" s="399"/>
      <c r="AC2" s="399"/>
      <c r="AD2" s="399"/>
      <c r="AE2" s="399"/>
      <c r="AF2" s="399"/>
      <c r="AG2" s="399"/>
      <c r="AH2" s="399"/>
      <c r="AI2" s="399"/>
      <c r="AJ2" s="399"/>
      <c r="AK2" s="399"/>
      <c r="AL2" s="399"/>
    </row>
    <row r="3" spans="1:43" customFormat="1" ht="15.75">
      <c r="A3" s="399" t="s">
        <v>87</v>
      </c>
      <c r="B3" s="399"/>
      <c r="C3" s="399"/>
      <c r="D3" s="399"/>
      <c r="E3" s="399"/>
      <c r="F3" s="399"/>
      <c r="G3" s="399"/>
      <c r="H3" s="399"/>
      <c r="I3" s="399"/>
      <c r="J3" s="399"/>
      <c r="K3" s="399"/>
      <c r="L3" s="399"/>
      <c r="M3" s="399"/>
      <c r="N3" s="399"/>
      <c r="O3" s="399"/>
      <c r="P3" s="399"/>
      <c r="Q3" s="399"/>
      <c r="R3" s="399"/>
      <c r="S3" s="399"/>
      <c r="T3" s="399"/>
      <c r="U3" s="399"/>
      <c r="V3" s="399"/>
      <c r="W3" s="399"/>
      <c r="X3" s="399"/>
      <c r="Y3" s="399"/>
      <c r="Z3" s="399"/>
      <c r="AA3" s="399"/>
      <c r="AB3" s="399"/>
      <c r="AC3" s="399"/>
      <c r="AD3" s="399"/>
      <c r="AE3" s="399"/>
      <c r="AF3" s="399"/>
      <c r="AG3" s="399"/>
      <c r="AH3" s="399"/>
      <c r="AI3" s="399"/>
      <c r="AJ3" s="399"/>
      <c r="AK3" s="399"/>
      <c r="AL3" s="399"/>
    </row>
    <row r="4" spans="1:43" customFormat="1" ht="15.75">
      <c r="A4" s="399" t="s">
        <v>88</v>
      </c>
      <c r="B4" s="399"/>
      <c r="C4" s="399"/>
      <c r="D4" s="399"/>
      <c r="E4" s="399"/>
      <c r="F4" s="399"/>
      <c r="G4" s="399"/>
      <c r="H4" s="399"/>
      <c r="I4" s="399"/>
      <c r="J4" s="399"/>
      <c r="K4" s="399"/>
      <c r="L4" s="399"/>
      <c r="M4" s="399"/>
      <c r="N4" s="399"/>
      <c r="O4" s="399"/>
      <c r="P4" s="399"/>
      <c r="Q4" s="399"/>
      <c r="R4" s="399"/>
      <c r="S4" s="399"/>
      <c r="T4" s="399"/>
      <c r="U4" s="399"/>
      <c r="V4" s="399"/>
      <c r="W4" s="399"/>
      <c r="X4" s="399"/>
      <c r="Y4" s="399"/>
      <c r="Z4" s="399"/>
      <c r="AA4" s="399"/>
      <c r="AB4" s="399"/>
      <c r="AC4" s="399"/>
      <c r="AD4" s="399"/>
      <c r="AE4" s="399"/>
      <c r="AF4" s="399"/>
      <c r="AG4" s="399"/>
      <c r="AH4" s="399"/>
      <c r="AI4" s="399"/>
      <c r="AJ4" s="399"/>
      <c r="AK4" s="399"/>
      <c r="AL4" s="399"/>
    </row>
    <row r="5" spans="1:43" customFormat="1" ht="15.75">
      <c r="A5" s="126"/>
    </row>
    <row r="6" spans="1:43" customFormat="1" ht="15.75">
      <c r="A6" s="400" t="str">
        <f>+Control!D3</f>
        <v>MOP ENTERTAINMENT LIMITED</v>
      </c>
      <c r="B6" s="400"/>
      <c r="C6" s="400"/>
      <c r="D6" s="400"/>
      <c r="E6" s="400"/>
      <c r="F6" s="400"/>
      <c r="G6" s="400"/>
      <c r="H6" s="400"/>
      <c r="I6" s="400"/>
      <c r="J6" s="400"/>
      <c r="K6" s="400"/>
      <c r="L6" s="400"/>
      <c r="M6" s="400"/>
      <c r="N6" s="400"/>
      <c r="O6" s="400"/>
      <c r="P6" s="400"/>
      <c r="Q6" s="400"/>
      <c r="R6" s="400"/>
      <c r="S6" s="400"/>
      <c r="T6" s="400"/>
      <c r="U6" s="400"/>
      <c r="V6" s="400"/>
      <c r="W6" s="400"/>
      <c r="X6" s="400"/>
      <c r="Y6" s="400"/>
      <c r="Z6" s="400"/>
      <c r="AA6" s="400"/>
      <c r="AB6" s="400"/>
      <c r="AC6" s="400"/>
      <c r="AD6" s="400"/>
      <c r="AE6" s="400"/>
      <c r="AF6" s="400"/>
      <c r="AG6" s="400"/>
      <c r="AH6" s="400"/>
      <c r="AI6" s="400"/>
      <c r="AJ6" s="400"/>
      <c r="AK6" s="400"/>
      <c r="AL6" s="400"/>
      <c r="AQ6" t="s">
        <v>1</v>
      </c>
    </row>
    <row r="7" spans="1:43" customFormat="1" ht="15.75">
      <c r="A7" s="401" t="str">
        <f>+CONCATENATE(AQ6,Control!F8,AQ8,'D emol (5)'!AQ7,Control!D7)</f>
        <v xml:space="preserve">FOR THE  ENDED </v>
      </c>
      <c r="B7" s="401"/>
      <c r="C7" s="401"/>
      <c r="D7" s="401"/>
      <c r="E7" s="401"/>
      <c r="F7" s="401"/>
      <c r="G7" s="401"/>
      <c r="H7" s="401"/>
      <c r="I7" s="401"/>
      <c r="J7" s="401"/>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Q7" t="s">
        <v>89</v>
      </c>
    </row>
    <row r="8" spans="1:43" customFormat="1" ht="15.75">
      <c r="AQ8" t="s">
        <v>90</v>
      </c>
    </row>
    <row r="9" spans="1:43" s="35" customFormat="1">
      <c r="C9" s="35" t="s">
        <v>91</v>
      </c>
    </row>
    <row r="10" spans="1:43" s="35" customFormat="1"/>
    <row r="11" spans="1:43" s="35" customFormat="1">
      <c r="A11" s="35" t="s">
        <v>92</v>
      </c>
      <c r="C11" s="402" t="s">
        <v>93</v>
      </c>
      <c r="D11" s="402"/>
      <c r="E11" s="402"/>
      <c r="F11" s="402"/>
      <c r="G11" s="402"/>
      <c r="H11" s="40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row>
    <row r="12" spans="1:43" s="35" customFormat="1">
      <c r="C12" s="402" t="s">
        <v>94</v>
      </c>
      <c r="D12" s="402"/>
      <c r="E12" s="402"/>
      <c r="F12" s="402"/>
      <c r="G12" s="402"/>
      <c r="H12" s="402"/>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row>
    <row r="13" spans="1:43" s="35" customFormat="1">
      <c r="C13" s="402" t="s">
        <v>95</v>
      </c>
      <c r="D13" s="402"/>
      <c r="E13" s="402"/>
      <c r="F13" s="402"/>
      <c r="G13" s="402"/>
      <c r="H13" s="402"/>
      <c r="I13" s="402"/>
      <c r="J13" s="402"/>
      <c r="K13" s="402"/>
      <c r="L13" s="402"/>
      <c r="M13" s="402"/>
      <c r="N13" s="402"/>
      <c r="O13" s="402"/>
      <c r="P13" s="402"/>
      <c r="Q13" s="402"/>
      <c r="R13" s="402"/>
      <c r="S13" s="402"/>
      <c r="T13" s="402"/>
      <c r="U13" s="402"/>
      <c r="V13" s="402"/>
      <c r="W13" s="402"/>
      <c r="X13" s="402"/>
      <c r="Y13" s="402"/>
      <c r="Z13" s="402"/>
      <c r="AA13" s="402"/>
      <c r="AB13" s="402"/>
      <c r="AC13" s="402"/>
      <c r="AD13" s="402"/>
      <c r="AE13" s="402"/>
      <c r="AF13" s="402"/>
      <c r="AG13" s="402"/>
      <c r="AH13" s="402"/>
      <c r="AI13" s="402"/>
      <c r="AJ13" s="402"/>
      <c r="AK13" s="402"/>
      <c r="AL13" s="402"/>
    </row>
    <row r="14" spans="1:43" s="35" customFormat="1">
      <c r="C14" s="35" t="str">
        <f>+CONCATENATE(B68,B69,B70)</f>
        <v>to be disclosed under Section 161 of the Companies Ordinance;</v>
      </c>
      <c r="AQ14" s="35">
        <v>383</v>
      </c>
    </row>
    <row r="15" spans="1:43" s="35" customFormat="1">
      <c r="A15" s="35" t="s">
        <v>96</v>
      </c>
      <c r="C15" s="402" t="s">
        <v>97</v>
      </c>
      <c r="D15" s="402"/>
      <c r="E15" s="402"/>
      <c r="F15" s="402"/>
      <c r="G15" s="402"/>
      <c r="H15" s="402"/>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403">
        <f>+'Dir info'!C8</f>
        <v>0</v>
      </c>
      <c r="E18" s="403"/>
      <c r="F18" s="403"/>
      <c r="G18" s="403"/>
      <c r="H18" s="403"/>
      <c r="I18" s="403"/>
      <c r="J18" s="403"/>
      <c r="K18" s="403"/>
      <c r="L18" s="403"/>
      <c r="M18" s="403"/>
      <c r="N18" s="27"/>
      <c r="O18" s="404" t="s">
        <v>99</v>
      </c>
      <c r="P18" s="405"/>
      <c r="Q18" s="405"/>
      <c r="R18" s="405"/>
      <c r="S18" s="405"/>
      <c r="T18" s="405"/>
      <c r="U18" s="405"/>
      <c r="V18" s="406"/>
      <c r="W18" s="28"/>
      <c r="X18" s="410" t="s">
        <v>100</v>
      </c>
      <c r="Y18" s="410"/>
      <c r="Z18" s="410"/>
      <c r="AA18" s="410"/>
      <c r="AB18" s="410"/>
      <c r="AC18" s="410"/>
      <c r="AD18" s="29"/>
      <c r="AE18" s="412" t="s">
        <v>101</v>
      </c>
      <c r="AF18" s="410"/>
      <c r="AG18" s="410"/>
      <c r="AH18" s="410"/>
      <c r="AI18" s="410"/>
      <c r="AJ18" s="410"/>
      <c r="AK18" s="410"/>
      <c r="AL18" s="413"/>
    </row>
    <row r="19" spans="1:38" ht="27" customHeight="1">
      <c r="A19" s="26" t="s">
        <v>102</v>
      </c>
      <c r="C19" s="27"/>
      <c r="D19" s="416" t="s">
        <v>103</v>
      </c>
      <c r="E19" s="416"/>
      <c r="F19" s="416"/>
      <c r="G19" s="416"/>
      <c r="H19" s="416"/>
      <c r="I19" s="416"/>
      <c r="J19" s="416"/>
      <c r="K19" s="416"/>
      <c r="L19" s="416"/>
      <c r="M19" s="416"/>
      <c r="N19" s="27"/>
      <c r="O19" s="407"/>
      <c r="P19" s="408"/>
      <c r="Q19" s="408"/>
      <c r="R19" s="408"/>
      <c r="S19" s="408"/>
      <c r="T19" s="408"/>
      <c r="U19" s="408"/>
      <c r="V19" s="409"/>
      <c r="W19" s="31"/>
      <c r="X19" s="411"/>
      <c r="Y19" s="411"/>
      <c r="Z19" s="411"/>
      <c r="AA19" s="411"/>
      <c r="AB19" s="411"/>
      <c r="AC19" s="411"/>
      <c r="AD19" s="32"/>
      <c r="AE19" s="414"/>
      <c r="AF19" s="411"/>
      <c r="AG19" s="411"/>
      <c r="AH19" s="411"/>
      <c r="AI19" s="411"/>
      <c r="AJ19" s="411"/>
      <c r="AK19" s="411"/>
      <c r="AL19" s="415"/>
    </row>
    <row r="20" spans="1:38" ht="14.25" customHeight="1">
      <c r="O20" s="420" t="s">
        <v>104</v>
      </c>
      <c r="P20" s="420"/>
      <c r="Q20" s="420"/>
      <c r="R20" s="420"/>
      <c r="S20" s="420" t="s">
        <v>105</v>
      </c>
      <c r="T20" s="420"/>
      <c r="U20" s="420"/>
      <c r="V20" s="420"/>
      <c r="W20" s="420" t="s">
        <v>104</v>
      </c>
      <c r="X20" s="420"/>
      <c r="Y20" s="420"/>
      <c r="Z20" s="420"/>
      <c r="AA20" s="420" t="s">
        <v>105</v>
      </c>
      <c r="AB20" s="420"/>
      <c r="AC20" s="420"/>
      <c r="AD20" s="420"/>
      <c r="AE20" s="420" t="s">
        <v>104</v>
      </c>
      <c r="AF20" s="420"/>
      <c r="AG20" s="420"/>
      <c r="AH20" s="420"/>
      <c r="AI20" s="420" t="s">
        <v>105</v>
      </c>
      <c r="AJ20" s="420"/>
      <c r="AK20" s="420"/>
      <c r="AL20" s="420"/>
    </row>
    <row r="21" spans="1:38">
      <c r="O21" s="417" t="str">
        <f>+Control!D80</f>
        <v>HK$</v>
      </c>
      <c r="P21" s="418"/>
      <c r="Q21" s="418"/>
      <c r="R21" s="419"/>
      <c r="S21" s="417" t="str">
        <f>+Control!D80</f>
        <v>HK$</v>
      </c>
      <c r="T21" s="418"/>
      <c r="U21" s="418"/>
      <c r="V21" s="419"/>
      <c r="W21" s="417" t="str">
        <f>+Control!D80</f>
        <v>HK$</v>
      </c>
      <c r="X21" s="418"/>
      <c r="Y21" s="418"/>
      <c r="Z21" s="419"/>
      <c r="AA21" s="417" t="str">
        <f>+Control!D80</f>
        <v>HK$</v>
      </c>
      <c r="AB21" s="418"/>
      <c r="AC21" s="418"/>
      <c r="AD21" s="419"/>
      <c r="AE21" s="417" t="str">
        <f>+Control!D80</f>
        <v>HK$</v>
      </c>
      <c r="AF21" s="418"/>
      <c r="AG21" s="418"/>
      <c r="AH21" s="419"/>
      <c r="AI21" s="417" t="str">
        <f>+Control!D80</f>
        <v>HK$</v>
      </c>
      <c r="AJ21" s="418"/>
      <c r="AK21" s="418"/>
      <c r="AL21" s="419"/>
    </row>
    <row r="22" spans="1:38">
      <c r="A22" s="30" t="s">
        <v>106</v>
      </c>
      <c r="B22" s="33" t="s">
        <v>107</v>
      </c>
      <c r="C22" s="30" t="s">
        <v>108</v>
      </c>
      <c r="O22" s="422"/>
      <c r="P22" s="420"/>
      <c r="Q22" s="420"/>
      <c r="R22" s="420"/>
      <c r="S22" s="420"/>
      <c r="T22" s="420"/>
      <c r="U22" s="420"/>
      <c r="V22" s="420"/>
      <c r="W22" s="420"/>
      <c r="X22" s="420"/>
      <c r="Y22" s="420"/>
      <c r="Z22" s="420"/>
      <c r="AA22" s="420"/>
      <c r="AB22" s="420"/>
      <c r="AC22" s="420"/>
      <c r="AD22" s="420"/>
      <c r="AE22" s="420"/>
      <c r="AF22" s="420"/>
      <c r="AG22" s="420"/>
      <c r="AH22" s="420"/>
      <c r="AI22" s="420"/>
      <c r="AJ22" s="420"/>
      <c r="AK22" s="420"/>
      <c r="AL22" s="420"/>
    </row>
    <row r="23" spans="1:38">
      <c r="C23" s="30" t="s">
        <v>109</v>
      </c>
      <c r="O23" s="420"/>
      <c r="P23" s="420"/>
      <c r="Q23" s="420"/>
      <c r="R23" s="420"/>
      <c r="S23" s="420"/>
      <c r="T23" s="420"/>
      <c r="U23" s="420"/>
      <c r="V23" s="420"/>
      <c r="W23" s="420"/>
      <c r="X23" s="420"/>
      <c r="Y23" s="420"/>
      <c r="Z23" s="420"/>
      <c r="AA23" s="420"/>
      <c r="AB23" s="420"/>
      <c r="AC23" s="420"/>
      <c r="AD23" s="420"/>
      <c r="AE23" s="420"/>
      <c r="AF23" s="420"/>
      <c r="AG23" s="420"/>
      <c r="AH23" s="420"/>
      <c r="AI23" s="420"/>
      <c r="AJ23" s="420"/>
      <c r="AK23" s="420"/>
      <c r="AL23" s="420"/>
    </row>
    <row r="24" spans="1:38">
      <c r="C24" s="30" t="s">
        <v>110</v>
      </c>
      <c r="O24" s="421">
        <f>+'Dir info'!O8</f>
        <v>0</v>
      </c>
      <c r="P24" s="421"/>
      <c r="Q24" s="421"/>
      <c r="R24" s="421"/>
      <c r="S24" s="420"/>
      <c r="T24" s="420"/>
      <c r="U24" s="420"/>
      <c r="V24" s="420"/>
      <c r="W24" s="420"/>
      <c r="X24" s="420"/>
      <c r="Y24" s="420"/>
      <c r="Z24" s="420"/>
      <c r="AA24" s="420"/>
      <c r="AB24" s="420"/>
      <c r="AC24" s="420"/>
      <c r="AD24" s="420"/>
      <c r="AE24" s="420"/>
      <c r="AF24" s="420"/>
      <c r="AG24" s="420"/>
      <c r="AH24" s="420"/>
      <c r="AI24" s="420"/>
      <c r="AJ24" s="420"/>
      <c r="AK24" s="420"/>
      <c r="AL24" s="420"/>
    </row>
    <row r="25" spans="1:38">
      <c r="C25" s="30" t="s">
        <v>111</v>
      </c>
      <c r="O25" s="420"/>
      <c r="P25" s="420"/>
      <c r="Q25" s="420"/>
      <c r="R25" s="420"/>
      <c r="S25" s="420"/>
      <c r="T25" s="420"/>
      <c r="U25" s="420"/>
      <c r="V25" s="420"/>
      <c r="W25" s="420"/>
      <c r="X25" s="420"/>
      <c r="Y25" s="420"/>
      <c r="Z25" s="420"/>
      <c r="AA25" s="420"/>
      <c r="AB25" s="420"/>
      <c r="AC25" s="420"/>
      <c r="AD25" s="420"/>
      <c r="AE25" s="420"/>
      <c r="AF25" s="420"/>
      <c r="AG25" s="420"/>
      <c r="AH25" s="420"/>
      <c r="AI25" s="420"/>
      <c r="AJ25" s="420"/>
      <c r="AK25" s="420"/>
      <c r="AL25" s="420"/>
    </row>
    <row r="26" spans="1:38">
      <c r="C26" s="30" t="s">
        <v>112</v>
      </c>
      <c r="O26" s="420"/>
      <c r="P26" s="420"/>
      <c r="Q26" s="420"/>
      <c r="R26" s="420"/>
      <c r="S26" s="420"/>
      <c r="T26" s="420"/>
      <c r="U26" s="420"/>
      <c r="V26" s="420"/>
      <c r="W26" s="420"/>
      <c r="X26" s="420"/>
      <c r="Y26" s="420"/>
      <c r="Z26" s="420"/>
      <c r="AA26" s="420"/>
      <c r="AB26" s="420"/>
      <c r="AC26" s="420"/>
      <c r="AD26" s="420"/>
      <c r="AE26" s="420"/>
      <c r="AF26" s="420"/>
      <c r="AG26" s="420"/>
      <c r="AH26" s="420"/>
      <c r="AI26" s="420"/>
      <c r="AJ26" s="420"/>
      <c r="AK26" s="420"/>
      <c r="AL26" s="420"/>
    </row>
    <row r="27" spans="1:38">
      <c r="C27" s="30" t="s">
        <v>113</v>
      </c>
      <c r="O27" s="420"/>
      <c r="P27" s="420"/>
      <c r="Q27" s="420"/>
      <c r="R27" s="420"/>
      <c r="S27" s="420"/>
      <c r="T27" s="420"/>
      <c r="U27" s="420"/>
      <c r="V27" s="420"/>
      <c r="W27" s="420"/>
      <c r="X27" s="420"/>
      <c r="Y27" s="420"/>
      <c r="Z27" s="420"/>
      <c r="AA27" s="420"/>
      <c r="AB27" s="420"/>
      <c r="AC27" s="420"/>
      <c r="AD27" s="420"/>
      <c r="AE27" s="420"/>
      <c r="AF27" s="420"/>
      <c r="AG27" s="420"/>
      <c r="AH27" s="420"/>
      <c r="AI27" s="420"/>
      <c r="AJ27" s="420"/>
      <c r="AK27" s="420"/>
      <c r="AL27" s="420"/>
    </row>
    <row r="28" spans="1:38">
      <c r="D28" s="30" t="s">
        <v>114</v>
      </c>
      <c r="O28" s="420"/>
      <c r="P28" s="420"/>
      <c r="Q28" s="420"/>
      <c r="R28" s="420"/>
      <c r="S28" s="420"/>
      <c r="T28" s="420"/>
      <c r="U28" s="420"/>
      <c r="V28" s="420"/>
      <c r="W28" s="420"/>
      <c r="X28" s="420"/>
      <c r="Y28" s="420"/>
      <c r="Z28" s="420"/>
      <c r="AA28" s="420"/>
      <c r="AB28" s="420"/>
      <c r="AC28" s="420"/>
      <c r="AD28" s="420"/>
      <c r="AE28" s="420"/>
      <c r="AF28" s="420"/>
      <c r="AG28" s="420"/>
      <c r="AH28" s="420"/>
      <c r="AI28" s="420"/>
      <c r="AJ28" s="420"/>
      <c r="AK28" s="420"/>
      <c r="AL28" s="420"/>
    </row>
    <row r="29" spans="1:38">
      <c r="C29" s="30" t="s">
        <v>115</v>
      </c>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row>
    <row r="30" spans="1:38">
      <c r="C30" s="30" t="s">
        <v>116</v>
      </c>
      <c r="O30" s="424"/>
      <c r="P30" s="425"/>
      <c r="Q30" s="425"/>
      <c r="R30" s="426"/>
      <c r="S30" s="420"/>
      <c r="T30" s="420"/>
      <c r="U30" s="420"/>
      <c r="V30" s="420"/>
      <c r="W30" s="420"/>
      <c r="X30" s="420"/>
      <c r="Y30" s="420"/>
      <c r="Z30" s="420"/>
      <c r="AA30" s="420"/>
      <c r="AB30" s="420"/>
      <c r="AC30" s="420"/>
      <c r="AD30" s="420"/>
      <c r="AE30" s="420"/>
      <c r="AF30" s="420"/>
      <c r="AG30" s="420"/>
      <c r="AH30" s="420"/>
      <c r="AI30" s="420"/>
      <c r="AJ30" s="420"/>
      <c r="AK30" s="420"/>
      <c r="AL30" s="420"/>
    </row>
    <row r="31" spans="1:38">
      <c r="D31" s="30" t="s">
        <v>117</v>
      </c>
      <c r="O31" s="427"/>
      <c r="P31" s="428"/>
      <c r="Q31" s="428"/>
      <c r="R31" s="429"/>
      <c r="S31" s="420"/>
      <c r="T31" s="420"/>
      <c r="U31" s="420"/>
      <c r="V31" s="420"/>
      <c r="W31" s="420"/>
      <c r="X31" s="420"/>
      <c r="Y31" s="420"/>
      <c r="Z31" s="420"/>
      <c r="AA31" s="420"/>
      <c r="AB31" s="420"/>
      <c r="AC31" s="420"/>
      <c r="AD31" s="420"/>
      <c r="AE31" s="420"/>
      <c r="AF31" s="420"/>
      <c r="AG31" s="420"/>
      <c r="AH31" s="420"/>
      <c r="AI31" s="420"/>
      <c r="AJ31" s="420"/>
      <c r="AK31" s="420"/>
      <c r="AL31" s="420"/>
    </row>
    <row r="32" spans="1:38">
      <c r="D32" s="30" t="s">
        <v>118</v>
      </c>
      <c r="E32" s="30" t="s">
        <v>119</v>
      </c>
      <c r="O32" s="430"/>
      <c r="P32" s="431"/>
      <c r="Q32" s="431"/>
      <c r="R32" s="432"/>
      <c r="S32" s="420"/>
      <c r="T32" s="420"/>
      <c r="U32" s="420"/>
      <c r="V32" s="420"/>
      <c r="W32" s="420"/>
      <c r="X32" s="420"/>
      <c r="Y32" s="420"/>
      <c r="Z32" s="420"/>
      <c r="AA32" s="420"/>
      <c r="AB32" s="420"/>
      <c r="AC32" s="420"/>
      <c r="AD32" s="420"/>
      <c r="AE32" s="420"/>
      <c r="AF32" s="420"/>
      <c r="AG32" s="420"/>
      <c r="AH32" s="420"/>
      <c r="AI32" s="420"/>
      <c r="AJ32" s="420"/>
      <c r="AK32" s="420"/>
      <c r="AL32" s="420"/>
    </row>
    <row r="33" spans="2:43">
      <c r="O33" s="423"/>
      <c r="P33" s="423"/>
      <c r="Q33" s="423"/>
      <c r="R33" s="423"/>
      <c r="S33" s="420"/>
      <c r="T33" s="420"/>
      <c r="U33" s="420"/>
      <c r="V33" s="420"/>
      <c r="W33" s="420"/>
      <c r="X33" s="420"/>
      <c r="Y33" s="420"/>
      <c r="Z33" s="420"/>
      <c r="AA33" s="420"/>
      <c r="AB33" s="420"/>
      <c r="AC33" s="420"/>
      <c r="AD33" s="420"/>
      <c r="AE33" s="420"/>
      <c r="AF33" s="420"/>
      <c r="AG33" s="420"/>
      <c r="AH33" s="420"/>
      <c r="AI33" s="420"/>
      <c r="AJ33" s="420"/>
      <c r="AK33" s="420"/>
      <c r="AL33" s="420"/>
    </row>
    <row r="34" spans="2:43">
      <c r="O34" s="420"/>
      <c r="P34" s="420"/>
      <c r="Q34" s="420"/>
      <c r="R34" s="420"/>
      <c r="S34" s="420"/>
      <c r="T34" s="420"/>
      <c r="U34" s="420"/>
      <c r="V34" s="420"/>
      <c r="W34" s="420"/>
      <c r="X34" s="420"/>
      <c r="Y34" s="420"/>
      <c r="Z34" s="420"/>
      <c r="AA34" s="420"/>
      <c r="AB34" s="420"/>
      <c r="AC34" s="420"/>
      <c r="AD34" s="420"/>
      <c r="AE34" s="420"/>
      <c r="AF34" s="420"/>
      <c r="AG34" s="420"/>
      <c r="AH34" s="420"/>
      <c r="AI34" s="420"/>
      <c r="AJ34" s="420"/>
      <c r="AK34" s="420"/>
      <c r="AL34" s="420"/>
    </row>
    <row r="35" spans="2:43">
      <c r="B35" s="33" t="s">
        <v>120</v>
      </c>
      <c r="C35" s="30" t="s">
        <v>121</v>
      </c>
      <c r="O35" s="420"/>
      <c r="P35" s="420"/>
      <c r="Q35" s="420"/>
      <c r="R35" s="420"/>
      <c r="S35" s="420"/>
      <c r="T35" s="420"/>
      <c r="U35" s="420"/>
      <c r="V35" s="420"/>
      <c r="W35" s="420"/>
      <c r="X35" s="420"/>
      <c r="Y35" s="420"/>
      <c r="Z35" s="420"/>
      <c r="AA35" s="420"/>
      <c r="AB35" s="420"/>
      <c r="AC35" s="420"/>
      <c r="AD35" s="420"/>
      <c r="AE35" s="420"/>
      <c r="AF35" s="420"/>
      <c r="AG35" s="420"/>
      <c r="AH35" s="420"/>
      <c r="AI35" s="420"/>
      <c r="AJ35" s="420"/>
      <c r="AK35" s="420"/>
      <c r="AL35" s="420"/>
    </row>
    <row r="36" spans="2:43">
      <c r="C36" s="30" t="s">
        <v>122</v>
      </c>
      <c r="O36" s="420"/>
      <c r="P36" s="420"/>
      <c r="Q36" s="420"/>
      <c r="R36" s="420"/>
      <c r="S36" s="420"/>
      <c r="T36" s="420"/>
      <c r="U36" s="420"/>
      <c r="V36" s="420"/>
      <c r="W36" s="420"/>
      <c r="X36" s="420"/>
      <c r="Y36" s="420"/>
      <c r="Z36" s="420"/>
      <c r="AA36" s="420"/>
      <c r="AB36" s="420"/>
      <c r="AC36" s="420"/>
      <c r="AD36" s="420"/>
      <c r="AE36" s="420"/>
      <c r="AF36" s="420"/>
      <c r="AG36" s="420"/>
      <c r="AH36" s="420"/>
      <c r="AI36" s="420"/>
      <c r="AJ36" s="420"/>
      <c r="AK36" s="420"/>
      <c r="AL36" s="420"/>
    </row>
    <row r="37" spans="2:43">
      <c r="D37" s="30" t="s">
        <v>123</v>
      </c>
      <c r="O37" s="420"/>
      <c r="P37" s="420"/>
      <c r="Q37" s="420"/>
      <c r="R37" s="420"/>
      <c r="S37" s="420"/>
      <c r="T37" s="420"/>
      <c r="U37" s="420"/>
      <c r="V37" s="420"/>
      <c r="W37" s="420"/>
      <c r="X37" s="420"/>
      <c r="Y37" s="420"/>
      <c r="Z37" s="420"/>
      <c r="AA37" s="420"/>
      <c r="AB37" s="420"/>
      <c r="AC37" s="420"/>
      <c r="AD37" s="420"/>
      <c r="AE37" s="420"/>
      <c r="AF37" s="420"/>
      <c r="AG37" s="420"/>
      <c r="AH37" s="420"/>
      <c r="AI37" s="420"/>
      <c r="AJ37" s="420"/>
      <c r="AK37" s="420"/>
      <c r="AL37" s="420"/>
    </row>
    <row r="38" spans="2:43">
      <c r="D38" s="30" t="s">
        <v>124</v>
      </c>
      <c r="O38" s="420"/>
      <c r="P38" s="420"/>
      <c r="Q38" s="420"/>
      <c r="R38" s="420"/>
      <c r="S38" s="420"/>
      <c r="T38" s="420"/>
      <c r="U38" s="420"/>
      <c r="V38" s="420"/>
      <c r="W38" s="420"/>
      <c r="X38" s="420"/>
      <c r="Y38" s="420"/>
      <c r="Z38" s="420"/>
      <c r="AA38" s="420"/>
      <c r="AB38" s="420"/>
      <c r="AC38" s="420"/>
      <c r="AD38" s="420"/>
      <c r="AE38" s="420"/>
      <c r="AF38" s="420"/>
      <c r="AG38" s="420"/>
      <c r="AH38" s="420"/>
      <c r="AI38" s="420"/>
      <c r="AJ38" s="420"/>
      <c r="AK38" s="420"/>
      <c r="AL38" s="420"/>
    </row>
    <row r="39" spans="2:43">
      <c r="D39" s="30" t="s">
        <v>125</v>
      </c>
      <c r="O39" s="420"/>
      <c r="P39" s="420"/>
      <c r="Q39" s="420"/>
      <c r="R39" s="420"/>
      <c r="S39" s="420"/>
      <c r="T39" s="420"/>
      <c r="U39" s="420"/>
      <c r="V39" s="420"/>
      <c r="W39" s="420"/>
      <c r="X39" s="420"/>
      <c r="Y39" s="420"/>
      <c r="Z39" s="420"/>
      <c r="AA39" s="420"/>
      <c r="AB39" s="420"/>
      <c r="AC39" s="420"/>
      <c r="AD39" s="420"/>
      <c r="AE39" s="420"/>
      <c r="AF39" s="420"/>
      <c r="AG39" s="420"/>
      <c r="AH39" s="420"/>
      <c r="AI39" s="420"/>
      <c r="AJ39" s="420"/>
      <c r="AK39" s="420"/>
      <c r="AL39" s="420"/>
    </row>
    <row r="40" spans="2:43">
      <c r="C40" s="30" t="s">
        <v>126</v>
      </c>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20"/>
      <c r="AL40" s="420"/>
    </row>
    <row r="41" spans="2:43">
      <c r="C41" s="30" t="s">
        <v>127</v>
      </c>
      <c r="O41" s="420"/>
      <c r="P41" s="420"/>
      <c r="Q41" s="420"/>
      <c r="R41" s="420"/>
      <c r="S41" s="420"/>
      <c r="T41" s="420"/>
      <c r="U41" s="420"/>
      <c r="V41" s="420"/>
      <c r="W41" s="420"/>
      <c r="X41" s="420"/>
      <c r="Y41" s="420"/>
      <c r="Z41" s="420"/>
      <c r="AA41" s="420"/>
      <c r="AB41" s="420"/>
      <c r="AC41" s="420"/>
      <c r="AD41" s="420"/>
      <c r="AE41" s="420"/>
      <c r="AF41" s="420"/>
      <c r="AG41" s="420"/>
      <c r="AH41" s="420"/>
      <c r="AI41" s="420"/>
      <c r="AJ41" s="420"/>
      <c r="AK41" s="420"/>
      <c r="AL41" s="420"/>
    </row>
    <row r="42" spans="2:43">
      <c r="B42" s="33" t="s">
        <v>128</v>
      </c>
      <c r="C42" s="30" t="s">
        <v>129</v>
      </c>
      <c r="O42" s="420"/>
      <c r="P42" s="420"/>
      <c r="Q42" s="420"/>
      <c r="R42" s="420"/>
      <c r="S42" s="420"/>
      <c r="T42" s="420"/>
      <c r="U42" s="420"/>
      <c r="V42" s="420"/>
      <c r="W42" s="420"/>
      <c r="X42" s="420"/>
      <c r="Y42" s="420"/>
      <c r="Z42" s="420"/>
      <c r="AA42" s="420"/>
      <c r="AB42" s="420"/>
      <c r="AC42" s="420"/>
      <c r="AD42" s="420"/>
      <c r="AE42" s="420"/>
      <c r="AF42" s="420"/>
      <c r="AG42" s="420"/>
      <c r="AH42" s="420"/>
      <c r="AI42" s="420"/>
      <c r="AJ42" s="420"/>
      <c r="AK42" s="420"/>
      <c r="AL42" s="420"/>
    </row>
    <row r="43" spans="2:43">
      <c r="C43" s="30" t="s">
        <v>126</v>
      </c>
      <c r="O43" s="420"/>
      <c r="P43" s="420"/>
      <c r="Q43" s="420"/>
      <c r="R43" s="420"/>
      <c r="S43" s="420"/>
      <c r="T43" s="420"/>
      <c r="U43" s="420"/>
      <c r="V43" s="420"/>
      <c r="W43" s="420"/>
      <c r="X43" s="420"/>
      <c r="Y43" s="420"/>
      <c r="Z43" s="420"/>
      <c r="AA43" s="420"/>
      <c r="AB43" s="420"/>
      <c r="AC43" s="420"/>
      <c r="AD43" s="420"/>
      <c r="AE43" s="420"/>
      <c r="AF43" s="420"/>
      <c r="AG43" s="420"/>
      <c r="AH43" s="420"/>
      <c r="AI43" s="420"/>
      <c r="AJ43" s="420"/>
      <c r="AK43" s="420"/>
      <c r="AL43" s="420"/>
    </row>
    <row r="44" spans="2:43">
      <c r="C44" s="30" t="s">
        <v>127</v>
      </c>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row>
    <row r="45" spans="2:43">
      <c r="B45" s="30" t="e">
        <f>+#REF!</f>
        <v>#REF!</v>
      </c>
      <c r="O45" s="436" t="str">
        <f>IF(SUM(O23:O44)&gt;0,SUM(O23:O44),"NIL")</f>
        <v>NIL</v>
      </c>
      <c r="P45" s="437"/>
      <c r="Q45" s="437"/>
      <c r="R45" s="437"/>
      <c r="S45" s="437"/>
      <c r="T45" s="437"/>
      <c r="U45" s="437"/>
      <c r="V45" s="438"/>
      <c r="W45" s="417" t="s">
        <v>130</v>
      </c>
      <c r="X45" s="418"/>
      <c r="Y45" s="418"/>
      <c r="Z45" s="418"/>
      <c r="AA45" s="418"/>
      <c r="AB45" s="418"/>
      <c r="AC45" s="418"/>
      <c r="AD45" s="419"/>
      <c r="AE45" s="417" t="s">
        <v>130</v>
      </c>
      <c r="AF45" s="418"/>
      <c r="AG45" s="418"/>
      <c r="AH45" s="418"/>
      <c r="AI45" s="418"/>
      <c r="AJ45" s="418"/>
      <c r="AK45" s="418"/>
      <c r="AL45" s="419"/>
      <c r="AQ45" s="34"/>
    </row>
    <row r="47" spans="2:43">
      <c r="O47" s="404" t="s">
        <v>131</v>
      </c>
      <c r="P47" s="405"/>
      <c r="Q47" s="405"/>
      <c r="R47" s="405"/>
      <c r="S47" s="405"/>
      <c r="T47" s="405"/>
      <c r="U47" s="405"/>
      <c r="V47" s="405"/>
      <c r="W47" s="405"/>
      <c r="X47" s="405"/>
      <c r="Y47" s="405"/>
      <c r="Z47" s="406"/>
      <c r="AA47" s="412" t="s">
        <v>132</v>
      </c>
      <c r="AB47" s="410"/>
      <c r="AC47" s="410"/>
      <c r="AD47" s="410"/>
      <c r="AE47" s="410"/>
      <c r="AF47" s="410"/>
      <c r="AG47" s="410"/>
      <c r="AH47" s="410"/>
      <c r="AI47" s="410"/>
      <c r="AJ47" s="410"/>
      <c r="AK47" s="410"/>
      <c r="AL47" s="413"/>
    </row>
    <row r="48" spans="2:43">
      <c r="O48" s="407"/>
      <c r="P48" s="408"/>
      <c r="Q48" s="408"/>
      <c r="R48" s="408"/>
      <c r="S48" s="408"/>
      <c r="T48" s="408"/>
      <c r="U48" s="408"/>
      <c r="V48" s="408"/>
      <c r="W48" s="408"/>
      <c r="X48" s="408"/>
      <c r="Y48" s="408"/>
      <c r="Z48" s="409"/>
      <c r="AA48" s="414"/>
      <c r="AB48" s="411"/>
      <c r="AC48" s="411"/>
      <c r="AD48" s="411"/>
      <c r="AE48" s="411"/>
      <c r="AF48" s="411"/>
      <c r="AG48" s="411"/>
      <c r="AH48" s="411"/>
      <c r="AI48" s="411"/>
      <c r="AJ48" s="411"/>
      <c r="AK48" s="411"/>
      <c r="AL48" s="415"/>
    </row>
    <row r="49" spans="1:38">
      <c r="O49" s="404" t="str">
        <f>+Control!D80</f>
        <v>HK$</v>
      </c>
      <c r="P49" s="405"/>
      <c r="Q49" s="405"/>
      <c r="R49" s="405"/>
      <c r="S49" s="405"/>
      <c r="T49" s="405"/>
      <c r="U49" s="405"/>
      <c r="V49" s="405"/>
      <c r="W49" s="405"/>
      <c r="X49" s="405"/>
      <c r="Y49" s="405"/>
      <c r="Z49" s="406"/>
      <c r="AA49" s="404" t="str">
        <f>+Control!D80</f>
        <v>HK$</v>
      </c>
      <c r="AB49" s="405"/>
      <c r="AC49" s="405"/>
      <c r="AD49" s="405"/>
      <c r="AE49" s="405"/>
      <c r="AF49" s="405"/>
      <c r="AG49" s="405"/>
      <c r="AH49" s="405"/>
      <c r="AI49" s="405"/>
      <c r="AJ49" s="405"/>
      <c r="AK49" s="405"/>
      <c r="AL49" s="406"/>
    </row>
    <row r="50" spans="1:38">
      <c r="A50" s="30" t="s">
        <v>133</v>
      </c>
      <c r="B50" s="30" t="s">
        <v>134</v>
      </c>
      <c r="O50" s="433"/>
      <c r="P50" s="434"/>
      <c r="Q50" s="434"/>
      <c r="R50" s="434"/>
      <c r="S50" s="434"/>
      <c r="T50" s="434"/>
      <c r="U50" s="434"/>
      <c r="V50" s="434"/>
      <c r="W50" s="434"/>
      <c r="X50" s="434"/>
      <c r="Y50" s="434"/>
      <c r="Z50" s="435"/>
      <c r="AA50" s="433"/>
      <c r="AB50" s="434"/>
      <c r="AC50" s="434"/>
      <c r="AD50" s="434"/>
      <c r="AE50" s="434"/>
      <c r="AF50" s="434"/>
      <c r="AG50" s="434"/>
      <c r="AH50" s="434"/>
      <c r="AI50" s="434"/>
      <c r="AJ50" s="434"/>
      <c r="AK50" s="434"/>
      <c r="AL50" s="435"/>
    </row>
    <row r="51" spans="1:38">
      <c r="B51" s="30" t="s">
        <v>135</v>
      </c>
      <c r="O51" s="407"/>
      <c r="P51" s="408"/>
      <c r="Q51" s="408"/>
      <c r="R51" s="408"/>
      <c r="S51" s="408"/>
      <c r="T51" s="408"/>
      <c r="U51" s="408"/>
      <c r="V51" s="408"/>
      <c r="W51" s="408"/>
      <c r="X51" s="408"/>
      <c r="Y51" s="408"/>
      <c r="Z51" s="409"/>
      <c r="AA51" s="407"/>
      <c r="AB51" s="408"/>
      <c r="AC51" s="408"/>
      <c r="AD51" s="408"/>
      <c r="AE51" s="408"/>
      <c r="AF51" s="408"/>
      <c r="AG51" s="408"/>
      <c r="AH51" s="408"/>
      <c r="AI51" s="408"/>
      <c r="AJ51" s="408"/>
      <c r="AK51" s="408"/>
      <c r="AL51" s="409"/>
    </row>
    <row r="52" spans="1:38">
      <c r="B52" s="30" t="s">
        <v>136</v>
      </c>
      <c r="O52" s="417"/>
      <c r="P52" s="418"/>
      <c r="Q52" s="418"/>
      <c r="R52" s="418"/>
      <c r="S52" s="418"/>
      <c r="T52" s="418"/>
      <c r="U52" s="418"/>
      <c r="V52" s="418"/>
      <c r="W52" s="418"/>
      <c r="X52" s="418"/>
      <c r="Y52" s="418"/>
      <c r="Z52" s="419"/>
      <c r="AA52" s="417"/>
      <c r="AB52" s="418"/>
      <c r="AC52" s="418"/>
      <c r="AD52" s="418"/>
      <c r="AE52" s="418"/>
      <c r="AF52" s="418"/>
      <c r="AG52" s="418"/>
      <c r="AH52" s="418"/>
      <c r="AI52" s="418"/>
      <c r="AJ52" s="418"/>
      <c r="AK52" s="418"/>
      <c r="AL52" s="419"/>
    </row>
    <row r="53" spans="1:38">
      <c r="B53" s="30" t="s">
        <v>137</v>
      </c>
      <c r="O53" s="404"/>
      <c r="P53" s="405"/>
      <c r="Q53" s="405"/>
      <c r="R53" s="405"/>
      <c r="S53" s="405"/>
      <c r="T53" s="405"/>
      <c r="U53" s="405"/>
      <c r="V53" s="405"/>
      <c r="W53" s="405"/>
      <c r="X53" s="405"/>
      <c r="Y53" s="405"/>
      <c r="Z53" s="406"/>
      <c r="AA53" s="404"/>
      <c r="AB53" s="405"/>
      <c r="AC53" s="405"/>
      <c r="AD53" s="405"/>
      <c r="AE53" s="405"/>
      <c r="AF53" s="405"/>
      <c r="AG53" s="405"/>
      <c r="AH53" s="405"/>
      <c r="AI53" s="405"/>
      <c r="AJ53" s="405"/>
      <c r="AK53" s="405"/>
      <c r="AL53" s="406"/>
    </row>
    <row r="54" spans="1:38">
      <c r="D54" s="30" t="s">
        <v>138</v>
      </c>
      <c r="O54" s="407"/>
      <c r="P54" s="408"/>
      <c r="Q54" s="408"/>
      <c r="R54" s="408"/>
      <c r="S54" s="408"/>
      <c r="T54" s="408"/>
      <c r="U54" s="408"/>
      <c r="V54" s="408"/>
      <c r="W54" s="408"/>
      <c r="X54" s="408"/>
      <c r="Y54" s="408"/>
      <c r="Z54" s="409"/>
      <c r="AA54" s="407"/>
      <c r="AB54" s="408"/>
      <c r="AC54" s="408"/>
      <c r="AD54" s="408"/>
      <c r="AE54" s="408"/>
      <c r="AF54" s="408"/>
      <c r="AG54" s="408"/>
      <c r="AH54" s="408"/>
      <c r="AI54" s="408"/>
      <c r="AJ54" s="408"/>
      <c r="AK54" s="408"/>
      <c r="AL54" s="409"/>
    </row>
    <row r="55" spans="1:38">
      <c r="B55" s="30" t="e">
        <f>+#REF!</f>
        <v>#REF!</v>
      </c>
      <c r="O55" s="417" t="s">
        <v>130</v>
      </c>
      <c r="P55" s="418"/>
      <c r="Q55" s="418"/>
      <c r="R55" s="418"/>
      <c r="S55" s="418"/>
      <c r="T55" s="418"/>
      <c r="U55" s="418"/>
      <c r="V55" s="418"/>
      <c r="W55" s="418"/>
      <c r="X55" s="418"/>
      <c r="Y55" s="418"/>
      <c r="Z55" s="419"/>
      <c r="AA55" s="417" t="s">
        <v>130</v>
      </c>
      <c r="AB55" s="418"/>
      <c r="AC55" s="418"/>
      <c r="AD55" s="418"/>
      <c r="AE55" s="418"/>
      <c r="AF55" s="418"/>
      <c r="AG55" s="418"/>
      <c r="AH55" s="418"/>
      <c r="AI55" s="418"/>
      <c r="AJ55" s="418"/>
      <c r="AK55" s="418"/>
      <c r="AL55" s="419"/>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38">
    <pageSetUpPr fitToPage="1"/>
  </sheetPr>
  <dimension ref="A1:AQ78"/>
  <sheetViews>
    <sheetView topLeftCell="A28" workbookViewId="0">
      <selection activeCell="C55" sqref="C55"/>
    </sheetView>
  </sheetViews>
  <sheetFormatPr defaultColWidth="2.625" defaultRowHeight="12"/>
  <cols>
    <col min="1" max="14" width="2.625" style="30" customWidth="1"/>
    <col min="15" max="16" width="2.5" style="30" customWidth="1"/>
    <col min="17" max="17" width="2.625" style="30" customWidth="1"/>
    <col min="18" max="18" width="6" style="30" customWidth="1"/>
    <col min="19" max="20" width="2.5" style="30" customWidth="1"/>
    <col min="21" max="22" width="2.125" style="30" customWidth="1"/>
    <col min="23" max="25" width="2.5" style="30" customWidth="1"/>
    <col min="26" max="26" width="1.875" style="30" customWidth="1"/>
    <col min="27" max="29" width="2.5" style="30" customWidth="1"/>
    <col min="30" max="30" width="1.875" style="30" customWidth="1"/>
    <col min="31" max="33" width="2.5" style="30" customWidth="1"/>
    <col min="34" max="34" width="1.375" style="30" customWidth="1"/>
    <col min="35" max="35" width="2.5" style="30" customWidth="1"/>
    <col min="36" max="36" width="2.125" style="30" customWidth="1"/>
    <col min="37" max="37" width="1.625" style="30" customWidth="1"/>
    <col min="38" max="38" width="2.5" style="30" customWidth="1"/>
    <col min="39" max="42" width="2.625" style="30"/>
    <col min="43" max="43" width="11.375" style="30" bestFit="1" customWidth="1"/>
    <col min="44" max="256" width="2.625" style="30"/>
    <col min="257" max="270" width="2.625" style="30" customWidth="1"/>
    <col min="271" max="272" width="2.5" style="30" customWidth="1"/>
    <col min="273" max="273" width="2.625" style="30" customWidth="1"/>
    <col min="274" max="274" width="6" style="30" customWidth="1"/>
    <col min="275" max="276" width="2.5" style="30" customWidth="1"/>
    <col min="277" max="278" width="2.125" style="30" customWidth="1"/>
    <col min="279" max="281" width="2.5" style="30" customWidth="1"/>
    <col min="282" max="282" width="1.875" style="30" customWidth="1"/>
    <col min="283" max="285" width="2.5" style="30" customWidth="1"/>
    <col min="286" max="286" width="1.875" style="30" customWidth="1"/>
    <col min="287" max="289" width="2.5" style="30" customWidth="1"/>
    <col min="290" max="290" width="1.375" style="30" customWidth="1"/>
    <col min="291" max="291" width="2.5" style="30" customWidth="1"/>
    <col min="292" max="292" width="2.125" style="30" customWidth="1"/>
    <col min="293" max="293" width="1.625" style="30" customWidth="1"/>
    <col min="294" max="294" width="2.5" style="30" customWidth="1"/>
    <col min="295" max="512" width="2.625" style="30"/>
    <col min="513" max="526" width="2.625" style="30" customWidth="1"/>
    <col min="527" max="528" width="2.5" style="30" customWidth="1"/>
    <col min="529" max="529" width="2.625" style="30" customWidth="1"/>
    <col min="530" max="530" width="6" style="30" customWidth="1"/>
    <col min="531" max="532" width="2.5" style="30" customWidth="1"/>
    <col min="533" max="534" width="2.125" style="30" customWidth="1"/>
    <col min="535" max="537" width="2.5" style="30" customWidth="1"/>
    <col min="538" max="538" width="1.875" style="30" customWidth="1"/>
    <col min="539" max="541" width="2.5" style="30" customWidth="1"/>
    <col min="542" max="542" width="1.875" style="30" customWidth="1"/>
    <col min="543" max="545" width="2.5" style="30" customWidth="1"/>
    <col min="546" max="546" width="1.375" style="30" customWidth="1"/>
    <col min="547" max="547" width="2.5" style="30" customWidth="1"/>
    <col min="548" max="548" width="2.125" style="30" customWidth="1"/>
    <col min="549" max="549" width="1.625" style="30" customWidth="1"/>
    <col min="550" max="550" width="2.5" style="30" customWidth="1"/>
    <col min="551" max="768" width="2.625" style="30"/>
    <col min="769" max="782" width="2.625" style="30" customWidth="1"/>
    <col min="783" max="784" width="2.5" style="30" customWidth="1"/>
    <col min="785" max="785" width="2.625" style="30" customWidth="1"/>
    <col min="786" max="786" width="6" style="30" customWidth="1"/>
    <col min="787" max="788" width="2.5" style="30" customWidth="1"/>
    <col min="789" max="790" width="2.125" style="30" customWidth="1"/>
    <col min="791" max="793" width="2.5" style="30" customWidth="1"/>
    <col min="794" max="794" width="1.875" style="30" customWidth="1"/>
    <col min="795" max="797" width="2.5" style="30" customWidth="1"/>
    <col min="798" max="798" width="1.875" style="30" customWidth="1"/>
    <col min="799" max="801" width="2.5" style="30" customWidth="1"/>
    <col min="802" max="802" width="1.375" style="30" customWidth="1"/>
    <col min="803" max="803" width="2.5" style="30" customWidth="1"/>
    <col min="804" max="804" width="2.125" style="30" customWidth="1"/>
    <col min="805" max="805" width="1.625" style="30" customWidth="1"/>
    <col min="806" max="806" width="2.5" style="30" customWidth="1"/>
    <col min="807" max="1024" width="2.625" style="30"/>
    <col min="1025" max="1038" width="2.625" style="30" customWidth="1"/>
    <col min="1039" max="1040" width="2.5" style="30" customWidth="1"/>
    <col min="1041" max="1041" width="2.625" style="30" customWidth="1"/>
    <col min="1042" max="1042" width="6" style="30" customWidth="1"/>
    <col min="1043" max="1044" width="2.5" style="30" customWidth="1"/>
    <col min="1045" max="1046" width="2.125" style="30" customWidth="1"/>
    <col min="1047" max="1049" width="2.5" style="30" customWidth="1"/>
    <col min="1050" max="1050" width="1.875" style="30" customWidth="1"/>
    <col min="1051" max="1053" width="2.5" style="30" customWidth="1"/>
    <col min="1054" max="1054" width="1.875" style="30" customWidth="1"/>
    <col min="1055" max="1057" width="2.5" style="30" customWidth="1"/>
    <col min="1058" max="1058" width="1.375" style="30" customWidth="1"/>
    <col min="1059" max="1059" width="2.5" style="30" customWidth="1"/>
    <col min="1060" max="1060" width="2.125" style="30" customWidth="1"/>
    <col min="1061" max="1061" width="1.625" style="30" customWidth="1"/>
    <col min="1062" max="1062" width="2.5" style="30" customWidth="1"/>
    <col min="1063" max="1280" width="2.625" style="30"/>
    <col min="1281" max="1294" width="2.625" style="30" customWidth="1"/>
    <col min="1295" max="1296" width="2.5" style="30" customWidth="1"/>
    <col min="1297" max="1297" width="2.625" style="30" customWidth="1"/>
    <col min="1298" max="1298" width="6" style="30" customWidth="1"/>
    <col min="1299" max="1300" width="2.5" style="30" customWidth="1"/>
    <col min="1301" max="1302" width="2.125" style="30" customWidth="1"/>
    <col min="1303" max="1305" width="2.5" style="30" customWidth="1"/>
    <col min="1306" max="1306" width="1.875" style="30" customWidth="1"/>
    <col min="1307" max="1309" width="2.5" style="30" customWidth="1"/>
    <col min="1310" max="1310" width="1.875" style="30" customWidth="1"/>
    <col min="1311" max="1313" width="2.5" style="30" customWidth="1"/>
    <col min="1314" max="1314" width="1.375" style="30" customWidth="1"/>
    <col min="1315" max="1315" width="2.5" style="30" customWidth="1"/>
    <col min="1316" max="1316" width="2.125" style="30" customWidth="1"/>
    <col min="1317" max="1317" width="1.625" style="30" customWidth="1"/>
    <col min="1318" max="1318" width="2.5" style="30" customWidth="1"/>
    <col min="1319" max="1536" width="2.625" style="30"/>
    <col min="1537" max="1550" width="2.625" style="30" customWidth="1"/>
    <col min="1551" max="1552" width="2.5" style="30" customWidth="1"/>
    <col min="1553" max="1553" width="2.625" style="30" customWidth="1"/>
    <col min="1554" max="1554" width="6" style="30" customWidth="1"/>
    <col min="1555" max="1556" width="2.5" style="30" customWidth="1"/>
    <col min="1557" max="1558" width="2.125" style="30" customWidth="1"/>
    <col min="1559" max="1561" width="2.5" style="30" customWidth="1"/>
    <col min="1562" max="1562" width="1.875" style="30" customWidth="1"/>
    <col min="1563" max="1565" width="2.5" style="30" customWidth="1"/>
    <col min="1566" max="1566" width="1.875" style="30" customWidth="1"/>
    <col min="1567" max="1569" width="2.5" style="30" customWidth="1"/>
    <col min="1570" max="1570" width="1.375" style="30" customWidth="1"/>
    <col min="1571" max="1571" width="2.5" style="30" customWidth="1"/>
    <col min="1572" max="1572" width="2.125" style="30" customWidth="1"/>
    <col min="1573" max="1573" width="1.625" style="30" customWidth="1"/>
    <col min="1574" max="1574" width="2.5" style="30" customWidth="1"/>
    <col min="1575" max="1792" width="2.625" style="30"/>
    <col min="1793" max="1806" width="2.625" style="30" customWidth="1"/>
    <col min="1807" max="1808" width="2.5" style="30" customWidth="1"/>
    <col min="1809" max="1809" width="2.625" style="30" customWidth="1"/>
    <col min="1810" max="1810" width="6" style="30" customWidth="1"/>
    <col min="1811" max="1812" width="2.5" style="30" customWidth="1"/>
    <col min="1813" max="1814" width="2.125" style="30" customWidth="1"/>
    <col min="1815" max="1817" width="2.5" style="30" customWidth="1"/>
    <col min="1818" max="1818" width="1.875" style="30" customWidth="1"/>
    <col min="1819" max="1821" width="2.5" style="30" customWidth="1"/>
    <col min="1822" max="1822" width="1.875" style="30" customWidth="1"/>
    <col min="1823" max="1825" width="2.5" style="30" customWidth="1"/>
    <col min="1826" max="1826" width="1.375" style="30" customWidth="1"/>
    <col min="1827" max="1827" width="2.5" style="30" customWidth="1"/>
    <col min="1828" max="1828" width="2.125" style="30" customWidth="1"/>
    <col min="1829" max="1829" width="1.625" style="30" customWidth="1"/>
    <col min="1830" max="1830" width="2.5" style="30" customWidth="1"/>
    <col min="1831" max="2048" width="2.625" style="30"/>
    <col min="2049" max="2062" width="2.625" style="30" customWidth="1"/>
    <col min="2063" max="2064" width="2.5" style="30" customWidth="1"/>
    <col min="2065" max="2065" width="2.625" style="30" customWidth="1"/>
    <col min="2066" max="2066" width="6" style="30" customWidth="1"/>
    <col min="2067" max="2068" width="2.5" style="30" customWidth="1"/>
    <col min="2069" max="2070" width="2.125" style="30" customWidth="1"/>
    <col min="2071" max="2073" width="2.5" style="30" customWidth="1"/>
    <col min="2074" max="2074" width="1.875" style="30" customWidth="1"/>
    <col min="2075" max="2077" width="2.5" style="30" customWidth="1"/>
    <col min="2078" max="2078" width="1.875" style="30" customWidth="1"/>
    <col min="2079" max="2081" width="2.5" style="30" customWidth="1"/>
    <col min="2082" max="2082" width="1.375" style="30" customWidth="1"/>
    <col min="2083" max="2083" width="2.5" style="30" customWidth="1"/>
    <col min="2084" max="2084" width="2.125" style="30" customWidth="1"/>
    <col min="2085" max="2085" width="1.625" style="30" customWidth="1"/>
    <col min="2086" max="2086" width="2.5" style="30" customWidth="1"/>
    <col min="2087" max="2304" width="2.625" style="30"/>
    <col min="2305" max="2318" width="2.625" style="30" customWidth="1"/>
    <col min="2319" max="2320" width="2.5" style="30" customWidth="1"/>
    <col min="2321" max="2321" width="2.625" style="30" customWidth="1"/>
    <col min="2322" max="2322" width="6" style="30" customWidth="1"/>
    <col min="2323" max="2324" width="2.5" style="30" customWidth="1"/>
    <col min="2325" max="2326" width="2.125" style="30" customWidth="1"/>
    <col min="2327" max="2329" width="2.5" style="30" customWidth="1"/>
    <col min="2330" max="2330" width="1.875" style="30" customWidth="1"/>
    <col min="2331" max="2333" width="2.5" style="30" customWidth="1"/>
    <col min="2334" max="2334" width="1.875" style="30" customWidth="1"/>
    <col min="2335" max="2337" width="2.5" style="30" customWidth="1"/>
    <col min="2338" max="2338" width="1.375" style="30" customWidth="1"/>
    <col min="2339" max="2339" width="2.5" style="30" customWidth="1"/>
    <col min="2340" max="2340" width="2.125" style="30" customWidth="1"/>
    <col min="2341" max="2341" width="1.625" style="30" customWidth="1"/>
    <col min="2342" max="2342" width="2.5" style="30" customWidth="1"/>
    <col min="2343" max="2560" width="2.625" style="30"/>
    <col min="2561" max="2574" width="2.625" style="30" customWidth="1"/>
    <col min="2575" max="2576" width="2.5" style="30" customWidth="1"/>
    <col min="2577" max="2577" width="2.625" style="30" customWidth="1"/>
    <col min="2578" max="2578" width="6" style="30" customWidth="1"/>
    <col min="2579" max="2580" width="2.5" style="30" customWidth="1"/>
    <col min="2581" max="2582" width="2.125" style="30" customWidth="1"/>
    <col min="2583" max="2585" width="2.5" style="30" customWidth="1"/>
    <col min="2586" max="2586" width="1.875" style="30" customWidth="1"/>
    <col min="2587" max="2589" width="2.5" style="30" customWidth="1"/>
    <col min="2590" max="2590" width="1.875" style="30" customWidth="1"/>
    <col min="2591" max="2593" width="2.5" style="30" customWidth="1"/>
    <col min="2594" max="2594" width="1.375" style="30" customWidth="1"/>
    <col min="2595" max="2595" width="2.5" style="30" customWidth="1"/>
    <col min="2596" max="2596" width="2.125" style="30" customWidth="1"/>
    <col min="2597" max="2597" width="1.625" style="30" customWidth="1"/>
    <col min="2598" max="2598" width="2.5" style="30" customWidth="1"/>
    <col min="2599" max="2816" width="2.625" style="30"/>
    <col min="2817" max="2830" width="2.625" style="30" customWidth="1"/>
    <col min="2831" max="2832" width="2.5" style="30" customWidth="1"/>
    <col min="2833" max="2833" width="2.625" style="30" customWidth="1"/>
    <col min="2834" max="2834" width="6" style="30" customWidth="1"/>
    <col min="2835" max="2836" width="2.5" style="30" customWidth="1"/>
    <col min="2837" max="2838" width="2.125" style="30" customWidth="1"/>
    <col min="2839" max="2841" width="2.5" style="30" customWidth="1"/>
    <col min="2842" max="2842" width="1.875" style="30" customWidth="1"/>
    <col min="2843" max="2845" width="2.5" style="30" customWidth="1"/>
    <col min="2846" max="2846" width="1.875" style="30" customWidth="1"/>
    <col min="2847" max="2849" width="2.5" style="30" customWidth="1"/>
    <col min="2850" max="2850" width="1.375" style="30" customWidth="1"/>
    <col min="2851" max="2851" width="2.5" style="30" customWidth="1"/>
    <col min="2852" max="2852" width="2.125" style="30" customWidth="1"/>
    <col min="2853" max="2853" width="1.625" style="30" customWidth="1"/>
    <col min="2854" max="2854" width="2.5" style="30" customWidth="1"/>
    <col min="2855" max="3072" width="2.625" style="30"/>
    <col min="3073" max="3086" width="2.625" style="30" customWidth="1"/>
    <col min="3087" max="3088" width="2.5" style="30" customWidth="1"/>
    <col min="3089" max="3089" width="2.625" style="30" customWidth="1"/>
    <col min="3090" max="3090" width="6" style="30" customWidth="1"/>
    <col min="3091" max="3092" width="2.5" style="30" customWidth="1"/>
    <col min="3093" max="3094" width="2.125" style="30" customWidth="1"/>
    <col min="3095" max="3097" width="2.5" style="30" customWidth="1"/>
    <col min="3098" max="3098" width="1.875" style="30" customWidth="1"/>
    <col min="3099" max="3101" width="2.5" style="30" customWidth="1"/>
    <col min="3102" max="3102" width="1.875" style="30" customWidth="1"/>
    <col min="3103" max="3105" width="2.5" style="30" customWidth="1"/>
    <col min="3106" max="3106" width="1.375" style="30" customWidth="1"/>
    <col min="3107" max="3107" width="2.5" style="30" customWidth="1"/>
    <col min="3108" max="3108" width="2.125" style="30" customWidth="1"/>
    <col min="3109" max="3109" width="1.625" style="30" customWidth="1"/>
    <col min="3110" max="3110" width="2.5" style="30" customWidth="1"/>
    <col min="3111" max="3328" width="2.625" style="30"/>
    <col min="3329" max="3342" width="2.625" style="30" customWidth="1"/>
    <col min="3343" max="3344" width="2.5" style="30" customWidth="1"/>
    <col min="3345" max="3345" width="2.625" style="30" customWidth="1"/>
    <col min="3346" max="3346" width="6" style="30" customWidth="1"/>
    <col min="3347" max="3348" width="2.5" style="30" customWidth="1"/>
    <col min="3349" max="3350" width="2.125" style="30" customWidth="1"/>
    <col min="3351" max="3353" width="2.5" style="30" customWidth="1"/>
    <col min="3354" max="3354" width="1.875" style="30" customWidth="1"/>
    <col min="3355" max="3357" width="2.5" style="30" customWidth="1"/>
    <col min="3358" max="3358" width="1.875" style="30" customWidth="1"/>
    <col min="3359" max="3361" width="2.5" style="30" customWidth="1"/>
    <col min="3362" max="3362" width="1.375" style="30" customWidth="1"/>
    <col min="3363" max="3363" width="2.5" style="30" customWidth="1"/>
    <col min="3364" max="3364" width="2.125" style="30" customWidth="1"/>
    <col min="3365" max="3365" width="1.625" style="30" customWidth="1"/>
    <col min="3366" max="3366" width="2.5" style="30" customWidth="1"/>
    <col min="3367" max="3584" width="2.625" style="30"/>
    <col min="3585" max="3598" width="2.625" style="30" customWidth="1"/>
    <col min="3599" max="3600" width="2.5" style="30" customWidth="1"/>
    <col min="3601" max="3601" width="2.625" style="30" customWidth="1"/>
    <col min="3602" max="3602" width="6" style="30" customWidth="1"/>
    <col min="3603" max="3604" width="2.5" style="30" customWidth="1"/>
    <col min="3605" max="3606" width="2.125" style="30" customWidth="1"/>
    <col min="3607" max="3609" width="2.5" style="30" customWidth="1"/>
    <col min="3610" max="3610" width="1.875" style="30" customWidth="1"/>
    <col min="3611" max="3613" width="2.5" style="30" customWidth="1"/>
    <col min="3614" max="3614" width="1.875" style="30" customWidth="1"/>
    <col min="3615" max="3617" width="2.5" style="30" customWidth="1"/>
    <col min="3618" max="3618" width="1.375" style="30" customWidth="1"/>
    <col min="3619" max="3619" width="2.5" style="30" customWidth="1"/>
    <col min="3620" max="3620" width="2.125" style="30" customWidth="1"/>
    <col min="3621" max="3621" width="1.625" style="30" customWidth="1"/>
    <col min="3622" max="3622" width="2.5" style="30" customWidth="1"/>
    <col min="3623" max="3840" width="2.625" style="30"/>
    <col min="3841" max="3854" width="2.625" style="30" customWidth="1"/>
    <col min="3855" max="3856" width="2.5" style="30" customWidth="1"/>
    <col min="3857" max="3857" width="2.625" style="30" customWidth="1"/>
    <col min="3858" max="3858" width="6" style="30" customWidth="1"/>
    <col min="3859" max="3860" width="2.5" style="30" customWidth="1"/>
    <col min="3861" max="3862" width="2.125" style="30" customWidth="1"/>
    <col min="3863" max="3865" width="2.5" style="30" customWidth="1"/>
    <col min="3866" max="3866" width="1.875" style="30" customWidth="1"/>
    <col min="3867" max="3869" width="2.5" style="30" customWidth="1"/>
    <col min="3870" max="3870" width="1.875" style="30" customWidth="1"/>
    <col min="3871" max="3873" width="2.5" style="30" customWidth="1"/>
    <col min="3874" max="3874" width="1.375" style="30" customWidth="1"/>
    <col min="3875" max="3875" width="2.5" style="30" customWidth="1"/>
    <col min="3876" max="3876" width="2.125" style="30" customWidth="1"/>
    <col min="3877" max="3877" width="1.625" style="30" customWidth="1"/>
    <col min="3878" max="3878" width="2.5" style="30" customWidth="1"/>
    <col min="3879" max="4096" width="2.625" style="30"/>
    <col min="4097" max="4110" width="2.625" style="30" customWidth="1"/>
    <col min="4111" max="4112" width="2.5" style="30" customWidth="1"/>
    <col min="4113" max="4113" width="2.625" style="30" customWidth="1"/>
    <col min="4114" max="4114" width="6" style="30" customWidth="1"/>
    <col min="4115" max="4116" width="2.5" style="30" customWidth="1"/>
    <col min="4117" max="4118" width="2.125" style="30" customWidth="1"/>
    <col min="4119" max="4121" width="2.5" style="30" customWidth="1"/>
    <col min="4122" max="4122" width="1.875" style="30" customWidth="1"/>
    <col min="4123" max="4125" width="2.5" style="30" customWidth="1"/>
    <col min="4126" max="4126" width="1.875" style="30" customWidth="1"/>
    <col min="4127" max="4129" width="2.5" style="30" customWidth="1"/>
    <col min="4130" max="4130" width="1.375" style="30" customWidth="1"/>
    <col min="4131" max="4131" width="2.5" style="30" customWidth="1"/>
    <col min="4132" max="4132" width="2.125" style="30" customWidth="1"/>
    <col min="4133" max="4133" width="1.625" style="30" customWidth="1"/>
    <col min="4134" max="4134" width="2.5" style="30" customWidth="1"/>
    <col min="4135" max="4352" width="2.625" style="30"/>
    <col min="4353" max="4366" width="2.625" style="30" customWidth="1"/>
    <col min="4367" max="4368" width="2.5" style="30" customWidth="1"/>
    <col min="4369" max="4369" width="2.625" style="30" customWidth="1"/>
    <col min="4370" max="4370" width="6" style="30" customWidth="1"/>
    <col min="4371" max="4372" width="2.5" style="30" customWidth="1"/>
    <col min="4373" max="4374" width="2.125" style="30" customWidth="1"/>
    <col min="4375" max="4377" width="2.5" style="30" customWidth="1"/>
    <col min="4378" max="4378" width="1.875" style="30" customWidth="1"/>
    <col min="4379" max="4381" width="2.5" style="30" customWidth="1"/>
    <col min="4382" max="4382" width="1.875" style="30" customWidth="1"/>
    <col min="4383" max="4385" width="2.5" style="30" customWidth="1"/>
    <col min="4386" max="4386" width="1.375" style="30" customWidth="1"/>
    <col min="4387" max="4387" width="2.5" style="30" customWidth="1"/>
    <col min="4388" max="4388" width="2.125" style="30" customWidth="1"/>
    <col min="4389" max="4389" width="1.625" style="30" customWidth="1"/>
    <col min="4390" max="4390" width="2.5" style="30" customWidth="1"/>
    <col min="4391" max="4608" width="2.625" style="30"/>
    <col min="4609" max="4622" width="2.625" style="30" customWidth="1"/>
    <col min="4623" max="4624" width="2.5" style="30" customWidth="1"/>
    <col min="4625" max="4625" width="2.625" style="30" customWidth="1"/>
    <col min="4626" max="4626" width="6" style="30" customWidth="1"/>
    <col min="4627" max="4628" width="2.5" style="30" customWidth="1"/>
    <col min="4629" max="4630" width="2.125" style="30" customWidth="1"/>
    <col min="4631" max="4633" width="2.5" style="30" customWidth="1"/>
    <col min="4634" max="4634" width="1.875" style="30" customWidth="1"/>
    <col min="4635" max="4637" width="2.5" style="30" customWidth="1"/>
    <col min="4638" max="4638" width="1.875" style="30" customWidth="1"/>
    <col min="4639" max="4641" width="2.5" style="30" customWidth="1"/>
    <col min="4642" max="4642" width="1.375" style="30" customWidth="1"/>
    <col min="4643" max="4643" width="2.5" style="30" customWidth="1"/>
    <col min="4644" max="4644" width="2.125" style="30" customWidth="1"/>
    <col min="4645" max="4645" width="1.625" style="30" customWidth="1"/>
    <col min="4646" max="4646" width="2.5" style="30" customWidth="1"/>
    <col min="4647" max="4864" width="2.625" style="30"/>
    <col min="4865" max="4878" width="2.625" style="30" customWidth="1"/>
    <col min="4879" max="4880" width="2.5" style="30" customWidth="1"/>
    <col min="4881" max="4881" width="2.625" style="30" customWidth="1"/>
    <col min="4882" max="4882" width="6" style="30" customWidth="1"/>
    <col min="4883" max="4884" width="2.5" style="30" customWidth="1"/>
    <col min="4885" max="4886" width="2.125" style="30" customWidth="1"/>
    <col min="4887" max="4889" width="2.5" style="30" customWidth="1"/>
    <col min="4890" max="4890" width="1.875" style="30" customWidth="1"/>
    <col min="4891" max="4893" width="2.5" style="30" customWidth="1"/>
    <col min="4894" max="4894" width="1.875" style="30" customWidth="1"/>
    <col min="4895" max="4897" width="2.5" style="30" customWidth="1"/>
    <col min="4898" max="4898" width="1.375" style="30" customWidth="1"/>
    <col min="4899" max="4899" width="2.5" style="30" customWidth="1"/>
    <col min="4900" max="4900" width="2.125" style="30" customWidth="1"/>
    <col min="4901" max="4901" width="1.625" style="30" customWidth="1"/>
    <col min="4902" max="4902" width="2.5" style="30" customWidth="1"/>
    <col min="4903" max="5120" width="2.625" style="30"/>
    <col min="5121" max="5134" width="2.625" style="30" customWidth="1"/>
    <col min="5135" max="5136" width="2.5" style="30" customWidth="1"/>
    <col min="5137" max="5137" width="2.625" style="30" customWidth="1"/>
    <col min="5138" max="5138" width="6" style="30" customWidth="1"/>
    <col min="5139" max="5140" width="2.5" style="30" customWidth="1"/>
    <col min="5141" max="5142" width="2.125" style="30" customWidth="1"/>
    <col min="5143" max="5145" width="2.5" style="30" customWidth="1"/>
    <col min="5146" max="5146" width="1.875" style="30" customWidth="1"/>
    <col min="5147" max="5149" width="2.5" style="30" customWidth="1"/>
    <col min="5150" max="5150" width="1.875" style="30" customWidth="1"/>
    <col min="5151" max="5153" width="2.5" style="30" customWidth="1"/>
    <col min="5154" max="5154" width="1.375" style="30" customWidth="1"/>
    <col min="5155" max="5155" width="2.5" style="30" customWidth="1"/>
    <col min="5156" max="5156" width="2.125" style="30" customWidth="1"/>
    <col min="5157" max="5157" width="1.625" style="30" customWidth="1"/>
    <col min="5158" max="5158" width="2.5" style="30" customWidth="1"/>
    <col min="5159" max="5376" width="2.625" style="30"/>
    <col min="5377" max="5390" width="2.625" style="30" customWidth="1"/>
    <col min="5391" max="5392" width="2.5" style="30" customWidth="1"/>
    <col min="5393" max="5393" width="2.625" style="30" customWidth="1"/>
    <col min="5394" max="5394" width="6" style="30" customWidth="1"/>
    <col min="5395" max="5396" width="2.5" style="30" customWidth="1"/>
    <col min="5397" max="5398" width="2.125" style="30" customWidth="1"/>
    <col min="5399" max="5401" width="2.5" style="30" customWidth="1"/>
    <col min="5402" max="5402" width="1.875" style="30" customWidth="1"/>
    <col min="5403" max="5405" width="2.5" style="30" customWidth="1"/>
    <col min="5406" max="5406" width="1.875" style="30" customWidth="1"/>
    <col min="5407" max="5409" width="2.5" style="30" customWidth="1"/>
    <col min="5410" max="5410" width="1.375" style="30" customWidth="1"/>
    <col min="5411" max="5411" width="2.5" style="30" customWidth="1"/>
    <col min="5412" max="5412" width="2.125" style="30" customWidth="1"/>
    <col min="5413" max="5413" width="1.625" style="30" customWidth="1"/>
    <col min="5414" max="5414" width="2.5" style="30" customWidth="1"/>
    <col min="5415" max="5632" width="2.625" style="30"/>
    <col min="5633" max="5646" width="2.625" style="30" customWidth="1"/>
    <col min="5647" max="5648" width="2.5" style="30" customWidth="1"/>
    <col min="5649" max="5649" width="2.625" style="30" customWidth="1"/>
    <col min="5650" max="5650" width="6" style="30" customWidth="1"/>
    <col min="5651" max="5652" width="2.5" style="30" customWidth="1"/>
    <col min="5653" max="5654" width="2.125" style="30" customWidth="1"/>
    <col min="5655" max="5657" width="2.5" style="30" customWidth="1"/>
    <col min="5658" max="5658" width="1.875" style="30" customWidth="1"/>
    <col min="5659" max="5661" width="2.5" style="30" customWidth="1"/>
    <col min="5662" max="5662" width="1.875" style="30" customWidth="1"/>
    <col min="5663" max="5665" width="2.5" style="30" customWidth="1"/>
    <col min="5666" max="5666" width="1.375" style="30" customWidth="1"/>
    <col min="5667" max="5667" width="2.5" style="30" customWidth="1"/>
    <col min="5668" max="5668" width="2.125" style="30" customWidth="1"/>
    <col min="5669" max="5669" width="1.625" style="30" customWidth="1"/>
    <col min="5670" max="5670" width="2.5" style="30" customWidth="1"/>
    <col min="5671" max="5888" width="2.625" style="30"/>
    <col min="5889" max="5902" width="2.625" style="30" customWidth="1"/>
    <col min="5903" max="5904" width="2.5" style="30" customWidth="1"/>
    <col min="5905" max="5905" width="2.625" style="30" customWidth="1"/>
    <col min="5906" max="5906" width="6" style="30" customWidth="1"/>
    <col min="5907" max="5908" width="2.5" style="30" customWidth="1"/>
    <col min="5909" max="5910" width="2.125" style="30" customWidth="1"/>
    <col min="5911" max="5913" width="2.5" style="30" customWidth="1"/>
    <col min="5914" max="5914" width="1.875" style="30" customWidth="1"/>
    <col min="5915" max="5917" width="2.5" style="30" customWidth="1"/>
    <col min="5918" max="5918" width="1.875" style="30" customWidth="1"/>
    <col min="5919" max="5921" width="2.5" style="30" customWidth="1"/>
    <col min="5922" max="5922" width="1.375" style="30" customWidth="1"/>
    <col min="5923" max="5923" width="2.5" style="30" customWidth="1"/>
    <col min="5924" max="5924" width="2.125" style="30" customWidth="1"/>
    <col min="5925" max="5925" width="1.625" style="30" customWidth="1"/>
    <col min="5926" max="5926" width="2.5" style="30" customWidth="1"/>
    <col min="5927" max="6144" width="2.625" style="30"/>
    <col min="6145" max="6158" width="2.625" style="30" customWidth="1"/>
    <col min="6159" max="6160" width="2.5" style="30" customWidth="1"/>
    <col min="6161" max="6161" width="2.625" style="30" customWidth="1"/>
    <col min="6162" max="6162" width="6" style="30" customWidth="1"/>
    <col min="6163" max="6164" width="2.5" style="30" customWidth="1"/>
    <col min="6165" max="6166" width="2.125" style="30" customWidth="1"/>
    <col min="6167" max="6169" width="2.5" style="30" customWidth="1"/>
    <col min="6170" max="6170" width="1.875" style="30" customWidth="1"/>
    <col min="6171" max="6173" width="2.5" style="30" customWidth="1"/>
    <col min="6174" max="6174" width="1.875" style="30" customWidth="1"/>
    <col min="6175" max="6177" width="2.5" style="30" customWidth="1"/>
    <col min="6178" max="6178" width="1.375" style="30" customWidth="1"/>
    <col min="6179" max="6179" width="2.5" style="30" customWidth="1"/>
    <col min="6180" max="6180" width="2.125" style="30" customWidth="1"/>
    <col min="6181" max="6181" width="1.625" style="30" customWidth="1"/>
    <col min="6182" max="6182" width="2.5" style="30" customWidth="1"/>
    <col min="6183" max="6400" width="2.625" style="30"/>
    <col min="6401" max="6414" width="2.625" style="30" customWidth="1"/>
    <col min="6415" max="6416" width="2.5" style="30" customWidth="1"/>
    <col min="6417" max="6417" width="2.625" style="30" customWidth="1"/>
    <col min="6418" max="6418" width="6" style="30" customWidth="1"/>
    <col min="6419" max="6420" width="2.5" style="30" customWidth="1"/>
    <col min="6421" max="6422" width="2.125" style="30" customWidth="1"/>
    <col min="6423" max="6425" width="2.5" style="30" customWidth="1"/>
    <col min="6426" max="6426" width="1.875" style="30" customWidth="1"/>
    <col min="6427" max="6429" width="2.5" style="30" customWidth="1"/>
    <col min="6430" max="6430" width="1.875" style="30" customWidth="1"/>
    <col min="6431" max="6433" width="2.5" style="30" customWidth="1"/>
    <col min="6434" max="6434" width="1.375" style="30" customWidth="1"/>
    <col min="6435" max="6435" width="2.5" style="30" customWidth="1"/>
    <col min="6436" max="6436" width="2.125" style="30" customWidth="1"/>
    <col min="6437" max="6437" width="1.625" style="30" customWidth="1"/>
    <col min="6438" max="6438" width="2.5" style="30" customWidth="1"/>
    <col min="6439" max="6656" width="2.625" style="30"/>
    <col min="6657" max="6670" width="2.625" style="30" customWidth="1"/>
    <col min="6671" max="6672" width="2.5" style="30" customWidth="1"/>
    <col min="6673" max="6673" width="2.625" style="30" customWidth="1"/>
    <col min="6674" max="6674" width="6" style="30" customWidth="1"/>
    <col min="6675" max="6676" width="2.5" style="30" customWidth="1"/>
    <col min="6677" max="6678" width="2.125" style="30" customWidth="1"/>
    <col min="6679" max="6681" width="2.5" style="30" customWidth="1"/>
    <col min="6682" max="6682" width="1.875" style="30" customWidth="1"/>
    <col min="6683" max="6685" width="2.5" style="30" customWidth="1"/>
    <col min="6686" max="6686" width="1.875" style="30" customWidth="1"/>
    <col min="6687" max="6689" width="2.5" style="30" customWidth="1"/>
    <col min="6690" max="6690" width="1.375" style="30" customWidth="1"/>
    <col min="6691" max="6691" width="2.5" style="30" customWidth="1"/>
    <col min="6692" max="6692" width="2.125" style="30" customWidth="1"/>
    <col min="6693" max="6693" width="1.625" style="30" customWidth="1"/>
    <col min="6694" max="6694" width="2.5" style="30" customWidth="1"/>
    <col min="6695" max="6912" width="2.625" style="30"/>
    <col min="6913" max="6926" width="2.625" style="30" customWidth="1"/>
    <col min="6927" max="6928" width="2.5" style="30" customWidth="1"/>
    <col min="6929" max="6929" width="2.625" style="30" customWidth="1"/>
    <col min="6930" max="6930" width="6" style="30" customWidth="1"/>
    <col min="6931" max="6932" width="2.5" style="30" customWidth="1"/>
    <col min="6933" max="6934" width="2.125" style="30" customWidth="1"/>
    <col min="6935" max="6937" width="2.5" style="30" customWidth="1"/>
    <col min="6938" max="6938" width="1.875" style="30" customWidth="1"/>
    <col min="6939" max="6941" width="2.5" style="30" customWidth="1"/>
    <col min="6942" max="6942" width="1.875" style="30" customWidth="1"/>
    <col min="6943" max="6945" width="2.5" style="30" customWidth="1"/>
    <col min="6946" max="6946" width="1.375" style="30" customWidth="1"/>
    <col min="6947" max="6947" width="2.5" style="30" customWidth="1"/>
    <col min="6948" max="6948" width="2.125" style="30" customWidth="1"/>
    <col min="6949" max="6949" width="1.625" style="30" customWidth="1"/>
    <col min="6950" max="6950" width="2.5" style="30" customWidth="1"/>
    <col min="6951" max="7168" width="2.625" style="30"/>
    <col min="7169" max="7182" width="2.625" style="30" customWidth="1"/>
    <col min="7183" max="7184" width="2.5" style="30" customWidth="1"/>
    <col min="7185" max="7185" width="2.625" style="30" customWidth="1"/>
    <col min="7186" max="7186" width="6" style="30" customWidth="1"/>
    <col min="7187" max="7188" width="2.5" style="30" customWidth="1"/>
    <col min="7189" max="7190" width="2.125" style="30" customWidth="1"/>
    <col min="7191" max="7193" width="2.5" style="30" customWidth="1"/>
    <col min="7194" max="7194" width="1.875" style="30" customWidth="1"/>
    <col min="7195" max="7197" width="2.5" style="30" customWidth="1"/>
    <col min="7198" max="7198" width="1.875" style="30" customWidth="1"/>
    <col min="7199" max="7201" width="2.5" style="30" customWidth="1"/>
    <col min="7202" max="7202" width="1.375" style="30" customWidth="1"/>
    <col min="7203" max="7203" width="2.5" style="30" customWidth="1"/>
    <col min="7204" max="7204" width="2.125" style="30" customWidth="1"/>
    <col min="7205" max="7205" width="1.625" style="30" customWidth="1"/>
    <col min="7206" max="7206" width="2.5" style="30" customWidth="1"/>
    <col min="7207" max="7424" width="2.625" style="30"/>
    <col min="7425" max="7438" width="2.625" style="30" customWidth="1"/>
    <col min="7439" max="7440" width="2.5" style="30" customWidth="1"/>
    <col min="7441" max="7441" width="2.625" style="30" customWidth="1"/>
    <col min="7442" max="7442" width="6" style="30" customWidth="1"/>
    <col min="7443" max="7444" width="2.5" style="30" customWidth="1"/>
    <col min="7445" max="7446" width="2.125" style="30" customWidth="1"/>
    <col min="7447" max="7449" width="2.5" style="30" customWidth="1"/>
    <col min="7450" max="7450" width="1.875" style="30" customWidth="1"/>
    <col min="7451" max="7453" width="2.5" style="30" customWidth="1"/>
    <col min="7454" max="7454" width="1.875" style="30" customWidth="1"/>
    <col min="7455" max="7457" width="2.5" style="30" customWidth="1"/>
    <col min="7458" max="7458" width="1.375" style="30" customWidth="1"/>
    <col min="7459" max="7459" width="2.5" style="30" customWidth="1"/>
    <col min="7460" max="7460" width="2.125" style="30" customWidth="1"/>
    <col min="7461" max="7461" width="1.625" style="30" customWidth="1"/>
    <col min="7462" max="7462" width="2.5" style="30" customWidth="1"/>
    <col min="7463" max="7680" width="2.625" style="30"/>
    <col min="7681" max="7694" width="2.625" style="30" customWidth="1"/>
    <col min="7695" max="7696" width="2.5" style="30" customWidth="1"/>
    <col min="7697" max="7697" width="2.625" style="30" customWidth="1"/>
    <col min="7698" max="7698" width="6" style="30" customWidth="1"/>
    <col min="7699" max="7700" width="2.5" style="30" customWidth="1"/>
    <col min="7701" max="7702" width="2.125" style="30" customWidth="1"/>
    <col min="7703" max="7705" width="2.5" style="30" customWidth="1"/>
    <col min="7706" max="7706" width="1.875" style="30" customWidth="1"/>
    <col min="7707" max="7709" width="2.5" style="30" customWidth="1"/>
    <col min="7710" max="7710" width="1.875" style="30" customWidth="1"/>
    <col min="7711" max="7713" width="2.5" style="30" customWidth="1"/>
    <col min="7714" max="7714" width="1.375" style="30" customWidth="1"/>
    <col min="7715" max="7715" width="2.5" style="30" customWidth="1"/>
    <col min="7716" max="7716" width="2.125" style="30" customWidth="1"/>
    <col min="7717" max="7717" width="1.625" style="30" customWidth="1"/>
    <col min="7718" max="7718" width="2.5" style="30" customWidth="1"/>
    <col min="7719" max="7936" width="2.625" style="30"/>
    <col min="7937" max="7950" width="2.625" style="30" customWidth="1"/>
    <col min="7951" max="7952" width="2.5" style="30" customWidth="1"/>
    <col min="7953" max="7953" width="2.625" style="30" customWidth="1"/>
    <col min="7954" max="7954" width="6" style="30" customWidth="1"/>
    <col min="7955" max="7956" width="2.5" style="30" customWidth="1"/>
    <col min="7957" max="7958" width="2.125" style="30" customWidth="1"/>
    <col min="7959" max="7961" width="2.5" style="30" customWidth="1"/>
    <col min="7962" max="7962" width="1.875" style="30" customWidth="1"/>
    <col min="7963" max="7965" width="2.5" style="30" customWidth="1"/>
    <col min="7966" max="7966" width="1.875" style="30" customWidth="1"/>
    <col min="7967" max="7969" width="2.5" style="30" customWidth="1"/>
    <col min="7970" max="7970" width="1.375" style="30" customWidth="1"/>
    <col min="7971" max="7971" width="2.5" style="30" customWidth="1"/>
    <col min="7972" max="7972" width="2.125" style="30" customWidth="1"/>
    <col min="7973" max="7973" width="1.625" style="30" customWidth="1"/>
    <col min="7974" max="7974" width="2.5" style="30" customWidth="1"/>
    <col min="7975" max="8192" width="2.625" style="30"/>
    <col min="8193" max="8206" width="2.625" style="30" customWidth="1"/>
    <col min="8207" max="8208" width="2.5" style="30" customWidth="1"/>
    <col min="8209" max="8209" width="2.625" style="30" customWidth="1"/>
    <col min="8210" max="8210" width="6" style="30" customWidth="1"/>
    <col min="8211" max="8212" width="2.5" style="30" customWidth="1"/>
    <col min="8213" max="8214" width="2.125" style="30" customWidth="1"/>
    <col min="8215" max="8217" width="2.5" style="30" customWidth="1"/>
    <col min="8218" max="8218" width="1.875" style="30" customWidth="1"/>
    <col min="8219" max="8221" width="2.5" style="30" customWidth="1"/>
    <col min="8222" max="8222" width="1.875" style="30" customWidth="1"/>
    <col min="8223" max="8225" width="2.5" style="30" customWidth="1"/>
    <col min="8226" max="8226" width="1.375" style="30" customWidth="1"/>
    <col min="8227" max="8227" width="2.5" style="30" customWidth="1"/>
    <col min="8228" max="8228" width="2.125" style="30" customWidth="1"/>
    <col min="8229" max="8229" width="1.625" style="30" customWidth="1"/>
    <col min="8230" max="8230" width="2.5" style="30" customWidth="1"/>
    <col min="8231" max="8448" width="2.625" style="30"/>
    <col min="8449" max="8462" width="2.625" style="30" customWidth="1"/>
    <col min="8463" max="8464" width="2.5" style="30" customWidth="1"/>
    <col min="8465" max="8465" width="2.625" style="30" customWidth="1"/>
    <col min="8466" max="8466" width="6" style="30" customWidth="1"/>
    <col min="8467" max="8468" width="2.5" style="30" customWidth="1"/>
    <col min="8469" max="8470" width="2.125" style="30" customWidth="1"/>
    <col min="8471" max="8473" width="2.5" style="30" customWidth="1"/>
    <col min="8474" max="8474" width="1.875" style="30" customWidth="1"/>
    <col min="8475" max="8477" width="2.5" style="30" customWidth="1"/>
    <col min="8478" max="8478" width="1.875" style="30" customWidth="1"/>
    <col min="8479" max="8481" width="2.5" style="30" customWidth="1"/>
    <col min="8482" max="8482" width="1.375" style="30" customWidth="1"/>
    <col min="8483" max="8483" width="2.5" style="30" customWidth="1"/>
    <col min="8484" max="8484" width="2.125" style="30" customWidth="1"/>
    <col min="8485" max="8485" width="1.625" style="30" customWidth="1"/>
    <col min="8486" max="8486" width="2.5" style="30" customWidth="1"/>
    <col min="8487" max="8704" width="2.625" style="30"/>
    <col min="8705" max="8718" width="2.625" style="30" customWidth="1"/>
    <col min="8719" max="8720" width="2.5" style="30" customWidth="1"/>
    <col min="8721" max="8721" width="2.625" style="30" customWidth="1"/>
    <col min="8722" max="8722" width="6" style="30" customWidth="1"/>
    <col min="8723" max="8724" width="2.5" style="30" customWidth="1"/>
    <col min="8725" max="8726" width="2.125" style="30" customWidth="1"/>
    <col min="8727" max="8729" width="2.5" style="30" customWidth="1"/>
    <col min="8730" max="8730" width="1.875" style="30" customWidth="1"/>
    <col min="8731" max="8733" width="2.5" style="30" customWidth="1"/>
    <col min="8734" max="8734" width="1.875" style="30" customWidth="1"/>
    <col min="8735" max="8737" width="2.5" style="30" customWidth="1"/>
    <col min="8738" max="8738" width="1.375" style="30" customWidth="1"/>
    <col min="8739" max="8739" width="2.5" style="30" customWidth="1"/>
    <col min="8740" max="8740" width="2.125" style="30" customWidth="1"/>
    <col min="8741" max="8741" width="1.625" style="30" customWidth="1"/>
    <col min="8742" max="8742" width="2.5" style="30" customWidth="1"/>
    <col min="8743" max="8960" width="2.625" style="30"/>
    <col min="8961" max="8974" width="2.625" style="30" customWidth="1"/>
    <col min="8975" max="8976" width="2.5" style="30" customWidth="1"/>
    <col min="8977" max="8977" width="2.625" style="30" customWidth="1"/>
    <col min="8978" max="8978" width="6" style="30" customWidth="1"/>
    <col min="8979" max="8980" width="2.5" style="30" customWidth="1"/>
    <col min="8981" max="8982" width="2.125" style="30" customWidth="1"/>
    <col min="8983" max="8985" width="2.5" style="30" customWidth="1"/>
    <col min="8986" max="8986" width="1.875" style="30" customWidth="1"/>
    <col min="8987" max="8989" width="2.5" style="30" customWidth="1"/>
    <col min="8990" max="8990" width="1.875" style="30" customWidth="1"/>
    <col min="8991" max="8993" width="2.5" style="30" customWidth="1"/>
    <col min="8994" max="8994" width="1.375" style="30" customWidth="1"/>
    <col min="8995" max="8995" width="2.5" style="30" customWidth="1"/>
    <col min="8996" max="8996" width="2.125" style="30" customWidth="1"/>
    <col min="8997" max="8997" width="1.625" style="30" customWidth="1"/>
    <col min="8998" max="8998" width="2.5" style="30" customWidth="1"/>
    <col min="8999" max="9216" width="2.625" style="30"/>
    <col min="9217" max="9230" width="2.625" style="30" customWidth="1"/>
    <col min="9231" max="9232" width="2.5" style="30" customWidth="1"/>
    <col min="9233" max="9233" width="2.625" style="30" customWidth="1"/>
    <col min="9234" max="9234" width="6" style="30" customWidth="1"/>
    <col min="9235" max="9236" width="2.5" style="30" customWidth="1"/>
    <col min="9237" max="9238" width="2.125" style="30" customWidth="1"/>
    <col min="9239" max="9241" width="2.5" style="30" customWidth="1"/>
    <col min="9242" max="9242" width="1.875" style="30" customWidth="1"/>
    <col min="9243" max="9245" width="2.5" style="30" customWidth="1"/>
    <col min="9246" max="9246" width="1.875" style="30" customWidth="1"/>
    <col min="9247" max="9249" width="2.5" style="30" customWidth="1"/>
    <col min="9250" max="9250" width="1.375" style="30" customWidth="1"/>
    <col min="9251" max="9251" width="2.5" style="30" customWidth="1"/>
    <col min="9252" max="9252" width="2.125" style="30" customWidth="1"/>
    <col min="9253" max="9253" width="1.625" style="30" customWidth="1"/>
    <col min="9254" max="9254" width="2.5" style="30" customWidth="1"/>
    <col min="9255" max="9472" width="2.625" style="30"/>
    <col min="9473" max="9486" width="2.625" style="30" customWidth="1"/>
    <col min="9487" max="9488" width="2.5" style="30" customWidth="1"/>
    <col min="9489" max="9489" width="2.625" style="30" customWidth="1"/>
    <col min="9490" max="9490" width="6" style="30" customWidth="1"/>
    <col min="9491" max="9492" width="2.5" style="30" customWidth="1"/>
    <col min="9493" max="9494" width="2.125" style="30" customWidth="1"/>
    <col min="9495" max="9497" width="2.5" style="30" customWidth="1"/>
    <col min="9498" max="9498" width="1.875" style="30" customWidth="1"/>
    <col min="9499" max="9501" width="2.5" style="30" customWidth="1"/>
    <col min="9502" max="9502" width="1.875" style="30" customWidth="1"/>
    <col min="9503" max="9505" width="2.5" style="30" customWidth="1"/>
    <col min="9506" max="9506" width="1.375" style="30" customWidth="1"/>
    <col min="9507" max="9507" width="2.5" style="30" customWidth="1"/>
    <col min="9508" max="9508" width="2.125" style="30" customWidth="1"/>
    <col min="9509" max="9509" width="1.625" style="30" customWidth="1"/>
    <col min="9510" max="9510" width="2.5" style="30" customWidth="1"/>
    <col min="9511" max="9728" width="2.625" style="30"/>
    <col min="9729" max="9742" width="2.625" style="30" customWidth="1"/>
    <col min="9743" max="9744" width="2.5" style="30" customWidth="1"/>
    <col min="9745" max="9745" width="2.625" style="30" customWidth="1"/>
    <col min="9746" max="9746" width="6" style="30" customWidth="1"/>
    <col min="9747" max="9748" width="2.5" style="30" customWidth="1"/>
    <col min="9749" max="9750" width="2.125" style="30" customWidth="1"/>
    <col min="9751" max="9753" width="2.5" style="30" customWidth="1"/>
    <col min="9754" max="9754" width="1.875" style="30" customWidth="1"/>
    <col min="9755" max="9757" width="2.5" style="30" customWidth="1"/>
    <col min="9758" max="9758" width="1.875" style="30" customWidth="1"/>
    <col min="9759" max="9761" width="2.5" style="30" customWidth="1"/>
    <col min="9762" max="9762" width="1.375" style="30" customWidth="1"/>
    <col min="9763" max="9763" width="2.5" style="30" customWidth="1"/>
    <col min="9764" max="9764" width="2.125" style="30" customWidth="1"/>
    <col min="9765" max="9765" width="1.625" style="30" customWidth="1"/>
    <col min="9766" max="9766" width="2.5" style="30" customWidth="1"/>
    <col min="9767" max="9984" width="2.625" style="30"/>
    <col min="9985" max="9998" width="2.625" style="30" customWidth="1"/>
    <col min="9999" max="10000" width="2.5" style="30" customWidth="1"/>
    <col min="10001" max="10001" width="2.625" style="30" customWidth="1"/>
    <col min="10002" max="10002" width="6" style="30" customWidth="1"/>
    <col min="10003" max="10004" width="2.5" style="30" customWidth="1"/>
    <col min="10005" max="10006" width="2.125" style="30" customWidth="1"/>
    <col min="10007" max="10009" width="2.5" style="30" customWidth="1"/>
    <col min="10010" max="10010" width="1.875" style="30" customWidth="1"/>
    <col min="10011" max="10013" width="2.5" style="30" customWidth="1"/>
    <col min="10014" max="10014" width="1.875" style="30" customWidth="1"/>
    <col min="10015" max="10017" width="2.5" style="30" customWidth="1"/>
    <col min="10018" max="10018" width="1.375" style="30" customWidth="1"/>
    <col min="10019" max="10019" width="2.5" style="30" customWidth="1"/>
    <col min="10020" max="10020" width="2.125" style="30" customWidth="1"/>
    <col min="10021" max="10021" width="1.625" style="30" customWidth="1"/>
    <col min="10022" max="10022" width="2.5" style="30" customWidth="1"/>
    <col min="10023" max="10240" width="2.625" style="30"/>
    <col min="10241" max="10254" width="2.625" style="30" customWidth="1"/>
    <col min="10255" max="10256" width="2.5" style="30" customWidth="1"/>
    <col min="10257" max="10257" width="2.625" style="30" customWidth="1"/>
    <col min="10258" max="10258" width="6" style="30" customWidth="1"/>
    <col min="10259" max="10260" width="2.5" style="30" customWidth="1"/>
    <col min="10261" max="10262" width="2.125" style="30" customWidth="1"/>
    <col min="10263" max="10265" width="2.5" style="30" customWidth="1"/>
    <col min="10266" max="10266" width="1.875" style="30" customWidth="1"/>
    <col min="10267" max="10269" width="2.5" style="30" customWidth="1"/>
    <col min="10270" max="10270" width="1.875" style="30" customWidth="1"/>
    <col min="10271" max="10273" width="2.5" style="30" customWidth="1"/>
    <col min="10274" max="10274" width="1.375" style="30" customWidth="1"/>
    <col min="10275" max="10275" width="2.5" style="30" customWidth="1"/>
    <col min="10276" max="10276" width="2.125" style="30" customWidth="1"/>
    <col min="10277" max="10277" width="1.625" style="30" customWidth="1"/>
    <col min="10278" max="10278" width="2.5" style="30" customWidth="1"/>
    <col min="10279" max="10496" width="2.625" style="30"/>
    <col min="10497" max="10510" width="2.625" style="30" customWidth="1"/>
    <col min="10511" max="10512" width="2.5" style="30" customWidth="1"/>
    <col min="10513" max="10513" width="2.625" style="30" customWidth="1"/>
    <col min="10514" max="10514" width="6" style="30" customWidth="1"/>
    <col min="10515" max="10516" width="2.5" style="30" customWidth="1"/>
    <col min="10517" max="10518" width="2.125" style="30" customWidth="1"/>
    <col min="10519" max="10521" width="2.5" style="30" customWidth="1"/>
    <col min="10522" max="10522" width="1.875" style="30" customWidth="1"/>
    <col min="10523" max="10525" width="2.5" style="30" customWidth="1"/>
    <col min="10526" max="10526" width="1.875" style="30" customWidth="1"/>
    <col min="10527" max="10529" width="2.5" style="30" customWidth="1"/>
    <col min="10530" max="10530" width="1.375" style="30" customWidth="1"/>
    <col min="10531" max="10531" width="2.5" style="30" customWidth="1"/>
    <col min="10532" max="10532" width="2.125" style="30" customWidth="1"/>
    <col min="10533" max="10533" width="1.625" style="30" customWidth="1"/>
    <col min="10534" max="10534" width="2.5" style="30" customWidth="1"/>
    <col min="10535" max="10752" width="2.625" style="30"/>
    <col min="10753" max="10766" width="2.625" style="30" customWidth="1"/>
    <col min="10767" max="10768" width="2.5" style="30" customWidth="1"/>
    <col min="10769" max="10769" width="2.625" style="30" customWidth="1"/>
    <col min="10770" max="10770" width="6" style="30" customWidth="1"/>
    <col min="10771" max="10772" width="2.5" style="30" customWidth="1"/>
    <col min="10773" max="10774" width="2.125" style="30" customWidth="1"/>
    <col min="10775" max="10777" width="2.5" style="30" customWidth="1"/>
    <col min="10778" max="10778" width="1.875" style="30" customWidth="1"/>
    <col min="10779" max="10781" width="2.5" style="30" customWidth="1"/>
    <col min="10782" max="10782" width="1.875" style="30" customWidth="1"/>
    <col min="10783" max="10785" width="2.5" style="30" customWidth="1"/>
    <col min="10786" max="10786" width="1.375" style="30" customWidth="1"/>
    <col min="10787" max="10787" width="2.5" style="30" customWidth="1"/>
    <col min="10788" max="10788" width="2.125" style="30" customWidth="1"/>
    <col min="10789" max="10789" width="1.625" style="30" customWidth="1"/>
    <col min="10790" max="10790" width="2.5" style="30" customWidth="1"/>
    <col min="10791" max="11008" width="2.625" style="30"/>
    <col min="11009" max="11022" width="2.625" style="30" customWidth="1"/>
    <col min="11023" max="11024" width="2.5" style="30" customWidth="1"/>
    <col min="11025" max="11025" width="2.625" style="30" customWidth="1"/>
    <col min="11026" max="11026" width="6" style="30" customWidth="1"/>
    <col min="11027" max="11028" width="2.5" style="30" customWidth="1"/>
    <col min="11029" max="11030" width="2.125" style="30" customWidth="1"/>
    <col min="11031" max="11033" width="2.5" style="30" customWidth="1"/>
    <col min="11034" max="11034" width="1.875" style="30" customWidth="1"/>
    <col min="11035" max="11037" width="2.5" style="30" customWidth="1"/>
    <col min="11038" max="11038" width="1.875" style="30" customWidth="1"/>
    <col min="11039" max="11041" width="2.5" style="30" customWidth="1"/>
    <col min="11042" max="11042" width="1.375" style="30" customWidth="1"/>
    <col min="11043" max="11043" width="2.5" style="30" customWidth="1"/>
    <col min="11044" max="11044" width="2.125" style="30" customWidth="1"/>
    <col min="11045" max="11045" width="1.625" style="30" customWidth="1"/>
    <col min="11046" max="11046" width="2.5" style="30" customWidth="1"/>
    <col min="11047" max="11264" width="2.625" style="30"/>
    <col min="11265" max="11278" width="2.625" style="30" customWidth="1"/>
    <col min="11279" max="11280" width="2.5" style="30" customWidth="1"/>
    <col min="11281" max="11281" width="2.625" style="30" customWidth="1"/>
    <col min="11282" max="11282" width="6" style="30" customWidth="1"/>
    <col min="11283" max="11284" width="2.5" style="30" customWidth="1"/>
    <col min="11285" max="11286" width="2.125" style="30" customWidth="1"/>
    <col min="11287" max="11289" width="2.5" style="30" customWidth="1"/>
    <col min="11290" max="11290" width="1.875" style="30" customWidth="1"/>
    <col min="11291" max="11293" width="2.5" style="30" customWidth="1"/>
    <col min="11294" max="11294" width="1.875" style="30" customWidth="1"/>
    <col min="11295" max="11297" width="2.5" style="30" customWidth="1"/>
    <col min="11298" max="11298" width="1.375" style="30" customWidth="1"/>
    <col min="11299" max="11299" width="2.5" style="30" customWidth="1"/>
    <col min="11300" max="11300" width="2.125" style="30" customWidth="1"/>
    <col min="11301" max="11301" width="1.625" style="30" customWidth="1"/>
    <col min="11302" max="11302" width="2.5" style="30" customWidth="1"/>
    <col min="11303" max="11520" width="2.625" style="30"/>
    <col min="11521" max="11534" width="2.625" style="30" customWidth="1"/>
    <col min="11535" max="11536" width="2.5" style="30" customWidth="1"/>
    <col min="11537" max="11537" width="2.625" style="30" customWidth="1"/>
    <col min="11538" max="11538" width="6" style="30" customWidth="1"/>
    <col min="11539" max="11540" width="2.5" style="30" customWidth="1"/>
    <col min="11541" max="11542" width="2.125" style="30" customWidth="1"/>
    <col min="11543" max="11545" width="2.5" style="30" customWidth="1"/>
    <col min="11546" max="11546" width="1.875" style="30" customWidth="1"/>
    <col min="11547" max="11549" width="2.5" style="30" customWidth="1"/>
    <col min="11550" max="11550" width="1.875" style="30" customWidth="1"/>
    <col min="11551" max="11553" width="2.5" style="30" customWidth="1"/>
    <col min="11554" max="11554" width="1.375" style="30" customWidth="1"/>
    <col min="11555" max="11555" width="2.5" style="30" customWidth="1"/>
    <col min="11556" max="11556" width="2.125" style="30" customWidth="1"/>
    <col min="11557" max="11557" width="1.625" style="30" customWidth="1"/>
    <col min="11558" max="11558" width="2.5" style="30" customWidth="1"/>
    <col min="11559" max="11776" width="2.625" style="30"/>
    <col min="11777" max="11790" width="2.625" style="30" customWidth="1"/>
    <col min="11791" max="11792" width="2.5" style="30" customWidth="1"/>
    <col min="11793" max="11793" width="2.625" style="30" customWidth="1"/>
    <col min="11794" max="11794" width="6" style="30" customWidth="1"/>
    <col min="11795" max="11796" width="2.5" style="30" customWidth="1"/>
    <col min="11797" max="11798" width="2.125" style="30" customWidth="1"/>
    <col min="11799" max="11801" width="2.5" style="30" customWidth="1"/>
    <col min="11802" max="11802" width="1.875" style="30" customWidth="1"/>
    <col min="11803" max="11805" width="2.5" style="30" customWidth="1"/>
    <col min="11806" max="11806" width="1.875" style="30" customWidth="1"/>
    <col min="11807" max="11809" width="2.5" style="30" customWidth="1"/>
    <col min="11810" max="11810" width="1.375" style="30" customWidth="1"/>
    <col min="11811" max="11811" width="2.5" style="30" customWidth="1"/>
    <col min="11812" max="11812" width="2.125" style="30" customWidth="1"/>
    <col min="11813" max="11813" width="1.625" style="30" customWidth="1"/>
    <col min="11814" max="11814" width="2.5" style="30" customWidth="1"/>
    <col min="11815" max="12032" width="2.625" style="30"/>
    <col min="12033" max="12046" width="2.625" style="30" customWidth="1"/>
    <col min="12047" max="12048" width="2.5" style="30" customWidth="1"/>
    <col min="12049" max="12049" width="2.625" style="30" customWidth="1"/>
    <col min="12050" max="12050" width="6" style="30" customWidth="1"/>
    <col min="12051" max="12052" width="2.5" style="30" customWidth="1"/>
    <col min="12053" max="12054" width="2.125" style="30" customWidth="1"/>
    <col min="12055" max="12057" width="2.5" style="30" customWidth="1"/>
    <col min="12058" max="12058" width="1.875" style="30" customWidth="1"/>
    <col min="12059" max="12061" width="2.5" style="30" customWidth="1"/>
    <col min="12062" max="12062" width="1.875" style="30" customWidth="1"/>
    <col min="12063" max="12065" width="2.5" style="30" customWidth="1"/>
    <col min="12066" max="12066" width="1.375" style="30" customWidth="1"/>
    <col min="12067" max="12067" width="2.5" style="30" customWidth="1"/>
    <col min="12068" max="12068" width="2.125" style="30" customWidth="1"/>
    <col min="12069" max="12069" width="1.625" style="30" customWidth="1"/>
    <col min="12070" max="12070" width="2.5" style="30" customWidth="1"/>
    <col min="12071" max="12288" width="2.625" style="30"/>
    <col min="12289" max="12302" width="2.625" style="30" customWidth="1"/>
    <col min="12303" max="12304" width="2.5" style="30" customWidth="1"/>
    <col min="12305" max="12305" width="2.625" style="30" customWidth="1"/>
    <col min="12306" max="12306" width="6" style="30" customWidth="1"/>
    <col min="12307" max="12308" width="2.5" style="30" customWidth="1"/>
    <col min="12309" max="12310" width="2.125" style="30" customWidth="1"/>
    <col min="12311" max="12313" width="2.5" style="30" customWidth="1"/>
    <col min="12314" max="12314" width="1.875" style="30" customWidth="1"/>
    <col min="12315" max="12317" width="2.5" style="30" customWidth="1"/>
    <col min="12318" max="12318" width="1.875" style="30" customWidth="1"/>
    <col min="12319" max="12321" width="2.5" style="30" customWidth="1"/>
    <col min="12322" max="12322" width="1.375" style="30" customWidth="1"/>
    <col min="12323" max="12323" width="2.5" style="30" customWidth="1"/>
    <col min="12324" max="12324" width="2.125" style="30" customWidth="1"/>
    <col min="12325" max="12325" width="1.625" style="30" customWidth="1"/>
    <col min="12326" max="12326" width="2.5" style="30" customWidth="1"/>
    <col min="12327" max="12544" width="2.625" style="30"/>
    <col min="12545" max="12558" width="2.625" style="30" customWidth="1"/>
    <col min="12559" max="12560" width="2.5" style="30" customWidth="1"/>
    <col min="12561" max="12561" width="2.625" style="30" customWidth="1"/>
    <col min="12562" max="12562" width="6" style="30" customWidth="1"/>
    <col min="12563" max="12564" width="2.5" style="30" customWidth="1"/>
    <col min="12565" max="12566" width="2.125" style="30" customWidth="1"/>
    <col min="12567" max="12569" width="2.5" style="30" customWidth="1"/>
    <col min="12570" max="12570" width="1.875" style="30" customWidth="1"/>
    <col min="12571" max="12573" width="2.5" style="30" customWidth="1"/>
    <col min="12574" max="12574" width="1.875" style="30" customWidth="1"/>
    <col min="12575" max="12577" width="2.5" style="30" customWidth="1"/>
    <col min="12578" max="12578" width="1.375" style="30" customWidth="1"/>
    <col min="12579" max="12579" width="2.5" style="30" customWidth="1"/>
    <col min="12580" max="12580" width="2.125" style="30" customWidth="1"/>
    <col min="12581" max="12581" width="1.625" style="30" customWidth="1"/>
    <col min="12582" max="12582" width="2.5" style="30" customWidth="1"/>
    <col min="12583" max="12800" width="2.625" style="30"/>
    <col min="12801" max="12814" width="2.625" style="30" customWidth="1"/>
    <col min="12815" max="12816" width="2.5" style="30" customWidth="1"/>
    <col min="12817" max="12817" width="2.625" style="30" customWidth="1"/>
    <col min="12818" max="12818" width="6" style="30" customWidth="1"/>
    <col min="12819" max="12820" width="2.5" style="30" customWidth="1"/>
    <col min="12821" max="12822" width="2.125" style="30" customWidth="1"/>
    <col min="12823" max="12825" width="2.5" style="30" customWidth="1"/>
    <col min="12826" max="12826" width="1.875" style="30" customWidth="1"/>
    <col min="12827" max="12829" width="2.5" style="30" customWidth="1"/>
    <col min="12830" max="12830" width="1.875" style="30" customWidth="1"/>
    <col min="12831" max="12833" width="2.5" style="30" customWidth="1"/>
    <col min="12834" max="12834" width="1.375" style="30" customWidth="1"/>
    <col min="12835" max="12835" width="2.5" style="30" customWidth="1"/>
    <col min="12836" max="12836" width="2.125" style="30" customWidth="1"/>
    <col min="12837" max="12837" width="1.625" style="30" customWidth="1"/>
    <col min="12838" max="12838" width="2.5" style="30" customWidth="1"/>
    <col min="12839" max="13056" width="2.625" style="30"/>
    <col min="13057" max="13070" width="2.625" style="30" customWidth="1"/>
    <col min="13071" max="13072" width="2.5" style="30" customWidth="1"/>
    <col min="13073" max="13073" width="2.625" style="30" customWidth="1"/>
    <col min="13074" max="13074" width="6" style="30" customWidth="1"/>
    <col min="13075" max="13076" width="2.5" style="30" customWidth="1"/>
    <col min="13077" max="13078" width="2.125" style="30" customWidth="1"/>
    <col min="13079" max="13081" width="2.5" style="30" customWidth="1"/>
    <col min="13082" max="13082" width="1.875" style="30" customWidth="1"/>
    <col min="13083" max="13085" width="2.5" style="30" customWidth="1"/>
    <col min="13086" max="13086" width="1.875" style="30" customWidth="1"/>
    <col min="13087" max="13089" width="2.5" style="30" customWidth="1"/>
    <col min="13090" max="13090" width="1.375" style="30" customWidth="1"/>
    <col min="13091" max="13091" width="2.5" style="30" customWidth="1"/>
    <col min="13092" max="13092" width="2.125" style="30" customWidth="1"/>
    <col min="13093" max="13093" width="1.625" style="30" customWidth="1"/>
    <col min="13094" max="13094" width="2.5" style="30" customWidth="1"/>
    <col min="13095" max="13312" width="2.625" style="30"/>
    <col min="13313" max="13326" width="2.625" style="30" customWidth="1"/>
    <col min="13327" max="13328" width="2.5" style="30" customWidth="1"/>
    <col min="13329" max="13329" width="2.625" style="30" customWidth="1"/>
    <col min="13330" max="13330" width="6" style="30" customWidth="1"/>
    <col min="13331" max="13332" width="2.5" style="30" customWidth="1"/>
    <col min="13333" max="13334" width="2.125" style="30" customWidth="1"/>
    <col min="13335" max="13337" width="2.5" style="30" customWidth="1"/>
    <col min="13338" max="13338" width="1.875" style="30" customWidth="1"/>
    <col min="13339" max="13341" width="2.5" style="30" customWidth="1"/>
    <col min="13342" max="13342" width="1.875" style="30" customWidth="1"/>
    <col min="13343" max="13345" width="2.5" style="30" customWidth="1"/>
    <col min="13346" max="13346" width="1.375" style="30" customWidth="1"/>
    <col min="13347" max="13347" width="2.5" style="30" customWidth="1"/>
    <col min="13348" max="13348" width="2.125" style="30" customWidth="1"/>
    <col min="13349" max="13349" width="1.625" style="30" customWidth="1"/>
    <col min="13350" max="13350" width="2.5" style="30" customWidth="1"/>
    <col min="13351" max="13568" width="2.625" style="30"/>
    <col min="13569" max="13582" width="2.625" style="30" customWidth="1"/>
    <col min="13583" max="13584" width="2.5" style="30" customWidth="1"/>
    <col min="13585" max="13585" width="2.625" style="30" customWidth="1"/>
    <col min="13586" max="13586" width="6" style="30" customWidth="1"/>
    <col min="13587" max="13588" width="2.5" style="30" customWidth="1"/>
    <col min="13589" max="13590" width="2.125" style="30" customWidth="1"/>
    <col min="13591" max="13593" width="2.5" style="30" customWidth="1"/>
    <col min="13594" max="13594" width="1.875" style="30" customWidth="1"/>
    <col min="13595" max="13597" width="2.5" style="30" customWidth="1"/>
    <col min="13598" max="13598" width="1.875" style="30" customWidth="1"/>
    <col min="13599" max="13601" width="2.5" style="30" customWidth="1"/>
    <col min="13602" max="13602" width="1.375" style="30" customWidth="1"/>
    <col min="13603" max="13603" width="2.5" style="30" customWidth="1"/>
    <col min="13604" max="13604" width="2.125" style="30" customWidth="1"/>
    <col min="13605" max="13605" width="1.625" style="30" customWidth="1"/>
    <col min="13606" max="13606" width="2.5" style="30" customWidth="1"/>
    <col min="13607" max="13824" width="2.625" style="30"/>
    <col min="13825" max="13838" width="2.625" style="30" customWidth="1"/>
    <col min="13839" max="13840" width="2.5" style="30" customWidth="1"/>
    <col min="13841" max="13841" width="2.625" style="30" customWidth="1"/>
    <col min="13842" max="13842" width="6" style="30" customWidth="1"/>
    <col min="13843" max="13844" width="2.5" style="30" customWidth="1"/>
    <col min="13845" max="13846" width="2.125" style="30" customWidth="1"/>
    <col min="13847" max="13849" width="2.5" style="30" customWidth="1"/>
    <col min="13850" max="13850" width="1.875" style="30" customWidth="1"/>
    <col min="13851" max="13853" width="2.5" style="30" customWidth="1"/>
    <col min="13854" max="13854" width="1.875" style="30" customWidth="1"/>
    <col min="13855" max="13857" width="2.5" style="30" customWidth="1"/>
    <col min="13858" max="13858" width="1.375" style="30" customWidth="1"/>
    <col min="13859" max="13859" width="2.5" style="30" customWidth="1"/>
    <col min="13860" max="13860" width="2.125" style="30" customWidth="1"/>
    <col min="13861" max="13861" width="1.625" style="30" customWidth="1"/>
    <col min="13862" max="13862" width="2.5" style="30" customWidth="1"/>
    <col min="13863" max="14080" width="2.625" style="30"/>
    <col min="14081" max="14094" width="2.625" style="30" customWidth="1"/>
    <col min="14095" max="14096" width="2.5" style="30" customWidth="1"/>
    <col min="14097" max="14097" width="2.625" style="30" customWidth="1"/>
    <col min="14098" max="14098" width="6" style="30" customWidth="1"/>
    <col min="14099" max="14100" width="2.5" style="30" customWidth="1"/>
    <col min="14101" max="14102" width="2.125" style="30" customWidth="1"/>
    <col min="14103" max="14105" width="2.5" style="30" customWidth="1"/>
    <col min="14106" max="14106" width="1.875" style="30" customWidth="1"/>
    <col min="14107" max="14109" width="2.5" style="30" customWidth="1"/>
    <col min="14110" max="14110" width="1.875" style="30" customWidth="1"/>
    <col min="14111" max="14113" width="2.5" style="30" customWidth="1"/>
    <col min="14114" max="14114" width="1.375" style="30" customWidth="1"/>
    <col min="14115" max="14115" width="2.5" style="30" customWidth="1"/>
    <col min="14116" max="14116" width="2.125" style="30" customWidth="1"/>
    <col min="14117" max="14117" width="1.625" style="30" customWidth="1"/>
    <col min="14118" max="14118" width="2.5" style="30" customWidth="1"/>
    <col min="14119" max="14336" width="2.625" style="30"/>
    <col min="14337" max="14350" width="2.625" style="30" customWidth="1"/>
    <col min="14351" max="14352" width="2.5" style="30" customWidth="1"/>
    <col min="14353" max="14353" width="2.625" style="30" customWidth="1"/>
    <col min="14354" max="14354" width="6" style="30" customWidth="1"/>
    <col min="14355" max="14356" width="2.5" style="30" customWidth="1"/>
    <col min="14357" max="14358" width="2.125" style="30" customWidth="1"/>
    <col min="14359" max="14361" width="2.5" style="30" customWidth="1"/>
    <col min="14362" max="14362" width="1.875" style="30" customWidth="1"/>
    <col min="14363" max="14365" width="2.5" style="30" customWidth="1"/>
    <col min="14366" max="14366" width="1.875" style="30" customWidth="1"/>
    <col min="14367" max="14369" width="2.5" style="30" customWidth="1"/>
    <col min="14370" max="14370" width="1.375" style="30" customWidth="1"/>
    <col min="14371" max="14371" width="2.5" style="30" customWidth="1"/>
    <col min="14372" max="14372" width="2.125" style="30" customWidth="1"/>
    <col min="14373" max="14373" width="1.625" style="30" customWidth="1"/>
    <col min="14374" max="14374" width="2.5" style="30" customWidth="1"/>
    <col min="14375" max="14592" width="2.625" style="30"/>
    <col min="14593" max="14606" width="2.625" style="30" customWidth="1"/>
    <col min="14607" max="14608" width="2.5" style="30" customWidth="1"/>
    <col min="14609" max="14609" width="2.625" style="30" customWidth="1"/>
    <col min="14610" max="14610" width="6" style="30" customWidth="1"/>
    <col min="14611" max="14612" width="2.5" style="30" customWidth="1"/>
    <col min="14613" max="14614" width="2.125" style="30" customWidth="1"/>
    <col min="14615" max="14617" width="2.5" style="30" customWidth="1"/>
    <col min="14618" max="14618" width="1.875" style="30" customWidth="1"/>
    <col min="14619" max="14621" width="2.5" style="30" customWidth="1"/>
    <col min="14622" max="14622" width="1.875" style="30" customWidth="1"/>
    <col min="14623" max="14625" width="2.5" style="30" customWidth="1"/>
    <col min="14626" max="14626" width="1.375" style="30" customWidth="1"/>
    <col min="14627" max="14627" width="2.5" style="30" customWidth="1"/>
    <col min="14628" max="14628" width="2.125" style="30" customWidth="1"/>
    <col min="14629" max="14629" width="1.625" style="30" customWidth="1"/>
    <col min="14630" max="14630" width="2.5" style="30" customWidth="1"/>
    <col min="14631" max="14848" width="2.625" style="30"/>
    <col min="14849" max="14862" width="2.625" style="30" customWidth="1"/>
    <col min="14863" max="14864" width="2.5" style="30" customWidth="1"/>
    <col min="14865" max="14865" width="2.625" style="30" customWidth="1"/>
    <col min="14866" max="14866" width="6" style="30" customWidth="1"/>
    <col min="14867" max="14868" width="2.5" style="30" customWidth="1"/>
    <col min="14869" max="14870" width="2.125" style="30" customWidth="1"/>
    <col min="14871" max="14873" width="2.5" style="30" customWidth="1"/>
    <col min="14874" max="14874" width="1.875" style="30" customWidth="1"/>
    <col min="14875" max="14877" width="2.5" style="30" customWidth="1"/>
    <col min="14878" max="14878" width="1.875" style="30" customWidth="1"/>
    <col min="14879" max="14881" width="2.5" style="30" customWidth="1"/>
    <col min="14882" max="14882" width="1.375" style="30" customWidth="1"/>
    <col min="14883" max="14883" width="2.5" style="30" customWidth="1"/>
    <col min="14884" max="14884" width="2.125" style="30" customWidth="1"/>
    <col min="14885" max="14885" width="1.625" style="30" customWidth="1"/>
    <col min="14886" max="14886" width="2.5" style="30" customWidth="1"/>
    <col min="14887" max="15104" width="2.625" style="30"/>
    <col min="15105" max="15118" width="2.625" style="30" customWidth="1"/>
    <col min="15119" max="15120" width="2.5" style="30" customWidth="1"/>
    <col min="15121" max="15121" width="2.625" style="30" customWidth="1"/>
    <col min="15122" max="15122" width="6" style="30" customWidth="1"/>
    <col min="15123" max="15124" width="2.5" style="30" customWidth="1"/>
    <col min="15125" max="15126" width="2.125" style="30" customWidth="1"/>
    <col min="15127" max="15129" width="2.5" style="30" customWidth="1"/>
    <col min="15130" max="15130" width="1.875" style="30" customWidth="1"/>
    <col min="15131" max="15133" width="2.5" style="30" customWidth="1"/>
    <col min="15134" max="15134" width="1.875" style="30" customWidth="1"/>
    <col min="15135" max="15137" width="2.5" style="30" customWidth="1"/>
    <col min="15138" max="15138" width="1.375" style="30" customWidth="1"/>
    <col min="15139" max="15139" width="2.5" style="30" customWidth="1"/>
    <col min="15140" max="15140" width="2.125" style="30" customWidth="1"/>
    <col min="15141" max="15141" width="1.625" style="30" customWidth="1"/>
    <col min="15142" max="15142" width="2.5" style="30" customWidth="1"/>
    <col min="15143" max="15360" width="2.625" style="30"/>
    <col min="15361" max="15374" width="2.625" style="30" customWidth="1"/>
    <col min="15375" max="15376" width="2.5" style="30" customWidth="1"/>
    <col min="15377" max="15377" width="2.625" style="30" customWidth="1"/>
    <col min="15378" max="15378" width="6" style="30" customWidth="1"/>
    <col min="15379" max="15380" width="2.5" style="30" customWidth="1"/>
    <col min="15381" max="15382" width="2.125" style="30" customWidth="1"/>
    <col min="15383" max="15385" width="2.5" style="30" customWidth="1"/>
    <col min="15386" max="15386" width="1.875" style="30" customWidth="1"/>
    <col min="15387" max="15389" width="2.5" style="30" customWidth="1"/>
    <col min="15390" max="15390" width="1.875" style="30" customWidth="1"/>
    <col min="15391" max="15393" width="2.5" style="30" customWidth="1"/>
    <col min="15394" max="15394" width="1.375" style="30" customWidth="1"/>
    <col min="15395" max="15395" width="2.5" style="30" customWidth="1"/>
    <col min="15396" max="15396" width="2.125" style="30" customWidth="1"/>
    <col min="15397" max="15397" width="1.625" style="30" customWidth="1"/>
    <col min="15398" max="15398" width="2.5" style="30" customWidth="1"/>
    <col min="15399" max="15616" width="2.625" style="30"/>
    <col min="15617" max="15630" width="2.625" style="30" customWidth="1"/>
    <col min="15631" max="15632" width="2.5" style="30" customWidth="1"/>
    <col min="15633" max="15633" width="2.625" style="30" customWidth="1"/>
    <col min="15634" max="15634" width="6" style="30" customWidth="1"/>
    <col min="15635" max="15636" width="2.5" style="30" customWidth="1"/>
    <col min="15637" max="15638" width="2.125" style="30" customWidth="1"/>
    <col min="15639" max="15641" width="2.5" style="30" customWidth="1"/>
    <col min="15642" max="15642" width="1.875" style="30" customWidth="1"/>
    <col min="15643" max="15645" width="2.5" style="30" customWidth="1"/>
    <col min="15646" max="15646" width="1.875" style="30" customWidth="1"/>
    <col min="15647" max="15649" width="2.5" style="30" customWidth="1"/>
    <col min="15650" max="15650" width="1.375" style="30" customWidth="1"/>
    <col min="15651" max="15651" width="2.5" style="30" customWidth="1"/>
    <col min="15652" max="15652" width="2.125" style="30" customWidth="1"/>
    <col min="15653" max="15653" width="1.625" style="30" customWidth="1"/>
    <col min="15654" max="15654" width="2.5" style="30" customWidth="1"/>
    <col min="15655" max="15872" width="2.625" style="30"/>
    <col min="15873" max="15886" width="2.625" style="30" customWidth="1"/>
    <col min="15887" max="15888" width="2.5" style="30" customWidth="1"/>
    <col min="15889" max="15889" width="2.625" style="30" customWidth="1"/>
    <col min="15890" max="15890" width="6" style="30" customWidth="1"/>
    <col min="15891" max="15892" width="2.5" style="30" customWidth="1"/>
    <col min="15893" max="15894" width="2.125" style="30" customWidth="1"/>
    <col min="15895" max="15897" width="2.5" style="30" customWidth="1"/>
    <col min="15898" max="15898" width="1.875" style="30" customWidth="1"/>
    <col min="15899" max="15901" width="2.5" style="30" customWidth="1"/>
    <col min="15902" max="15902" width="1.875" style="30" customWidth="1"/>
    <col min="15903" max="15905" width="2.5" style="30" customWidth="1"/>
    <col min="15906" max="15906" width="1.375" style="30" customWidth="1"/>
    <col min="15907" max="15907" width="2.5" style="30" customWidth="1"/>
    <col min="15908" max="15908" width="2.125" style="30" customWidth="1"/>
    <col min="15909" max="15909" width="1.625" style="30" customWidth="1"/>
    <col min="15910" max="15910" width="2.5" style="30" customWidth="1"/>
    <col min="15911" max="16128" width="2.625" style="30"/>
    <col min="16129" max="16142" width="2.625" style="30" customWidth="1"/>
    <col min="16143" max="16144" width="2.5" style="30" customWidth="1"/>
    <col min="16145" max="16145" width="2.625" style="30" customWidth="1"/>
    <col min="16146" max="16146" width="6" style="30" customWidth="1"/>
    <col min="16147" max="16148" width="2.5" style="30" customWidth="1"/>
    <col min="16149" max="16150" width="2.125" style="30" customWidth="1"/>
    <col min="16151" max="16153" width="2.5" style="30" customWidth="1"/>
    <col min="16154" max="16154" width="1.875" style="30" customWidth="1"/>
    <col min="16155" max="16157" width="2.5" style="30" customWidth="1"/>
    <col min="16158" max="16158" width="1.875" style="30" customWidth="1"/>
    <col min="16159" max="16161" width="2.5" style="30" customWidth="1"/>
    <col min="16162" max="16162" width="1.375" style="30" customWidth="1"/>
    <col min="16163" max="16163" width="2.5" style="30" customWidth="1"/>
    <col min="16164" max="16164" width="2.125" style="30" customWidth="1"/>
    <col min="16165" max="16165" width="1.625" style="30" customWidth="1"/>
    <col min="16166" max="16166" width="2.5" style="30" customWidth="1"/>
    <col min="16167" max="16384" width="2.625" style="30"/>
  </cols>
  <sheetData>
    <row r="1" spans="1:43" customFormat="1" ht="15.75">
      <c r="A1" s="399" t="s">
        <v>85</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row>
    <row r="2" spans="1:43" customFormat="1" ht="15.75">
      <c r="A2" s="399" t="s">
        <v>86</v>
      </c>
      <c r="B2" s="399"/>
      <c r="C2" s="399"/>
      <c r="D2" s="399"/>
      <c r="E2" s="399"/>
      <c r="F2" s="399"/>
      <c r="G2" s="399"/>
      <c r="H2" s="399"/>
      <c r="I2" s="399"/>
      <c r="J2" s="399"/>
      <c r="K2" s="399"/>
      <c r="L2" s="399"/>
      <c r="M2" s="399"/>
      <c r="N2" s="399"/>
      <c r="O2" s="399"/>
      <c r="P2" s="399"/>
      <c r="Q2" s="399"/>
      <c r="R2" s="399"/>
      <c r="S2" s="399"/>
      <c r="T2" s="399"/>
      <c r="U2" s="399"/>
      <c r="V2" s="399"/>
      <c r="W2" s="399"/>
      <c r="X2" s="399"/>
      <c r="Y2" s="399"/>
      <c r="Z2" s="399"/>
      <c r="AA2" s="399"/>
      <c r="AB2" s="399"/>
      <c r="AC2" s="399"/>
      <c r="AD2" s="399"/>
      <c r="AE2" s="399"/>
      <c r="AF2" s="399"/>
      <c r="AG2" s="399"/>
      <c r="AH2" s="399"/>
      <c r="AI2" s="399"/>
      <c r="AJ2" s="399"/>
      <c r="AK2" s="399"/>
      <c r="AL2" s="399"/>
    </row>
    <row r="3" spans="1:43" customFormat="1" ht="15.75">
      <c r="A3" s="399" t="s">
        <v>87</v>
      </c>
      <c r="B3" s="399"/>
      <c r="C3" s="399"/>
      <c r="D3" s="399"/>
      <c r="E3" s="399"/>
      <c r="F3" s="399"/>
      <c r="G3" s="399"/>
      <c r="H3" s="399"/>
      <c r="I3" s="399"/>
      <c r="J3" s="399"/>
      <c r="K3" s="399"/>
      <c r="L3" s="399"/>
      <c r="M3" s="399"/>
      <c r="N3" s="399"/>
      <c r="O3" s="399"/>
      <c r="P3" s="399"/>
      <c r="Q3" s="399"/>
      <c r="R3" s="399"/>
      <c r="S3" s="399"/>
      <c r="T3" s="399"/>
      <c r="U3" s="399"/>
      <c r="V3" s="399"/>
      <c r="W3" s="399"/>
      <c r="X3" s="399"/>
      <c r="Y3" s="399"/>
      <c r="Z3" s="399"/>
      <c r="AA3" s="399"/>
      <c r="AB3" s="399"/>
      <c r="AC3" s="399"/>
      <c r="AD3" s="399"/>
      <c r="AE3" s="399"/>
      <c r="AF3" s="399"/>
      <c r="AG3" s="399"/>
      <c r="AH3" s="399"/>
      <c r="AI3" s="399"/>
      <c r="AJ3" s="399"/>
      <c r="AK3" s="399"/>
      <c r="AL3" s="399"/>
    </row>
    <row r="4" spans="1:43" customFormat="1" ht="15.75">
      <c r="A4" s="399" t="s">
        <v>88</v>
      </c>
      <c r="B4" s="399"/>
      <c r="C4" s="399"/>
      <c r="D4" s="399"/>
      <c r="E4" s="399"/>
      <c r="F4" s="399"/>
      <c r="G4" s="399"/>
      <c r="H4" s="399"/>
      <c r="I4" s="399"/>
      <c r="J4" s="399"/>
      <c r="K4" s="399"/>
      <c r="L4" s="399"/>
      <c r="M4" s="399"/>
      <c r="N4" s="399"/>
      <c r="O4" s="399"/>
      <c r="P4" s="399"/>
      <c r="Q4" s="399"/>
      <c r="R4" s="399"/>
      <c r="S4" s="399"/>
      <c r="T4" s="399"/>
      <c r="U4" s="399"/>
      <c r="V4" s="399"/>
      <c r="W4" s="399"/>
      <c r="X4" s="399"/>
      <c r="Y4" s="399"/>
      <c r="Z4" s="399"/>
      <c r="AA4" s="399"/>
      <c r="AB4" s="399"/>
      <c r="AC4" s="399"/>
      <c r="AD4" s="399"/>
      <c r="AE4" s="399"/>
      <c r="AF4" s="399"/>
      <c r="AG4" s="399"/>
      <c r="AH4" s="399"/>
      <c r="AI4" s="399"/>
      <c r="AJ4" s="399"/>
      <c r="AK4" s="399"/>
      <c r="AL4" s="399"/>
    </row>
    <row r="5" spans="1:43" customFormat="1" ht="15.75">
      <c r="A5" s="126"/>
    </row>
    <row r="6" spans="1:43" customFormat="1" ht="15.75">
      <c r="A6" s="400" t="str">
        <f>+Control!D3</f>
        <v>MOP ENTERTAINMENT LIMITED</v>
      </c>
      <c r="B6" s="400"/>
      <c r="C6" s="400"/>
      <c r="D6" s="400"/>
      <c r="E6" s="400"/>
      <c r="F6" s="400"/>
      <c r="G6" s="400"/>
      <c r="H6" s="400"/>
      <c r="I6" s="400"/>
      <c r="J6" s="400"/>
      <c r="K6" s="400"/>
      <c r="L6" s="400"/>
      <c r="M6" s="400"/>
      <c r="N6" s="400"/>
      <c r="O6" s="400"/>
      <c r="P6" s="400"/>
      <c r="Q6" s="400"/>
      <c r="R6" s="400"/>
      <c r="S6" s="400"/>
      <c r="T6" s="400"/>
      <c r="U6" s="400"/>
      <c r="V6" s="400"/>
      <c r="W6" s="400"/>
      <c r="X6" s="400"/>
      <c r="Y6" s="400"/>
      <c r="Z6" s="400"/>
      <c r="AA6" s="400"/>
      <c r="AB6" s="400"/>
      <c r="AC6" s="400"/>
      <c r="AD6" s="400"/>
      <c r="AE6" s="400"/>
      <c r="AF6" s="400"/>
      <c r="AG6" s="400"/>
      <c r="AH6" s="400"/>
      <c r="AI6" s="400"/>
      <c r="AJ6" s="400"/>
      <c r="AK6" s="400"/>
      <c r="AL6" s="400"/>
      <c r="AQ6" t="s">
        <v>1</v>
      </c>
    </row>
    <row r="7" spans="1:43" customFormat="1" ht="15.75">
      <c r="A7" s="401" t="str">
        <f>+CONCATENATE(AQ6,Control!F8,AQ8,'D emol (6)'!AQ7,Control!D7)</f>
        <v xml:space="preserve">FOR THE  ENDED </v>
      </c>
      <c r="B7" s="401"/>
      <c r="C7" s="401"/>
      <c r="D7" s="401"/>
      <c r="E7" s="401"/>
      <c r="F7" s="401"/>
      <c r="G7" s="401"/>
      <c r="H7" s="401"/>
      <c r="I7" s="401"/>
      <c r="J7" s="401"/>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Q7" t="s">
        <v>89</v>
      </c>
    </row>
    <row r="8" spans="1:43" customFormat="1" ht="15.75">
      <c r="AQ8" t="s">
        <v>90</v>
      </c>
    </row>
    <row r="9" spans="1:43" s="35" customFormat="1">
      <c r="C9" s="35" t="s">
        <v>91</v>
      </c>
    </row>
    <row r="10" spans="1:43" s="35" customFormat="1"/>
    <row r="11" spans="1:43" s="35" customFormat="1">
      <c r="A11" s="35" t="s">
        <v>92</v>
      </c>
      <c r="C11" s="402" t="s">
        <v>93</v>
      </c>
      <c r="D11" s="402"/>
      <c r="E11" s="402"/>
      <c r="F11" s="402"/>
      <c r="G11" s="402"/>
      <c r="H11" s="40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row>
    <row r="12" spans="1:43" s="35" customFormat="1">
      <c r="C12" s="402" t="s">
        <v>94</v>
      </c>
      <c r="D12" s="402"/>
      <c r="E12" s="402"/>
      <c r="F12" s="402"/>
      <c r="G12" s="402"/>
      <c r="H12" s="402"/>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row>
    <row r="13" spans="1:43" s="35" customFormat="1">
      <c r="C13" s="402" t="s">
        <v>95</v>
      </c>
      <c r="D13" s="402"/>
      <c r="E13" s="402"/>
      <c r="F13" s="402"/>
      <c r="G13" s="402"/>
      <c r="H13" s="402"/>
      <c r="I13" s="402"/>
      <c r="J13" s="402"/>
      <c r="K13" s="402"/>
      <c r="L13" s="402"/>
      <c r="M13" s="402"/>
      <c r="N13" s="402"/>
      <c r="O13" s="402"/>
      <c r="P13" s="402"/>
      <c r="Q13" s="402"/>
      <c r="R13" s="402"/>
      <c r="S13" s="402"/>
      <c r="T13" s="402"/>
      <c r="U13" s="402"/>
      <c r="V13" s="402"/>
      <c r="W13" s="402"/>
      <c r="X13" s="402"/>
      <c r="Y13" s="402"/>
      <c r="Z13" s="402"/>
      <c r="AA13" s="402"/>
      <c r="AB13" s="402"/>
      <c r="AC13" s="402"/>
      <c r="AD13" s="402"/>
      <c r="AE13" s="402"/>
      <c r="AF13" s="402"/>
      <c r="AG13" s="402"/>
      <c r="AH13" s="402"/>
      <c r="AI13" s="402"/>
      <c r="AJ13" s="402"/>
      <c r="AK13" s="402"/>
      <c r="AL13" s="402"/>
    </row>
    <row r="14" spans="1:43" s="35" customFormat="1">
      <c r="C14" s="35" t="str">
        <f>+CONCATENATE(B68,B69,B70)</f>
        <v>to be disclosed under Section 161 of the Companies Ordinance;</v>
      </c>
      <c r="AQ14" s="35">
        <v>383</v>
      </c>
    </row>
    <row r="15" spans="1:43" s="35" customFormat="1">
      <c r="A15" s="35" t="s">
        <v>96</v>
      </c>
      <c r="C15" s="402" t="s">
        <v>97</v>
      </c>
      <c r="D15" s="402"/>
      <c r="E15" s="402"/>
      <c r="F15" s="402"/>
      <c r="G15" s="402"/>
      <c r="H15" s="402"/>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row>
    <row r="16" spans="1:43" s="35" customFormat="1">
      <c r="C16" s="35" t="str">
        <f>+CONCATENATE(B76,B77,B78)</f>
        <v>which were outstanding at the expiration thereof as required to be disclosed under Section 161B of the Companies Ordinance.</v>
      </c>
      <c r="AQ16" s="35">
        <v>383</v>
      </c>
    </row>
    <row r="17" spans="1:38" customFormat="1" ht="15.75"/>
    <row r="18" spans="1:38" ht="12.75">
      <c r="A18" s="26" t="s">
        <v>98</v>
      </c>
      <c r="B18" s="27"/>
      <c r="C18" s="27"/>
      <c r="D18" s="403">
        <f>+'Dir info'!C9</f>
        <v>0</v>
      </c>
      <c r="E18" s="403"/>
      <c r="F18" s="403"/>
      <c r="G18" s="403"/>
      <c r="H18" s="403"/>
      <c r="I18" s="403"/>
      <c r="J18" s="403"/>
      <c r="K18" s="403"/>
      <c r="L18" s="403"/>
      <c r="M18" s="403"/>
      <c r="N18" s="27"/>
      <c r="O18" s="404" t="s">
        <v>99</v>
      </c>
      <c r="P18" s="405"/>
      <c r="Q18" s="405"/>
      <c r="R18" s="405"/>
      <c r="S18" s="405"/>
      <c r="T18" s="405"/>
      <c r="U18" s="405"/>
      <c r="V18" s="406"/>
      <c r="W18" s="28"/>
      <c r="X18" s="410" t="s">
        <v>100</v>
      </c>
      <c r="Y18" s="410"/>
      <c r="Z18" s="410"/>
      <c r="AA18" s="410"/>
      <c r="AB18" s="410"/>
      <c r="AC18" s="410"/>
      <c r="AD18" s="29"/>
      <c r="AE18" s="412" t="s">
        <v>101</v>
      </c>
      <c r="AF18" s="410"/>
      <c r="AG18" s="410"/>
      <c r="AH18" s="410"/>
      <c r="AI18" s="410"/>
      <c r="AJ18" s="410"/>
      <c r="AK18" s="410"/>
      <c r="AL18" s="413"/>
    </row>
    <row r="19" spans="1:38" ht="27" customHeight="1">
      <c r="A19" s="26" t="s">
        <v>102</v>
      </c>
      <c r="C19" s="27"/>
      <c r="D19" s="416" t="s">
        <v>103</v>
      </c>
      <c r="E19" s="416"/>
      <c r="F19" s="416"/>
      <c r="G19" s="416"/>
      <c r="H19" s="416"/>
      <c r="I19" s="416"/>
      <c r="J19" s="416"/>
      <c r="K19" s="416"/>
      <c r="L19" s="416"/>
      <c r="M19" s="416"/>
      <c r="N19" s="27"/>
      <c r="O19" s="407"/>
      <c r="P19" s="408"/>
      <c r="Q19" s="408"/>
      <c r="R19" s="408"/>
      <c r="S19" s="408"/>
      <c r="T19" s="408"/>
      <c r="U19" s="408"/>
      <c r="V19" s="409"/>
      <c r="W19" s="31"/>
      <c r="X19" s="411"/>
      <c r="Y19" s="411"/>
      <c r="Z19" s="411"/>
      <c r="AA19" s="411"/>
      <c r="AB19" s="411"/>
      <c r="AC19" s="411"/>
      <c r="AD19" s="32"/>
      <c r="AE19" s="414"/>
      <c r="AF19" s="411"/>
      <c r="AG19" s="411"/>
      <c r="AH19" s="411"/>
      <c r="AI19" s="411"/>
      <c r="AJ19" s="411"/>
      <c r="AK19" s="411"/>
      <c r="AL19" s="415"/>
    </row>
    <row r="20" spans="1:38" ht="14.25" customHeight="1">
      <c r="O20" s="420" t="s">
        <v>104</v>
      </c>
      <c r="P20" s="420"/>
      <c r="Q20" s="420"/>
      <c r="R20" s="420"/>
      <c r="S20" s="420" t="s">
        <v>105</v>
      </c>
      <c r="T20" s="420"/>
      <c r="U20" s="420"/>
      <c r="V20" s="420"/>
      <c r="W20" s="420" t="s">
        <v>104</v>
      </c>
      <c r="X20" s="420"/>
      <c r="Y20" s="420"/>
      <c r="Z20" s="420"/>
      <c r="AA20" s="420" t="s">
        <v>105</v>
      </c>
      <c r="AB20" s="420"/>
      <c r="AC20" s="420"/>
      <c r="AD20" s="420"/>
      <c r="AE20" s="420" t="s">
        <v>104</v>
      </c>
      <c r="AF20" s="420"/>
      <c r="AG20" s="420"/>
      <c r="AH20" s="420"/>
      <c r="AI20" s="420" t="s">
        <v>105</v>
      </c>
      <c r="AJ20" s="420"/>
      <c r="AK20" s="420"/>
      <c r="AL20" s="420"/>
    </row>
    <row r="21" spans="1:38">
      <c r="O21" s="417" t="str">
        <f>+Control!D80</f>
        <v>HK$</v>
      </c>
      <c r="P21" s="418"/>
      <c r="Q21" s="418"/>
      <c r="R21" s="419"/>
      <c r="S21" s="417" t="str">
        <f>+Control!D80</f>
        <v>HK$</v>
      </c>
      <c r="T21" s="418"/>
      <c r="U21" s="418"/>
      <c r="V21" s="419"/>
      <c r="W21" s="417" t="str">
        <f>+Control!D80</f>
        <v>HK$</v>
      </c>
      <c r="X21" s="418"/>
      <c r="Y21" s="418"/>
      <c r="Z21" s="419"/>
      <c r="AA21" s="417" t="str">
        <f>+Control!D80</f>
        <v>HK$</v>
      </c>
      <c r="AB21" s="418"/>
      <c r="AC21" s="418"/>
      <c r="AD21" s="419"/>
      <c r="AE21" s="417" t="str">
        <f>+Control!D80</f>
        <v>HK$</v>
      </c>
      <c r="AF21" s="418"/>
      <c r="AG21" s="418"/>
      <c r="AH21" s="419"/>
      <c r="AI21" s="417" t="str">
        <f>+Control!D80</f>
        <v>HK$</v>
      </c>
      <c r="AJ21" s="418"/>
      <c r="AK21" s="418"/>
      <c r="AL21" s="419"/>
    </row>
    <row r="22" spans="1:38">
      <c r="A22" s="30" t="s">
        <v>106</v>
      </c>
      <c r="B22" s="33" t="s">
        <v>107</v>
      </c>
      <c r="C22" s="30" t="s">
        <v>108</v>
      </c>
      <c r="O22" s="422"/>
      <c r="P22" s="420"/>
      <c r="Q22" s="420"/>
      <c r="R22" s="420"/>
      <c r="S22" s="420"/>
      <c r="T22" s="420"/>
      <c r="U22" s="420"/>
      <c r="V22" s="420"/>
      <c r="W22" s="420"/>
      <c r="X22" s="420"/>
      <c r="Y22" s="420"/>
      <c r="Z22" s="420"/>
      <c r="AA22" s="420"/>
      <c r="AB22" s="420"/>
      <c r="AC22" s="420"/>
      <c r="AD22" s="420"/>
      <c r="AE22" s="420"/>
      <c r="AF22" s="420"/>
      <c r="AG22" s="420"/>
      <c r="AH22" s="420"/>
      <c r="AI22" s="420"/>
      <c r="AJ22" s="420"/>
      <c r="AK22" s="420"/>
      <c r="AL22" s="420"/>
    </row>
    <row r="23" spans="1:38">
      <c r="C23" s="30" t="s">
        <v>109</v>
      </c>
      <c r="O23" s="420"/>
      <c r="P23" s="420"/>
      <c r="Q23" s="420"/>
      <c r="R23" s="420"/>
      <c r="S23" s="420"/>
      <c r="T23" s="420"/>
      <c r="U23" s="420"/>
      <c r="V23" s="420"/>
      <c r="W23" s="420"/>
      <c r="X23" s="420"/>
      <c r="Y23" s="420"/>
      <c r="Z23" s="420"/>
      <c r="AA23" s="420"/>
      <c r="AB23" s="420"/>
      <c r="AC23" s="420"/>
      <c r="AD23" s="420"/>
      <c r="AE23" s="420"/>
      <c r="AF23" s="420"/>
      <c r="AG23" s="420"/>
      <c r="AH23" s="420"/>
      <c r="AI23" s="420"/>
      <c r="AJ23" s="420"/>
      <c r="AK23" s="420"/>
      <c r="AL23" s="420"/>
    </row>
    <row r="24" spans="1:38">
      <c r="C24" s="30" t="s">
        <v>110</v>
      </c>
      <c r="O24" s="421">
        <f>+'Dir info'!O9</f>
        <v>0</v>
      </c>
      <c r="P24" s="421"/>
      <c r="Q24" s="421"/>
      <c r="R24" s="421"/>
      <c r="S24" s="420"/>
      <c r="T24" s="420"/>
      <c r="U24" s="420"/>
      <c r="V24" s="420"/>
      <c r="W24" s="420"/>
      <c r="X24" s="420"/>
      <c r="Y24" s="420"/>
      <c r="Z24" s="420"/>
      <c r="AA24" s="420"/>
      <c r="AB24" s="420"/>
      <c r="AC24" s="420"/>
      <c r="AD24" s="420"/>
      <c r="AE24" s="420"/>
      <c r="AF24" s="420"/>
      <c r="AG24" s="420"/>
      <c r="AH24" s="420"/>
      <c r="AI24" s="420"/>
      <c r="AJ24" s="420"/>
      <c r="AK24" s="420"/>
      <c r="AL24" s="420"/>
    </row>
    <row r="25" spans="1:38">
      <c r="C25" s="30" t="s">
        <v>111</v>
      </c>
      <c r="O25" s="420"/>
      <c r="P25" s="420"/>
      <c r="Q25" s="420"/>
      <c r="R25" s="420"/>
      <c r="S25" s="420"/>
      <c r="T25" s="420"/>
      <c r="U25" s="420"/>
      <c r="V25" s="420"/>
      <c r="W25" s="420"/>
      <c r="X25" s="420"/>
      <c r="Y25" s="420"/>
      <c r="Z25" s="420"/>
      <c r="AA25" s="420"/>
      <c r="AB25" s="420"/>
      <c r="AC25" s="420"/>
      <c r="AD25" s="420"/>
      <c r="AE25" s="420"/>
      <c r="AF25" s="420"/>
      <c r="AG25" s="420"/>
      <c r="AH25" s="420"/>
      <c r="AI25" s="420"/>
      <c r="AJ25" s="420"/>
      <c r="AK25" s="420"/>
      <c r="AL25" s="420"/>
    </row>
    <row r="26" spans="1:38">
      <c r="C26" s="30" t="s">
        <v>112</v>
      </c>
      <c r="O26" s="420"/>
      <c r="P26" s="420"/>
      <c r="Q26" s="420"/>
      <c r="R26" s="420"/>
      <c r="S26" s="420"/>
      <c r="T26" s="420"/>
      <c r="U26" s="420"/>
      <c r="V26" s="420"/>
      <c r="W26" s="420"/>
      <c r="X26" s="420"/>
      <c r="Y26" s="420"/>
      <c r="Z26" s="420"/>
      <c r="AA26" s="420"/>
      <c r="AB26" s="420"/>
      <c r="AC26" s="420"/>
      <c r="AD26" s="420"/>
      <c r="AE26" s="420"/>
      <c r="AF26" s="420"/>
      <c r="AG26" s="420"/>
      <c r="AH26" s="420"/>
      <c r="AI26" s="420"/>
      <c r="AJ26" s="420"/>
      <c r="AK26" s="420"/>
      <c r="AL26" s="420"/>
    </row>
    <row r="27" spans="1:38">
      <c r="C27" s="30" t="s">
        <v>113</v>
      </c>
      <c r="O27" s="420"/>
      <c r="P27" s="420"/>
      <c r="Q27" s="420"/>
      <c r="R27" s="420"/>
      <c r="S27" s="420"/>
      <c r="T27" s="420"/>
      <c r="U27" s="420"/>
      <c r="V27" s="420"/>
      <c r="W27" s="420"/>
      <c r="X27" s="420"/>
      <c r="Y27" s="420"/>
      <c r="Z27" s="420"/>
      <c r="AA27" s="420"/>
      <c r="AB27" s="420"/>
      <c r="AC27" s="420"/>
      <c r="AD27" s="420"/>
      <c r="AE27" s="420"/>
      <c r="AF27" s="420"/>
      <c r="AG27" s="420"/>
      <c r="AH27" s="420"/>
      <c r="AI27" s="420"/>
      <c r="AJ27" s="420"/>
      <c r="AK27" s="420"/>
      <c r="AL27" s="420"/>
    </row>
    <row r="28" spans="1:38">
      <c r="D28" s="30" t="s">
        <v>114</v>
      </c>
      <c r="O28" s="420"/>
      <c r="P28" s="420"/>
      <c r="Q28" s="420"/>
      <c r="R28" s="420"/>
      <c r="S28" s="420"/>
      <c r="T28" s="420"/>
      <c r="U28" s="420"/>
      <c r="V28" s="420"/>
      <c r="W28" s="420"/>
      <c r="X28" s="420"/>
      <c r="Y28" s="420"/>
      <c r="Z28" s="420"/>
      <c r="AA28" s="420"/>
      <c r="AB28" s="420"/>
      <c r="AC28" s="420"/>
      <c r="AD28" s="420"/>
      <c r="AE28" s="420"/>
      <c r="AF28" s="420"/>
      <c r="AG28" s="420"/>
      <c r="AH28" s="420"/>
      <c r="AI28" s="420"/>
      <c r="AJ28" s="420"/>
      <c r="AK28" s="420"/>
      <c r="AL28" s="420"/>
    </row>
    <row r="29" spans="1:38">
      <c r="C29" s="30" t="s">
        <v>115</v>
      </c>
      <c r="O29" s="420"/>
      <c r="P29" s="420"/>
      <c r="Q29" s="420"/>
      <c r="R29" s="420"/>
      <c r="S29" s="420"/>
      <c r="T29" s="420"/>
      <c r="U29" s="420"/>
      <c r="V29" s="420"/>
      <c r="W29" s="420"/>
      <c r="X29" s="420"/>
      <c r="Y29" s="420"/>
      <c r="Z29" s="420"/>
      <c r="AA29" s="420"/>
      <c r="AB29" s="420"/>
      <c r="AC29" s="420"/>
      <c r="AD29" s="420"/>
      <c r="AE29" s="420"/>
      <c r="AF29" s="420"/>
      <c r="AG29" s="420"/>
      <c r="AH29" s="420"/>
      <c r="AI29" s="420"/>
      <c r="AJ29" s="420"/>
      <c r="AK29" s="420"/>
      <c r="AL29" s="420"/>
    </row>
    <row r="30" spans="1:38">
      <c r="C30" s="30" t="s">
        <v>116</v>
      </c>
      <c r="O30" s="424"/>
      <c r="P30" s="425"/>
      <c r="Q30" s="425"/>
      <c r="R30" s="426"/>
      <c r="S30" s="420"/>
      <c r="T30" s="420"/>
      <c r="U30" s="420"/>
      <c r="V30" s="420"/>
      <c r="W30" s="420"/>
      <c r="X30" s="420"/>
      <c r="Y30" s="420"/>
      <c r="Z30" s="420"/>
      <c r="AA30" s="420"/>
      <c r="AB30" s="420"/>
      <c r="AC30" s="420"/>
      <c r="AD30" s="420"/>
      <c r="AE30" s="420"/>
      <c r="AF30" s="420"/>
      <c r="AG30" s="420"/>
      <c r="AH30" s="420"/>
      <c r="AI30" s="420"/>
      <c r="AJ30" s="420"/>
      <c r="AK30" s="420"/>
      <c r="AL30" s="420"/>
    </row>
    <row r="31" spans="1:38">
      <c r="D31" s="30" t="s">
        <v>117</v>
      </c>
      <c r="O31" s="427"/>
      <c r="P31" s="428"/>
      <c r="Q31" s="428"/>
      <c r="R31" s="429"/>
      <c r="S31" s="420"/>
      <c r="T31" s="420"/>
      <c r="U31" s="420"/>
      <c r="V31" s="420"/>
      <c r="W31" s="420"/>
      <c r="X31" s="420"/>
      <c r="Y31" s="420"/>
      <c r="Z31" s="420"/>
      <c r="AA31" s="420"/>
      <c r="AB31" s="420"/>
      <c r="AC31" s="420"/>
      <c r="AD31" s="420"/>
      <c r="AE31" s="420"/>
      <c r="AF31" s="420"/>
      <c r="AG31" s="420"/>
      <c r="AH31" s="420"/>
      <c r="AI31" s="420"/>
      <c r="AJ31" s="420"/>
      <c r="AK31" s="420"/>
      <c r="AL31" s="420"/>
    </row>
    <row r="32" spans="1:38">
      <c r="D32" s="30" t="s">
        <v>118</v>
      </c>
      <c r="E32" s="30" t="s">
        <v>119</v>
      </c>
      <c r="O32" s="430"/>
      <c r="P32" s="431"/>
      <c r="Q32" s="431"/>
      <c r="R32" s="432"/>
      <c r="S32" s="420"/>
      <c r="T32" s="420"/>
      <c r="U32" s="420"/>
      <c r="V32" s="420"/>
      <c r="W32" s="420"/>
      <c r="X32" s="420"/>
      <c r="Y32" s="420"/>
      <c r="Z32" s="420"/>
      <c r="AA32" s="420"/>
      <c r="AB32" s="420"/>
      <c r="AC32" s="420"/>
      <c r="AD32" s="420"/>
      <c r="AE32" s="420"/>
      <c r="AF32" s="420"/>
      <c r="AG32" s="420"/>
      <c r="AH32" s="420"/>
      <c r="AI32" s="420"/>
      <c r="AJ32" s="420"/>
      <c r="AK32" s="420"/>
      <c r="AL32" s="420"/>
    </row>
    <row r="33" spans="2:43">
      <c r="O33" s="423"/>
      <c r="P33" s="423"/>
      <c r="Q33" s="423"/>
      <c r="R33" s="423"/>
      <c r="S33" s="420"/>
      <c r="T33" s="420"/>
      <c r="U33" s="420"/>
      <c r="V33" s="420"/>
      <c r="W33" s="420"/>
      <c r="X33" s="420"/>
      <c r="Y33" s="420"/>
      <c r="Z33" s="420"/>
      <c r="AA33" s="420"/>
      <c r="AB33" s="420"/>
      <c r="AC33" s="420"/>
      <c r="AD33" s="420"/>
      <c r="AE33" s="420"/>
      <c r="AF33" s="420"/>
      <c r="AG33" s="420"/>
      <c r="AH33" s="420"/>
      <c r="AI33" s="420"/>
      <c r="AJ33" s="420"/>
      <c r="AK33" s="420"/>
      <c r="AL33" s="420"/>
    </row>
    <row r="34" spans="2:43">
      <c r="O34" s="420"/>
      <c r="P34" s="420"/>
      <c r="Q34" s="420"/>
      <c r="R34" s="420"/>
      <c r="S34" s="420"/>
      <c r="T34" s="420"/>
      <c r="U34" s="420"/>
      <c r="V34" s="420"/>
      <c r="W34" s="420"/>
      <c r="X34" s="420"/>
      <c r="Y34" s="420"/>
      <c r="Z34" s="420"/>
      <c r="AA34" s="420"/>
      <c r="AB34" s="420"/>
      <c r="AC34" s="420"/>
      <c r="AD34" s="420"/>
      <c r="AE34" s="420"/>
      <c r="AF34" s="420"/>
      <c r="AG34" s="420"/>
      <c r="AH34" s="420"/>
      <c r="AI34" s="420"/>
      <c r="AJ34" s="420"/>
      <c r="AK34" s="420"/>
      <c r="AL34" s="420"/>
    </row>
    <row r="35" spans="2:43">
      <c r="B35" s="33" t="s">
        <v>120</v>
      </c>
      <c r="C35" s="30" t="s">
        <v>121</v>
      </c>
      <c r="O35" s="420"/>
      <c r="P35" s="420"/>
      <c r="Q35" s="420"/>
      <c r="R35" s="420"/>
      <c r="S35" s="420"/>
      <c r="T35" s="420"/>
      <c r="U35" s="420"/>
      <c r="V35" s="420"/>
      <c r="W35" s="420"/>
      <c r="X35" s="420"/>
      <c r="Y35" s="420"/>
      <c r="Z35" s="420"/>
      <c r="AA35" s="420"/>
      <c r="AB35" s="420"/>
      <c r="AC35" s="420"/>
      <c r="AD35" s="420"/>
      <c r="AE35" s="420"/>
      <c r="AF35" s="420"/>
      <c r="AG35" s="420"/>
      <c r="AH35" s="420"/>
      <c r="AI35" s="420"/>
      <c r="AJ35" s="420"/>
      <c r="AK35" s="420"/>
      <c r="AL35" s="420"/>
    </row>
    <row r="36" spans="2:43">
      <c r="C36" s="30" t="s">
        <v>122</v>
      </c>
      <c r="O36" s="420"/>
      <c r="P36" s="420"/>
      <c r="Q36" s="420"/>
      <c r="R36" s="420"/>
      <c r="S36" s="420"/>
      <c r="T36" s="420"/>
      <c r="U36" s="420"/>
      <c r="V36" s="420"/>
      <c r="W36" s="420"/>
      <c r="X36" s="420"/>
      <c r="Y36" s="420"/>
      <c r="Z36" s="420"/>
      <c r="AA36" s="420"/>
      <c r="AB36" s="420"/>
      <c r="AC36" s="420"/>
      <c r="AD36" s="420"/>
      <c r="AE36" s="420"/>
      <c r="AF36" s="420"/>
      <c r="AG36" s="420"/>
      <c r="AH36" s="420"/>
      <c r="AI36" s="420"/>
      <c r="AJ36" s="420"/>
      <c r="AK36" s="420"/>
      <c r="AL36" s="420"/>
    </row>
    <row r="37" spans="2:43">
      <c r="D37" s="30" t="s">
        <v>123</v>
      </c>
      <c r="O37" s="420"/>
      <c r="P37" s="420"/>
      <c r="Q37" s="420"/>
      <c r="R37" s="420"/>
      <c r="S37" s="420"/>
      <c r="T37" s="420"/>
      <c r="U37" s="420"/>
      <c r="V37" s="420"/>
      <c r="W37" s="420"/>
      <c r="X37" s="420"/>
      <c r="Y37" s="420"/>
      <c r="Z37" s="420"/>
      <c r="AA37" s="420"/>
      <c r="AB37" s="420"/>
      <c r="AC37" s="420"/>
      <c r="AD37" s="420"/>
      <c r="AE37" s="420"/>
      <c r="AF37" s="420"/>
      <c r="AG37" s="420"/>
      <c r="AH37" s="420"/>
      <c r="AI37" s="420"/>
      <c r="AJ37" s="420"/>
      <c r="AK37" s="420"/>
      <c r="AL37" s="420"/>
    </row>
    <row r="38" spans="2:43">
      <c r="D38" s="30" t="s">
        <v>124</v>
      </c>
      <c r="O38" s="420"/>
      <c r="P38" s="420"/>
      <c r="Q38" s="420"/>
      <c r="R38" s="420"/>
      <c r="S38" s="420"/>
      <c r="T38" s="420"/>
      <c r="U38" s="420"/>
      <c r="V38" s="420"/>
      <c r="W38" s="420"/>
      <c r="X38" s="420"/>
      <c r="Y38" s="420"/>
      <c r="Z38" s="420"/>
      <c r="AA38" s="420"/>
      <c r="AB38" s="420"/>
      <c r="AC38" s="420"/>
      <c r="AD38" s="420"/>
      <c r="AE38" s="420"/>
      <c r="AF38" s="420"/>
      <c r="AG38" s="420"/>
      <c r="AH38" s="420"/>
      <c r="AI38" s="420"/>
      <c r="AJ38" s="420"/>
      <c r="AK38" s="420"/>
      <c r="AL38" s="420"/>
    </row>
    <row r="39" spans="2:43">
      <c r="D39" s="30" t="s">
        <v>125</v>
      </c>
      <c r="O39" s="420"/>
      <c r="P39" s="420"/>
      <c r="Q39" s="420"/>
      <c r="R39" s="420"/>
      <c r="S39" s="420"/>
      <c r="T39" s="420"/>
      <c r="U39" s="420"/>
      <c r="V39" s="420"/>
      <c r="W39" s="420"/>
      <c r="X39" s="420"/>
      <c r="Y39" s="420"/>
      <c r="Z39" s="420"/>
      <c r="AA39" s="420"/>
      <c r="AB39" s="420"/>
      <c r="AC39" s="420"/>
      <c r="AD39" s="420"/>
      <c r="AE39" s="420"/>
      <c r="AF39" s="420"/>
      <c r="AG39" s="420"/>
      <c r="AH39" s="420"/>
      <c r="AI39" s="420"/>
      <c r="AJ39" s="420"/>
      <c r="AK39" s="420"/>
      <c r="AL39" s="420"/>
    </row>
    <row r="40" spans="2:43">
      <c r="C40" s="30" t="s">
        <v>126</v>
      </c>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20"/>
      <c r="AL40" s="420"/>
    </row>
    <row r="41" spans="2:43">
      <c r="C41" s="30" t="s">
        <v>127</v>
      </c>
      <c r="O41" s="420"/>
      <c r="P41" s="420"/>
      <c r="Q41" s="420"/>
      <c r="R41" s="420"/>
      <c r="S41" s="420"/>
      <c r="T41" s="420"/>
      <c r="U41" s="420"/>
      <c r="V41" s="420"/>
      <c r="W41" s="420"/>
      <c r="X41" s="420"/>
      <c r="Y41" s="420"/>
      <c r="Z41" s="420"/>
      <c r="AA41" s="420"/>
      <c r="AB41" s="420"/>
      <c r="AC41" s="420"/>
      <c r="AD41" s="420"/>
      <c r="AE41" s="420"/>
      <c r="AF41" s="420"/>
      <c r="AG41" s="420"/>
      <c r="AH41" s="420"/>
      <c r="AI41" s="420"/>
      <c r="AJ41" s="420"/>
      <c r="AK41" s="420"/>
      <c r="AL41" s="420"/>
    </row>
    <row r="42" spans="2:43">
      <c r="B42" s="33" t="s">
        <v>128</v>
      </c>
      <c r="C42" s="30" t="s">
        <v>129</v>
      </c>
      <c r="O42" s="420"/>
      <c r="P42" s="420"/>
      <c r="Q42" s="420"/>
      <c r="R42" s="420"/>
      <c r="S42" s="420"/>
      <c r="T42" s="420"/>
      <c r="U42" s="420"/>
      <c r="V42" s="420"/>
      <c r="W42" s="420"/>
      <c r="X42" s="420"/>
      <c r="Y42" s="420"/>
      <c r="Z42" s="420"/>
      <c r="AA42" s="420"/>
      <c r="AB42" s="420"/>
      <c r="AC42" s="420"/>
      <c r="AD42" s="420"/>
      <c r="AE42" s="420"/>
      <c r="AF42" s="420"/>
      <c r="AG42" s="420"/>
      <c r="AH42" s="420"/>
      <c r="AI42" s="420"/>
      <c r="AJ42" s="420"/>
      <c r="AK42" s="420"/>
      <c r="AL42" s="420"/>
    </row>
    <row r="43" spans="2:43">
      <c r="C43" s="30" t="s">
        <v>126</v>
      </c>
      <c r="O43" s="420"/>
      <c r="P43" s="420"/>
      <c r="Q43" s="420"/>
      <c r="R43" s="420"/>
      <c r="S43" s="420"/>
      <c r="T43" s="420"/>
      <c r="U43" s="420"/>
      <c r="V43" s="420"/>
      <c r="W43" s="420"/>
      <c r="X43" s="420"/>
      <c r="Y43" s="420"/>
      <c r="Z43" s="420"/>
      <c r="AA43" s="420"/>
      <c r="AB43" s="420"/>
      <c r="AC43" s="420"/>
      <c r="AD43" s="420"/>
      <c r="AE43" s="420"/>
      <c r="AF43" s="420"/>
      <c r="AG43" s="420"/>
      <c r="AH43" s="420"/>
      <c r="AI43" s="420"/>
      <c r="AJ43" s="420"/>
      <c r="AK43" s="420"/>
      <c r="AL43" s="420"/>
    </row>
    <row r="44" spans="2:43">
      <c r="C44" s="30" t="s">
        <v>127</v>
      </c>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row>
    <row r="45" spans="2:43">
      <c r="B45" s="30" t="e">
        <f>+#REF!</f>
        <v>#REF!</v>
      </c>
      <c r="O45" s="436" t="str">
        <f>IF(SUM(O23:O44)&gt;0,SUM(O23:O44),"NIL")</f>
        <v>NIL</v>
      </c>
      <c r="P45" s="437"/>
      <c r="Q45" s="437"/>
      <c r="R45" s="437"/>
      <c r="S45" s="437"/>
      <c r="T45" s="437"/>
      <c r="U45" s="437"/>
      <c r="V45" s="438"/>
      <c r="W45" s="417" t="s">
        <v>130</v>
      </c>
      <c r="X45" s="418"/>
      <c r="Y45" s="418"/>
      <c r="Z45" s="418"/>
      <c r="AA45" s="418"/>
      <c r="AB45" s="418"/>
      <c r="AC45" s="418"/>
      <c r="AD45" s="419"/>
      <c r="AE45" s="417" t="s">
        <v>130</v>
      </c>
      <c r="AF45" s="418"/>
      <c r="AG45" s="418"/>
      <c r="AH45" s="418"/>
      <c r="AI45" s="418"/>
      <c r="AJ45" s="418"/>
      <c r="AK45" s="418"/>
      <c r="AL45" s="419"/>
      <c r="AQ45" s="34"/>
    </row>
    <row r="47" spans="2:43">
      <c r="O47" s="404" t="s">
        <v>131</v>
      </c>
      <c r="P47" s="405"/>
      <c r="Q47" s="405"/>
      <c r="R47" s="405"/>
      <c r="S47" s="405"/>
      <c r="T47" s="405"/>
      <c r="U47" s="405"/>
      <c r="V47" s="405"/>
      <c r="W47" s="405"/>
      <c r="X47" s="405"/>
      <c r="Y47" s="405"/>
      <c r="Z47" s="406"/>
      <c r="AA47" s="412" t="s">
        <v>132</v>
      </c>
      <c r="AB47" s="410"/>
      <c r="AC47" s="410"/>
      <c r="AD47" s="410"/>
      <c r="AE47" s="410"/>
      <c r="AF47" s="410"/>
      <c r="AG47" s="410"/>
      <c r="AH47" s="410"/>
      <c r="AI47" s="410"/>
      <c r="AJ47" s="410"/>
      <c r="AK47" s="410"/>
      <c r="AL47" s="413"/>
    </row>
    <row r="48" spans="2:43">
      <c r="O48" s="407"/>
      <c r="P48" s="408"/>
      <c r="Q48" s="408"/>
      <c r="R48" s="408"/>
      <c r="S48" s="408"/>
      <c r="T48" s="408"/>
      <c r="U48" s="408"/>
      <c r="V48" s="408"/>
      <c r="W48" s="408"/>
      <c r="X48" s="408"/>
      <c r="Y48" s="408"/>
      <c r="Z48" s="409"/>
      <c r="AA48" s="414"/>
      <c r="AB48" s="411"/>
      <c r="AC48" s="411"/>
      <c r="AD48" s="411"/>
      <c r="AE48" s="411"/>
      <c r="AF48" s="411"/>
      <c r="AG48" s="411"/>
      <c r="AH48" s="411"/>
      <c r="AI48" s="411"/>
      <c r="AJ48" s="411"/>
      <c r="AK48" s="411"/>
      <c r="AL48" s="415"/>
    </row>
    <row r="49" spans="1:38">
      <c r="O49" s="404" t="str">
        <f>+Control!D80</f>
        <v>HK$</v>
      </c>
      <c r="P49" s="405"/>
      <c r="Q49" s="405"/>
      <c r="R49" s="405"/>
      <c r="S49" s="405"/>
      <c r="T49" s="405"/>
      <c r="U49" s="405"/>
      <c r="V49" s="405"/>
      <c r="W49" s="405"/>
      <c r="X49" s="405"/>
      <c r="Y49" s="405"/>
      <c r="Z49" s="406"/>
      <c r="AA49" s="404" t="str">
        <f>+Control!D80</f>
        <v>HK$</v>
      </c>
      <c r="AB49" s="405"/>
      <c r="AC49" s="405"/>
      <c r="AD49" s="405"/>
      <c r="AE49" s="405"/>
      <c r="AF49" s="405"/>
      <c r="AG49" s="405"/>
      <c r="AH49" s="405"/>
      <c r="AI49" s="405"/>
      <c r="AJ49" s="405"/>
      <c r="AK49" s="405"/>
      <c r="AL49" s="406"/>
    </row>
    <row r="50" spans="1:38">
      <c r="A50" s="30" t="s">
        <v>133</v>
      </c>
      <c r="B50" s="30" t="s">
        <v>134</v>
      </c>
      <c r="O50" s="433"/>
      <c r="P50" s="434"/>
      <c r="Q50" s="434"/>
      <c r="R50" s="434"/>
      <c r="S50" s="434"/>
      <c r="T50" s="434"/>
      <c r="U50" s="434"/>
      <c r="V50" s="434"/>
      <c r="W50" s="434"/>
      <c r="X50" s="434"/>
      <c r="Y50" s="434"/>
      <c r="Z50" s="435"/>
      <c r="AA50" s="433"/>
      <c r="AB50" s="434"/>
      <c r="AC50" s="434"/>
      <c r="AD50" s="434"/>
      <c r="AE50" s="434"/>
      <c r="AF50" s="434"/>
      <c r="AG50" s="434"/>
      <c r="AH50" s="434"/>
      <c r="AI50" s="434"/>
      <c r="AJ50" s="434"/>
      <c r="AK50" s="434"/>
      <c r="AL50" s="435"/>
    </row>
    <row r="51" spans="1:38">
      <c r="B51" s="30" t="s">
        <v>135</v>
      </c>
      <c r="O51" s="407"/>
      <c r="P51" s="408"/>
      <c r="Q51" s="408"/>
      <c r="R51" s="408"/>
      <c r="S51" s="408"/>
      <c r="T51" s="408"/>
      <c r="U51" s="408"/>
      <c r="V51" s="408"/>
      <c r="W51" s="408"/>
      <c r="X51" s="408"/>
      <c r="Y51" s="408"/>
      <c r="Z51" s="409"/>
      <c r="AA51" s="407"/>
      <c r="AB51" s="408"/>
      <c r="AC51" s="408"/>
      <c r="AD51" s="408"/>
      <c r="AE51" s="408"/>
      <c r="AF51" s="408"/>
      <c r="AG51" s="408"/>
      <c r="AH51" s="408"/>
      <c r="AI51" s="408"/>
      <c r="AJ51" s="408"/>
      <c r="AK51" s="408"/>
      <c r="AL51" s="409"/>
    </row>
    <row r="52" spans="1:38">
      <c r="B52" s="30" t="s">
        <v>136</v>
      </c>
      <c r="O52" s="417"/>
      <c r="P52" s="418"/>
      <c r="Q52" s="418"/>
      <c r="R52" s="418"/>
      <c r="S52" s="418"/>
      <c r="T52" s="418"/>
      <c r="U52" s="418"/>
      <c r="V52" s="418"/>
      <c r="W52" s="418"/>
      <c r="X52" s="418"/>
      <c r="Y52" s="418"/>
      <c r="Z52" s="419"/>
      <c r="AA52" s="417"/>
      <c r="AB52" s="418"/>
      <c r="AC52" s="418"/>
      <c r="AD52" s="418"/>
      <c r="AE52" s="418"/>
      <c r="AF52" s="418"/>
      <c r="AG52" s="418"/>
      <c r="AH52" s="418"/>
      <c r="AI52" s="418"/>
      <c r="AJ52" s="418"/>
      <c r="AK52" s="418"/>
      <c r="AL52" s="419"/>
    </row>
    <row r="53" spans="1:38">
      <c r="B53" s="30" t="s">
        <v>137</v>
      </c>
      <c r="O53" s="404"/>
      <c r="P53" s="405"/>
      <c r="Q53" s="405"/>
      <c r="R53" s="405"/>
      <c r="S53" s="405"/>
      <c r="T53" s="405"/>
      <c r="U53" s="405"/>
      <c r="V53" s="405"/>
      <c r="W53" s="405"/>
      <c r="X53" s="405"/>
      <c r="Y53" s="405"/>
      <c r="Z53" s="406"/>
      <c r="AA53" s="404"/>
      <c r="AB53" s="405"/>
      <c r="AC53" s="405"/>
      <c r="AD53" s="405"/>
      <c r="AE53" s="405"/>
      <c r="AF53" s="405"/>
      <c r="AG53" s="405"/>
      <c r="AH53" s="405"/>
      <c r="AI53" s="405"/>
      <c r="AJ53" s="405"/>
      <c r="AK53" s="405"/>
      <c r="AL53" s="406"/>
    </row>
    <row r="54" spans="1:38">
      <c r="D54" s="30" t="s">
        <v>138</v>
      </c>
      <c r="O54" s="407"/>
      <c r="P54" s="408"/>
      <c r="Q54" s="408"/>
      <c r="R54" s="408"/>
      <c r="S54" s="408"/>
      <c r="T54" s="408"/>
      <c r="U54" s="408"/>
      <c r="V54" s="408"/>
      <c r="W54" s="408"/>
      <c r="X54" s="408"/>
      <c r="Y54" s="408"/>
      <c r="Z54" s="409"/>
      <c r="AA54" s="407"/>
      <c r="AB54" s="408"/>
      <c r="AC54" s="408"/>
      <c r="AD54" s="408"/>
      <c r="AE54" s="408"/>
      <c r="AF54" s="408"/>
      <c r="AG54" s="408"/>
      <c r="AH54" s="408"/>
      <c r="AI54" s="408"/>
      <c r="AJ54" s="408"/>
      <c r="AK54" s="408"/>
      <c r="AL54" s="409"/>
    </row>
    <row r="55" spans="1:38">
      <c r="B55" s="30" t="e">
        <f>+#REF!</f>
        <v>#REF!</v>
      </c>
      <c r="O55" s="417" t="s">
        <v>130</v>
      </c>
      <c r="P55" s="418"/>
      <c r="Q55" s="418"/>
      <c r="R55" s="418"/>
      <c r="S55" s="418"/>
      <c r="T55" s="418"/>
      <c r="U55" s="418"/>
      <c r="V55" s="418"/>
      <c r="W55" s="418"/>
      <c r="X55" s="418"/>
      <c r="Y55" s="418"/>
      <c r="Z55" s="419"/>
      <c r="AA55" s="417" t="s">
        <v>130</v>
      </c>
      <c r="AB55" s="418"/>
      <c r="AC55" s="418"/>
      <c r="AD55" s="418"/>
      <c r="AE55" s="418"/>
      <c r="AF55" s="418"/>
      <c r="AG55" s="418"/>
      <c r="AH55" s="418"/>
      <c r="AI55" s="418"/>
      <c r="AJ55" s="418"/>
      <c r="AK55" s="418"/>
      <c r="AL55" s="419"/>
    </row>
    <row r="60" spans="1:38">
      <c r="O60" s="30" t="s">
        <v>139</v>
      </c>
      <c r="Q60" s="36"/>
      <c r="R60" s="36"/>
      <c r="S60" s="36"/>
      <c r="T60" s="36"/>
      <c r="U60" s="36"/>
      <c r="V60" s="36"/>
      <c r="W60" s="36"/>
      <c r="X60" s="36"/>
      <c r="Y60" s="36"/>
      <c r="Z60" s="36"/>
      <c r="AA60" s="36"/>
      <c r="AB60" s="36"/>
      <c r="AC60" s="36"/>
      <c r="AD60" s="36"/>
      <c r="AE60" s="36"/>
      <c r="AF60" s="36"/>
      <c r="AG60" s="36"/>
      <c r="AH60" s="36"/>
      <c r="AI60" s="36"/>
      <c r="AJ60" s="36"/>
      <c r="AK60" s="36"/>
      <c r="AL60" s="36"/>
    </row>
    <row r="62" spans="1:38">
      <c r="O62" s="30" t="s">
        <v>140</v>
      </c>
      <c r="Q62" s="36"/>
      <c r="R62" s="36"/>
      <c r="S62" s="36"/>
      <c r="T62" s="36"/>
      <c r="U62" s="36"/>
      <c r="V62" s="36"/>
      <c r="W62" s="36"/>
      <c r="X62" s="36"/>
      <c r="Y62" s="36"/>
      <c r="Z62" s="36"/>
      <c r="AA62" s="36"/>
      <c r="AB62" s="36"/>
      <c r="AC62" s="36"/>
      <c r="AD62" s="36"/>
      <c r="AE62" s="36"/>
      <c r="AF62" s="36"/>
      <c r="AG62" s="36"/>
      <c r="AH62" s="36"/>
      <c r="AI62" s="36"/>
      <c r="AJ62" s="36"/>
      <c r="AK62" s="36"/>
      <c r="AL62" s="36"/>
    </row>
    <row r="68" spans="2:4">
      <c r="B68" s="30" t="s">
        <v>141</v>
      </c>
    </row>
    <row r="69" spans="2:4">
      <c r="B69" s="30" t="str">
        <f>+IF(D72&lt;0,"161","383")</f>
        <v>161</v>
      </c>
    </row>
    <row r="70" spans="2:4">
      <c r="B70" s="30" t="s">
        <v>142</v>
      </c>
    </row>
    <row r="72" spans="2:4">
      <c r="B72" s="87">
        <v>41701</v>
      </c>
      <c r="D72" s="88">
        <f>+Control!D11-B72</f>
        <v>-75</v>
      </c>
    </row>
    <row r="76" spans="2:4">
      <c r="B76" s="30" t="s">
        <v>143</v>
      </c>
    </row>
    <row r="77" spans="2:4">
      <c r="B77" s="30" t="str">
        <f>+IF(D72&lt;0,"161B","383")</f>
        <v>161B</v>
      </c>
    </row>
    <row r="78" spans="2:4">
      <c r="B78" s="30" t="s">
        <v>144</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1" type="noConversion"/>
  <pageMargins left="0.51181102362204722" right="0.31496062992125984" top="0.74803149606299213" bottom="0.74803149606299213" header="0.31496062992125984" footer="0.31496062992125984"/>
  <pageSetup paperSize="9" scale="9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39"/>
  <dimension ref="A1:O49"/>
  <sheetViews>
    <sheetView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440" t="s">
        <v>146</v>
      </c>
      <c r="B1" s="440"/>
      <c r="C1" s="440"/>
      <c r="D1" s="440"/>
      <c r="E1" s="41"/>
    </row>
    <row r="2" spans="1:6">
      <c r="A2" s="441" t="s">
        <v>147</v>
      </c>
      <c r="B2" s="441"/>
      <c r="C2" s="441"/>
      <c r="D2" s="441"/>
      <c r="E2" s="42"/>
    </row>
    <row r="3" spans="1:6">
      <c r="A3" s="1"/>
    </row>
    <row r="4" spans="1:6">
      <c r="A4" s="127" t="s">
        <v>148</v>
      </c>
      <c r="B4" s="127"/>
      <c r="C4" s="442">
        <f>+'Dir info'!C6</f>
        <v>0</v>
      </c>
      <c r="D4" s="442"/>
      <c r="E4" s="44"/>
    </row>
    <row r="5" spans="1:6">
      <c r="A5" s="1"/>
    </row>
    <row r="6" spans="1:6">
      <c r="A6" s="3" t="s">
        <v>149</v>
      </c>
      <c r="B6" s="3"/>
      <c r="C6" s="443" t="str">
        <f>+Control!D3</f>
        <v>MOP ENTERTAINMENT LIMITED</v>
      </c>
      <c r="D6" s="443"/>
      <c r="E6" s="45"/>
    </row>
    <row r="7" spans="1:6">
      <c r="A7" s="3"/>
      <c r="B7" s="3"/>
      <c r="C7" s="444"/>
      <c r="D7" s="444"/>
      <c r="E7" s="45"/>
    </row>
    <row r="8" spans="1:6">
      <c r="A8" s="1"/>
    </row>
    <row r="9" spans="1:6">
      <c r="A9" s="3" t="s">
        <v>150</v>
      </c>
      <c r="B9" s="3"/>
      <c r="C9" s="442" t="s">
        <v>245</v>
      </c>
      <c r="D9" s="442"/>
      <c r="E9" s="44"/>
    </row>
    <row r="10" spans="1:6">
      <c r="A10" s="1"/>
    </row>
    <row r="11" spans="1:6">
      <c r="A11" s="439" t="str">
        <f>+CONCATENATE(F14,Control!E8,F16,'Audit conf. (3)'!F15)</f>
        <v>In the course of our regular examination of the account of the above company for the  ended</v>
      </c>
      <c r="B11" s="439"/>
      <c r="C11" s="439"/>
      <c r="D11" s="439"/>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46" t="str">
        <f>+Control!D100</f>
        <v>Unsecured, interest free and repayable on demand</v>
      </c>
      <c r="E21" s="51"/>
    </row>
    <row r="22" spans="1:6">
      <c r="A22" s="7" t="s">
        <v>43</v>
      </c>
      <c r="B22" s="6" t="s">
        <v>164</v>
      </c>
      <c r="C22" s="25">
        <f>+'Dir info'!K6</f>
        <v>0</v>
      </c>
      <c r="D22" s="446"/>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47" t="s">
        <v>170</v>
      </c>
      <c r="B35" s="447"/>
      <c r="C35" s="447"/>
      <c r="D35" s="447"/>
      <c r="E35" s="44"/>
    </row>
    <row r="36" spans="1:15">
      <c r="A36" s="1"/>
    </row>
    <row r="37" spans="1:15">
      <c r="A37" s="439" t="s">
        <v>171</v>
      </c>
      <c r="B37" s="439"/>
      <c r="C37" s="439"/>
      <c r="D37" s="439"/>
      <c r="E37" s="46"/>
    </row>
    <row r="38" spans="1:15">
      <c r="A38" s="445" t="s">
        <v>172</v>
      </c>
      <c r="B38" s="445"/>
      <c r="C38" s="445"/>
      <c r="D38" s="445"/>
      <c r="E38" s="56"/>
    </row>
    <row r="39" spans="1:15" ht="9" customHeight="1">
      <c r="A39" s="127"/>
      <c r="B39" s="127"/>
      <c r="C39" s="127"/>
      <c r="D39" s="127"/>
      <c r="E39" s="56"/>
    </row>
    <row r="40" spans="1:15">
      <c r="A40" s="439" t="s">
        <v>173</v>
      </c>
      <c r="B40" s="439"/>
      <c r="C40" s="439"/>
      <c r="D40" s="439"/>
      <c r="E40" s="46"/>
    </row>
    <row r="41" spans="1:15">
      <c r="A41" s="1" t="s">
        <v>174</v>
      </c>
    </row>
    <row r="42" spans="1:15" ht="9.75" customHeight="1">
      <c r="A42" s="1"/>
    </row>
    <row r="43" spans="1:15">
      <c r="A43" s="1" t="s">
        <v>175</v>
      </c>
    </row>
    <row r="44" spans="1:15">
      <c r="A44" s="1"/>
    </row>
    <row r="45" spans="1:15">
      <c r="A45" s="1"/>
    </row>
    <row r="46" spans="1:15">
      <c r="A46" s="448" t="str">
        <f>+Control!D148</f>
        <v>Eric K.H. Tang</v>
      </c>
      <c r="B46" s="448"/>
      <c r="C46" s="23" t="s">
        <v>176</v>
      </c>
      <c r="D46" s="24"/>
      <c r="E46" s="57"/>
    </row>
    <row r="47" spans="1:15">
      <c r="A47" s="445" t="str">
        <f>+Control!D149</f>
        <v>Certified Public Accountant (Practising)</v>
      </c>
      <c r="B47" s="445"/>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40"/>
  <dimension ref="A1:O49"/>
  <sheetViews>
    <sheetView topLeftCell="A7"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440" t="s">
        <v>146</v>
      </c>
      <c r="B1" s="440"/>
      <c r="C1" s="440"/>
      <c r="D1" s="440"/>
      <c r="E1" s="41"/>
    </row>
    <row r="2" spans="1:6">
      <c r="A2" s="441" t="s">
        <v>147</v>
      </c>
      <c r="B2" s="441"/>
      <c r="C2" s="441"/>
      <c r="D2" s="441"/>
      <c r="E2" s="42"/>
    </row>
    <row r="3" spans="1:6">
      <c r="A3" s="1"/>
    </row>
    <row r="4" spans="1:6">
      <c r="A4" s="127" t="s">
        <v>148</v>
      </c>
      <c r="B4" s="127"/>
      <c r="C4" s="442">
        <f>+'Dir info'!C7</f>
        <v>0</v>
      </c>
      <c r="D4" s="442"/>
      <c r="E4" s="44"/>
    </row>
    <row r="5" spans="1:6">
      <c r="A5" s="1"/>
    </row>
    <row r="6" spans="1:6">
      <c r="A6" s="3" t="s">
        <v>149</v>
      </c>
      <c r="B6" s="3"/>
      <c r="C6" s="443" t="str">
        <f>+Control!D3</f>
        <v>MOP ENTERTAINMENT LIMITED</v>
      </c>
      <c r="D6" s="443"/>
      <c r="E6" s="45"/>
    </row>
    <row r="7" spans="1:6">
      <c r="A7" s="3"/>
      <c r="B7" s="3"/>
      <c r="C7" s="444"/>
      <c r="D7" s="444"/>
      <c r="E7" s="45"/>
    </row>
    <row r="8" spans="1:6">
      <c r="A8" s="1"/>
    </row>
    <row r="9" spans="1:6">
      <c r="A9" s="3" t="s">
        <v>150</v>
      </c>
      <c r="B9" s="3"/>
      <c r="C9" s="442" t="s">
        <v>245</v>
      </c>
      <c r="D9" s="442"/>
      <c r="E9" s="44"/>
    </row>
    <row r="10" spans="1:6">
      <c r="A10" s="1"/>
    </row>
    <row r="11" spans="1:6">
      <c r="A11" s="439" t="str">
        <f>+CONCATENATE(F14,Control!E8,F16,'Audit conf. (4)'!F15)</f>
        <v>In the course of our regular examination of the account of the above company for the  ended</v>
      </c>
      <c r="B11" s="439"/>
      <c r="C11" s="439"/>
      <c r="D11" s="439"/>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46" t="str">
        <f>+Control!D100</f>
        <v>Unsecured, interest free and repayable on demand</v>
      </c>
      <c r="E21" s="51"/>
    </row>
    <row r="22" spans="1:6">
      <c r="A22" s="7" t="s">
        <v>43</v>
      </c>
      <c r="B22" s="6" t="s">
        <v>164</v>
      </c>
      <c r="C22" s="25">
        <f>+'Dir info'!K7</f>
        <v>0</v>
      </c>
      <c r="D22" s="446"/>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47" t="s">
        <v>170</v>
      </c>
      <c r="B35" s="447"/>
      <c r="C35" s="447"/>
      <c r="D35" s="447"/>
      <c r="E35" s="44"/>
    </row>
    <row r="36" spans="1:15">
      <c r="A36" s="1"/>
    </row>
    <row r="37" spans="1:15">
      <c r="A37" s="439" t="s">
        <v>171</v>
      </c>
      <c r="B37" s="439"/>
      <c r="C37" s="439"/>
      <c r="D37" s="439"/>
      <c r="E37" s="46"/>
    </row>
    <row r="38" spans="1:15">
      <c r="A38" s="445" t="s">
        <v>172</v>
      </c>
      <c r="B38" s="445"/>
      <c r="C38" s="445"/>
      <c r="D38" s="445"/>
      <c r="E38" s="56"/>
    </row>
    <row r="39" spans="1:15" ht="9" customHeight="1">
      <c r="A39" s="127"/>
      <c r="B39" s="127"/>
      <c r="C39" s="127"/>
      <c r="D39" s="127"/>
      <c r="E39" s="56"/>
    </row>
    <row r="40" spans="1:15">
      <c r="A40" s="439" t="s">
        <v>173</v>
      </c>
      <c r="B40" s="439"/>
      <c r="C40" s="439"/>
      <c r="D40" s="439"/>
      <c r="E40" s="46"/>
    </row>
    <row r="41" spans="1:15">
      <c r="A41" s="1" t="s">
        <v>174</v>
      </c>
    </row>
    <row r="42" spans="1:15" ht="9.75" customHeight="1">
      <c r="A42" s="1"/>
    </row>
    <row r="43" spans="1:15">
      <c r="A43" s="1" t="s">
        <v>175</v>
      </c>
    </row>
    <row r="44" spans="1:15">
      <c r="A44" s="1"/>
    </row>
    <row r="45" spans="1:15">
      <c r="A45" s="1"/>
    </row>
    <row r="46" spans="1:15">
      <c r="A46" s="448" t="str">
        <f>+Control!D148</f>
        <v>Eric K.H. Tang</v>
      </c>
      <c r="B46" s="448"/>
      <c r="C46" s="23" t="s">
        <v>176</v>
      </c>
      <c r="D46" s="24"/>
      <c r="E46" s="57"/>
    </row>
    <row r="47" spans="1:15">
      <c r="A47" s="445" t="str">
        <f>+Control!D149</f>
        <v>Certified Public Accountant (Practising)</v>
      </c>
      <c r="B47" s="445"/>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1"/>
  <dimension ref="A1:O49"/>
  <sheetViews>
    <sheetView topLeftCell="A10"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440" t="s">
        <v>146</v>
      </c>
      <c r="B1" s="440"/>
      <c r="C1" s="440"/>
      <c r="D1" s="440"/>
      <c r="E1" s="41"/>
    </row>
    <row r="2" spans="1:6">
      <c r="A2" s="441" t="s">
        <v>147</v>
      </c>
      <c r="B2" s="441"/>
      <c r="C2" s="441"/>
      <c r="D2" s="441"/>
      <c r="E2" s="42"/>
    </row>
    <row r="3" spans="1:6">
      <c r="A3" s="1"/>
    </row>
    <row r="4" spans="1:6">
      <c r="A4" s="127" t="s">
        <v>148</v>
      </c>
      <c r="B4" s="127"/>
      <c r="C4" s="442">
        <f>+'Dir info'!C8</f>
        <v>0</v>
      </c>
      <c r="D4" s="442"/>
      <c r="E4" s="44"/>
    </row>
    <row r="5" spans="1:6">
      <c r="A5" s="1"/>
    </row>
    <row r="6" spans="1:6">
      <c r="A6" s="3" t="s">
        <v>149</v>
      </c>
      <c r="B6" s="3"/>
      <c r="C6" s="443" t="str">
        <f>+Control!D3</f>
        <v>MOP ENTERTAINMENT LIMITED</v>
      </c>
      <c r="D6" s="443"/>
      <c r="E6" s="45"/>
    </row>
    <row r="7" spans="1:6">
      <c r="A7" s="3"/>
      <c r="B7" s="3"/>
      <c r="C7" s="444"/>
      <c r="D7" s="444"/>
      <c r="E7" s="45"/>
    </row>
    <row r="8" spans="1:6">
      <c r="A8" s="1"/>
    </row>
    <row r="9" spans="1:6">
      <c r="A9" s="3" t="s">
        <v>150</v>
      </c>
      <c r="B9" s="3"/>
      <c r="C9" s="442" t="s">
        <v>245</v>
      </c>
      <c r="D9" s="442"/>
      <c r="E9" s="44"/>
    </row>
    <row r="10" spans="1:6">
      <c r="A10" s="1"/>
    </row>
    <row r="11" spans="1:6">
      <c r="A11" s="439" t="str">
        <f>+CONCATENATE(F14,Control!E8,F16,'Audit conf. (5)'!F15)</f>
        <v>In the course of our regular examination of the account of the above company for the  ended</v>
      </c>
      <c r="B11" s="439"/>
      <c r="C11" s="439"/>
      <c r="D11" s="439"/>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46" t="str">
        <f>+Control!D100</f>
        <v>Unsecured, interest free and repayable on demand</v>
      </c>
      <c r="E21" s="51"/>
    </row>
    <row r="22" spans="1:6">
      <c r="A22" s="7" t="s">
        <v>43</v>
      </c>
      <c r="B22" s="6" t="s">
        <v>164</v>
      </c>
      <c r="C22" s="25">
        <f>+'Dir info'!K8</f>
        <v>0</v>
      </c>
      <c r="D22" s="446"/>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47" t="s">
        <v>170</v>
      </c>
      <c r="B35" s="447"/>
      <c r="C35" s="447"/>
      <c r="D35" s="447"/>
      <c r="E35" s="44"/>
    </row>
    <row r="36" spans="1:15">
      <c r="A36" s="1"/>
    </row>
    <row r="37" spans="1:15">
      <c r="A37" s="439" t="s">
        <v>171</v>
      </c>
      <c r="B37" s="439"/>
      <c r="C37" s="439"/>
      <c r="D37" s="439"/>
      <c r="E37" s="46"/>
    </row>
    <row r="38" spans="1:15">
      <c r="A38" s="445" t="s">
        <v>172</v>
      </c>
      <c r="B38" s="445"/>
      <c r="C38" s="445"/>
      <c r="D38" s="445"/>
      <c r="E38" s="56"/>
    </row>
    <row r="39" spans="1:15" ht="9" customHeight="1">
      <c r="A39" s="127"/>
      <c r="B39" s="127"/>
      <c r="C39" s="127"/>
      <c r="D39" s="127"/>
      <c r="E39" s="56"/>
    </row>
    <row r="40" spans="1:15">
      <c r="A40" s="439" t="s">
        <v>173</v>
      </c>
      <c r="B40" s="439"/>
      <c r="C40" s="439"/>
      <c r="D40" s="439"/>
      <c r="E40" s="46"/>
    </row>
    <row r="41" spans="1:15">
      <c r="A41" s="1" t="s">
        <v>174</v>
      </c>
    </row>
    <row r="42" spans="1:15" ht="9.75" customHeight="1">
      <c r="A42" s="1"/>
    </row>
    <row r="43" spans="1:15">
      <c r="A43" s="1" t="s">
        <v>175</v>
      </c>
    </row>
    <row r="44" spans="1:15">
      <c r="A44" s="1"/>
    </row>
    <row r="45" spans="1:15">
      <c r="A45" s="1"/>
    </row>
    <row r="46" spans="1:15">
      <c r="A46" s="448" t="str">
        <f>+Control!D148</f>
        <v>Eric K.H. Tang</v>
      </c>
      <c r="B46" s="448"/>
      <c r="C46" s="23" t="s">
        <v>176</v>
      </c>
      <c r="D46" s="24"/>
      <c r="E46" s="57"/>
    </row>
    <row r="47" spans="1:15">
      <c r="A47" s="445" t="str">
        <f>+Control!D149</f>
        <v>Certified Public Accountant (Practising)</v>
      </c>
      <c r="B47" s="445"/>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42"/>
  <dimension ref="A1:O49"/>
  <sheetViews>
    <sheetView topLeftCell="A7" workbookViewId="0">
      <selection activeCell="F6" sqref="F6"/>
    </sheetView>
  </sheetViews>
  <sheetFormatPr defaultRowHeight="15.75"/>
  <cols>
    <col min="1" max="1" width="17.875" customWidth="1"/>
    <col min="2" max="2" width="21.375" customWidth="1"/>
    <col min="3" max="3" width="18.875" customWidth="1"/>
    <col min="4" max="4" width="20.875" customWidth="1"/>
    <col min="5" max="5" width="10.5" style="43" customWidth="1"/>
  </cols>
  <sheetData>
    <row r="1" spans="1:6">
      <c r="A1" s="440" t="s">
        <v>146</v>
      </c>
      <c r="B1" s="440"/>
      <c r="C1" s="440"/>
      <c r="D1" s="440"/>
      <c r="E1" s="41"/>
    </row>
    <row r="2" spans="1:6">
      <c r="A2" s="441" t="s">
        <v>147</v>
      </c>
      <c r="B2" s="441"/>
      <c r="C2" s="441"/>
      <c r="D2" s="441"/>
      <c r="E2" s="42"/>
    </row>
    <row r="3" spans="1:6">
      <c r="A3" s="1"/>
    </row>
    <row r="4" spans="1:6">
      <c r="A4" s="127" t="s">
        <v>148</v>
      </c>
      <c r="B4" s="127"/>
      <c r="C4" s="442">
        <f>+'Dir info'!C9</f>
        <v>0</v>
      </c>
      <c r="D4" s="442"/>
      <c r="E4" s="44"/>
    </row>
    <row r="5" spans="1:6">
      <c r="A5" s="1"/>
    </row>
    <row r="6" spans="1:6">
      <c r="A6" s="3" t="s">
        <v>149</v>
      </c>
      <c r="B6" s="3"/>
      <c r="C6" s="443" t="str">
        <f>+Control!D3</f>
        <v>MOP ENTERTAINMENT LIMITED</v>
      </c>
      <c r="D6" s="443"/>
      <c r="E6" s="45"/>
    </row>
    <row r="7" spans="1:6">
      <c r="A7" s="3"/>
      <c r="B7" s="3"/>
      <c r="C7" s="444"/>
      <c r="D7" s="444"/>
      <c r="E7" s="45"/>
    </row>
    <row r="8" spans="1:6">
      <c r="A8" s="1"/>
    </row>
    <row r="9" spans="1:6">
      <c r="A9" s="3" t="s">
        <v>150</v>
      </c>
      <c r="B9" s="3"/>
      <c r="C9" s="442" t="s">
        <v>245</v>
      </c>
      <c r="D9" s="442"/>
      <c r="E9" s="44"/>
    </row>
    <row r="10" spans="1:6">
      <c r="A10" s="1"/>
    </row>
    <row r="11" spans="1:6">
      <c r="A11" s="439" t="str">
        <f>+CONCATENATE(F14,Control!E8,F16,'Audit conf. (6)'!F15)</f>
        <v>In the course of our regular examination of the account of the above company for the  ended</v>
      </c>
      <c r="B11" s="439"/>
      <c r="C11" s="439"/>
      <c r="D11" s="439"/>
      <c r="E11" s="46"/>
    </row>
    <row r="12" spans="1:6">
      <c r="A12" s="129">
        <f>+Control!D6</f>
        <v>0</v>
      </c>
      <c r="B12" s="3" t="s">
        <v>151</v>
      </c>
      <c r="C12" s="4"/>
      <c r="D12" s="4"/>
      <c r="E12" s="47"/>
    </row>
    <row r="13" spans="1:6">
      <c r="A13" s="1"/>
    </row>
    <row r="14" spans="1:6">
      <c r="A14" s="1">
        <v>1</v>
      </c>
      <c r="F14" t="s">
        <v>152</v>
      </c>
    </row>
    <row r="15" spans="1:6">
      <c r="A15" s="5"/>
      <c r="B15" s="11"/>
      <c r="C15" s="5"/>
      <c r="D15" s="5" t="s">
        <v>153</v>
      </c>
      <c r="E15" s="48"/>
      <c r="F15" t="s">
        <v>154</v>
      </c>
    </row>
    <row r="16" spans="1:6">
      <c r="A16" s="6"/>
      <c r="B16" s="12" t="s">
        <v>155</v>
      </c>
      <c r="C16" s="6" t="s">
        <v>156</v>
      </c>
      <c r="D16" s="6" t="s">
        <v>157</v>
      </c>
      <c r="E16" s="40"/>
      <c r="F16" s="40" t="s">
        <v>90</v>
      </c>
    </row>
    <row r="17" spans="1:6">
      <c r="A17" s="6" t="s">
        <v>158</v>
      </c>
      <c r="B17" s="13" t="s">
        <v>159</v>
      </c>
      <c r="C17" s="6" t="s">
        <v>160</v>
      </c>
      <c r="D17" s="6" t="s">
        <v>161</v>
      </c>
      <c r="E17" s="48"/>
    </row>
    <row r="18" spans="1:6">
      <c r="A18" s="7"/>
      <c r="B18" s="6" t="s">
        <v>162</v>
      </c>
      <c r="C18" s="19" t="str">
        <f>+IF(C22&gt;=0,F18,F20)</f>
        <v>Due from a director</v>
      </c>
      <c r="D18" s="6" t="s">
        <v>163</v>
      </c>
      <c r="E18" s="48"/>
      <c r="F18" t="s">
        <v>253</v>
      </c>
    </row>
    <row r="19" spans="1:6" ht="6" customHeight="1">
      <c r="A19" s="8"/>
      <c r="B19" s="14"/>
      <c r="C19" s="8"/>
      <c r="D19" s="14"/>
      <c r="E19" s="49"/>
    </row>
    <row r="20" spans="1:6">
      <c r="A20" s="7"/>
      <c r="B20" s="6" t="str">
        <f>+Control!D80</f>
        <v>HK$</v>
      </c>
      <c r="C20" s="16" t="str">
        <f>+Control!D80</f>
        <v>HK$</v>
      </c>
      <c r="D20" s="17"/>
      <c r="E20" s="50"/>
      <c r="F20" t="s">
        <v>254</v>
      </c>
    </row>
    <row r="21" spans="1:6">
      <c r="A21" s="9"/>
      <c r="B21" s="6"/>
      <c r="C21" s="6"/>
      <c r="D21" s="446" t="str">
        <f>+Control!D100</f>
        <v>Unsecured, interest free and repayable on demand</v>
      </c>
      <c r="E21" s="51"/>
    </row>
    <row r="22" spans="1:6">
      <c r="A22" s="7" t="s">
        <v>43</v>
      </c>
      <c r="B22" s="6" t="s">
        <v>164</v>
      </c>
      <c r="C22" s="25">
        <f>+'Dir info'!K9</f>
        <v>0</v>
      </c>
      <c r="D22" s="446"/>
      <c r="E22" s="51"/>
    </row>
    <row r="23" spans="1:6">
      <c r="A23" s="10"/>
      <c r="B23" s="15"/>
      <c r="C23" s="15"/>
      <c r="D23" s="15"/>
      <c r="E23" s="52"/>
    </row>
    <row r="24" spans="1:6">
      <c r="A24" s="1"/>
    </row>
    <row r="25" spans="1:6">
      <c r="A25" s="1">
        <v>2</v>
      </c>
    </row>
    <row r="26" spans="1:6">
      <c r="A26" s="5"/>
      <c r="B26" s="11"/>
      <c r="C26" s="5"/>
      <c r="D26" s="5" t="s">
        <v>153</v>
      </c>
      <c r="E26" s="48"/>
    </row>
    <row r="27" spans="1:6">
      <c r="A27" s="6"/>
      <c r="B27" s="12" t="s">
        <v>155</v>
      </c>
      <c r="C27" s="6" t="s">
        <v>156</v>
      </c>
      <c r="D27" s="6" t="s">
        <v>157</v>
      </c>
      <c r="E27" s="48"/>
    </row>
    <row r="28" spans="1:6">
      <c r="A28" s="6" t="s">
        <v>158</v>
      </c>
      <c r="B28" s="13" t="s">
        <v>159</v>
      </c>
      <c r="C28" s="6" t="s">
        <v>165</v>
      </c>
      <c r="D28" s="6" t="s">
        <v>161</v>
      </c>
      <c r="E28" s="48"/>
    </row>
    <row r="29" spans="1:6">
      <c r="A29" s="7"/>
      <c r="B29" s="6" t="s">
        <v>166</v>
      </c>
      <c r="C29" s="6" t="s">
        <v>167</v>
      </c>
      <c r="D29" s="22" t="s">
        <v>168</v>
      </c>
      <c r="E29" s="53"/>
    </row>
    <row r="30" spans="1:6" ht="5.25" customHeight="1">
      <c r="A30" s="8"/>
      <c r="B30" s="20"/>
      <c r="C30" s="21"/>
      <c r="D30" s="8"/>
      <c r="E30" s="54"/>
    </row>
    <row r="31" spans="1:6">
      <c r="A31" s="7"/>
      <c r="B31" s="6" t="str">
        <f>+Control!D80</f>
        <v>HK$</v>
      </c>
      <c r="C31" s="6" t="str">
        <f>+Control!D80</f>
        <v>HK$</v>
      </c>
      <c r="D31" s="9"/>
      <c r="E31" s="55"/>
    </row>
    <row r="32" spans="1:6">
      <c r="A32" s="7" t="s">
        <v>169</v>
      </c>
      <c r="B32" s="18"/>
      <c r="C32" s="18"/>
      <c r="D32" s="18"/>
      <c r="E32" s="52"/>
    </row>
    <row r="33" spans="1:15">
      <c r="A33" s="7"/>
      <c r="B33" s="18"/>
      <c r="C33" s="18"/>
      <c r="D33" s="18"/>
      <c r="E33" s="52"/>
    </row>
    <row r="34" spans="1:15">
      <c r="A34" s="10"/>
      <c r="B34" s="15"/>
      <c r="C34" s="15"/>
      <c r="D34" s="15"/>
      <c r="E34" s="52"/>
    </row>
    <row r="35" spans="1:15">
      <c r="A35" s="447" t="s">
        <v>170</v>
      </c>
      <c r="B35" s="447"/>
      <c r="C35" s="447"/>
      <c r="D35" s="447"/>
      <c r="E35" s="44"/>
    </row>
    <row r="36" spans="1:15">
      <c r="A36" s="1"/>
    </row>
    <row r="37" spans="1:15">
      <c r="A37" s="439" t="s">
        <v>171</v>
      </c>
      <c r="B37" s="439"/>
      <c r="C37" s="439"/>
      <c r="D37" s="439"/>
      <c r="E37" s="46"/>
    </row>
    <row r="38" spans="1:15">
      <c r="A38" s="445" t="s">
        <v>172</v>
      </c>
      <c r="B38" s="445"/>
      <c r="C38" s="445"/>
      <c r="D38" s="445"/>
      <c r="E38" s="56"/>
    </row>
    <row r="39" spans="1:15" ht="9" customHeight="1">
      <c r="A39" s="127"/>
      <c r="B39" s="127"/>
      <c r="C39" s="127"/>
      <c r="D39" s="127"/>
      <c r="E39" s="56"/>
    </row>
    <row r="40" spans="1:15">
      <c r="A40" s="439" t="s">
        <v>173</v>
      </c>
      <c r="B40" s="439"/>
      <c r="C40" s="439"/>
      <c r="D40" s="439"/>
      <c r="E40" s="46"/>
    </row>
    <row r="41" spans="1:15">
      <c r="A41" s="1" t="s">
        <v>174</v>
      </c>
    </row>
    <row r="42" spans="1:15" ht="9.75" customHeight="1">
      <c r="A42" s="1"/>
    </row>
    <row r="43" spans="1:15">
      <c r="A43" s="1" t="s">
        <v>175</v>
      </c>
    </row>
    <row r="44" spans="1:15">
      <c r="A44" s="1"/>
    </row>
    <row r="45" spans="1:15">
      <c r="A45" s="1"/>
    </row>
    <row r="46" spans="1:15">
      <c r="A46" s="448" t="str">
        <f>+Control!D148</f>
        <v>Eric K.H. Tang</v>
      </c>
      <c r="B46" s="448"/>
      <c r="C46" s="23" t="s">
        <v>176</v>
      </c>
      <c r="D46" s="24"/>
      <c r="E46" s="57"/>
    </row>
    <row r="47" spans="1:15">
      <c r="A47" s="445" t="str">
        <f>+Control!D149</f>
        <v>Certified Public Accountant (Practising)</v>
      </c>
      <c r="B47" s="445"/>
    </row>
    <row r="48" spans="1:15">
      <c r="C48" s="23" t="s">
        <v>140</v>
      </c>
      <c r="D48" s="24"/>
      <c r="E48" s="57"/>
      <c r="N48" s="1" t="s">
        <v>177</v>
      </c>
      <c r="O48" s="2" t="s">
        <v>178</v>
      </c>
    </row>
    <row r="49" spans="1:1">
      <c r="A49" s="128"/>
    </row>
  </sheetData>
  <mergeCells count="13">
    <mergeCell ref="A47:B47"/>
    <mergeCell ref="D21:D22"/>
    <mergeCell ref="A35:D35"/>
    <mergeCell ref="A37:D37"/>
    <mergeCell ref="A38:D38"/>
    <mergeCell ref="A40:D40"/>
    <mergeCell ref="A46:B46"/>
    <mergeCell ref="A11:D11"/>
    <mergeCell ref="A1:D1"/>
    <mergeCell ref="A2:D2"/>
    <mergeCell ref="C4:D4"/>
    <mergeCell ref="C6:D7"/>
    <mergeCell ref="C9:D9"/>
  </mergeCells>
  <phoneticPr fontId="11" type="noConversion"/>
  <pageMargins left="1.1023622047244095" right="0.70866141732283472" top="0.74803149606299213" bottom="0.74803149606299213" header="0.31496062992125984" footer="0.31496062992125984"/>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35">
    <pageSetUpPr fitToPage="1"/>
  </sheetPr>
  <dimension ref="A1:G27"/>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450" t="str">
        <f>+Control!D3</f>
        <v>MOP ENTERTAINMENT LIMITED</v>
      </c>
      <c r="B1" s="450"/>
      <c r="C1" s="450"/>
      <c r="D1" s="450"/>
    </row>
    <row r="2" spans="1:7">
      <c r="A2" s="59"/>
      <c r="B2" s="59"/>
      <c r="C2" s="59"/>
      <c r="D2" s="60"/>
    </row>
    <row r="3" spans="1:7">
      <c r="A3" s="450" t="str">
        <f>+CONCATENATE(E3,F3)</f>
        <v>FILE NO. : 62513946-000</v>
      </c>
      <c r="B3" s="450"/>
      <c r="C3" s="450"/>
      <c r="D3" s="450"/>
      <c r="E3" s="58" t="s">
        <v>179</v>
      </c>
      <c r="F3" s="58" t="str">
        <f>+Control!D87</f>
        <v>62513946-000</v>
      </c>
    </row>
    <row r="4" spans="1:7">
      <c r="A4" s="59"/>
      <c r="B4" s="59"/>
      <c r="C4" s="59"/>
      <c r="D4" s="60"/>
    </row>
    <row r="5" spans="1:7">
      <c r="A5" s="450" t="s">
        <v>180</v>
      </c>
      <c r="B5" s="450"/>
      <c r="C5" s="450"/>
      <c r="D5" s="450"/>
    </row>
    <row r="6" spans="1:7">
      <c r="A6" s="59"/>
      <c r="B6" s="59"/>
      <c r="C6" s="59"/>
      <c r="D6" s="60"/>
    </row>
    <row r="7" spans="1:7">
      <c r="A7" s="450" t="s">
        <v>181</v>
      </c>
      <c r="B7" s="450"/>
      <c r="C7" s="450"/>
      <c r="D7" s="450"/>
    </row>
    <row r="8" spans="1:7">
      <c r="A8" s="59"/>
      <c r="B8" s="59"/>
      <c r="C8" s="59"/>
      <c r="D8" s="60"/>
    </row>
    <row r="9" spans="1:7">
      <c r="A9" s="451" t="str">
        <f>+Control!D132</f>
        <v>2016/17</v>
      </c>
      <c r="B9" s="451"/>
      <c r="C9" s="451"/>
      <c r="D9" s="451"/>
    </row>
    <row r="10" spans="1:7">
      <c r="A10" s="449" t="str">
        <f>+CONCATENATE(E10,Control!D134,'T com dor'!E11)</f>
        <v>(Basis Period: )</v>
      </c>
      <c r="B10" s="449"/>
      <c r="C10" s="449"/>
      <c r="D10" s="449"/>
      <c r="E10" s="58" t="s">
        <v>182</v>
      </c>
    </row>
    <row r="11" spans="1:7">
      <c r="A11" s="61"/>
      <c r="B11" s="61"/>
      <c r="C11" s="61"/>
      <c r="D11" s="118"/>
      <c r="E11" s="58" t="s">
        <v>0</v>
      </c>
    </row>
    <row r="12" spans="1:7">
      <c r="D12" s="117" t="s">
        <v>183</v>
      </c>
    </row>
    <row r="14" spans="1:7">
      <c r="A14" s="58" t="str">
        <f>+IF(D14&lt;1,"LOSS:","PROFIT:")</f>
        <v>LOSS:</v>
      </c>
      <c r="B14" s="58" t="s">
        <v>184</v>
      </c>
      <c r="D14" s="63">
        <f>+Control!D126</f>
        <v>0</v>
      </c>
      <c r="E14" s="58" t="s">
        <v>185</v>
      </c>
      <c r="F14" s="112">
        <v>1</v>
      </c>
      <c r="G14" s="58" t="s">
        <v>186</v>
      </c>
    </row>
    <row r="15" spans="1:7">
      <c r="B15" s="58" t="s">
        <v>187</v>
      </c>
      <c r="C15" s="64"/>
    </row>
    <row r="16" spans="1:7">
      <c r="C16" s="64"/>
      <c r="D16" s="63"/>
    </row>
    <row r="17" spans="1:7">
      <c r="A17" s="58" t="str">
        <f>IF(F14=0,IF(Control!D136=0," ","LESS:"),"ADD:")</f>
        <v>ADD:</v>
      </c>
      <c r="B17" s="58" t="str">
        <f>IF(F14=0,IF(Control!D136=0," ","Interest income"),"Inactive loss")</f>
        <v>Inactive loss</v>
      </c>
      <c r="C17" s="64"/>
      <c r="D17" s="67">
        <f>IF(F14=0,IF(Control!D136=0," ",Control!D136),-D14)</f>
        <v>0</v>
      </c>
    </row>
    <row r="18" spans="1:7">
      <c r="C18" s="64"/>
      <c r="D18" s="63"/>
    </row>
    <row r="19" spans="1:7" ht="16.5" thickBot="1">
      <c r="A19" s="58" t="str">
        <f>+IF(D19&lt;1,"ADJUSTED LOSS:","ASSESSABLE PROFIT:")</f>
        <v>ADJUSTED LOSS:</v>
      </c>
      <c r="B19" s="58" t="str">
        <f>+CONCATENATE(E19,A9)</f>
        <v>For the Year of Assessment 2016/17</v>
      </c>
      <c r="C19" s="64"/>
      <c r="D19" s="65">
        <f>SUM(D14:D18)</f>
        <v>0</v>
      </c>
      <c r="E19" s="58" t="s">
        <v>188</v>
      </c>
    </row>
    <row r="20" spans="1:7" ht="16.5" thickTop="1"/>
    <row r="21" spans="1:7">
      <c r="A21" s="59" t="str">
        <f>+IF(F14=0,"STATEMENT OF LOSS","")</f>
        <v/>
      </c>
      <c r="E21" s="58" t="s">
        <v>189</v>
      </c>
      <c r="F21" s="58" t="str">
        <f>+LOWER(Control!D9)</f>
        <v>period</v>
      </c>
      <c r="G21" s="58" t="s">
        <v>145</v>
      </c>
    </row>
    <row r="22" spans="1:7">
      <c r="A22" s="58" t="str">
        <f>IF(F14=0,IF(Control!D139=0," ","Tax loss b/f"),CONCATENATE(E21,F21,G21))</f>
        <v>Note: The Company was inactive during the period.</v>
      </c>
      <c r="D22" s="63" t="str">
        <f>IF(F14=0,IF(Control!D139=0," ",Control!D139),"")</f>
        <v/>
      </c>
    </row>
    <row r="23" spans="1:7">
      <c r="A23" s="58" t="str">
        <f>IF(F14=0,CONCATENATE(E23,F23,A9),"")</f>
        <v/>
      </c>
      <c r="D23" s="66" t="str">
        <f>IF(F14=0,D19,"")</f>
        <v/>
      </c>
      <c r="E23" s="58" t="str">
        <f>+IF(D19&lt;0,"Adjusted loss ","Assessable profit ")</f>
        <v xml:space="preserve">Assessable profit </v>
      </c>
      <c r="F23" s="58" t="s">
        <v>190</v>
      </c>
    </row>
    <row r="24" spans="1:7">
      <c r="A24" s="58" t="str">
        <f>+IF(F14=0,"Tax loss c/f","")</f>
        <v/>
      </c>
      <c r="D24" s="67" t="str">
        <f>IF(F14=0,SUM(D22:D23),"")</f>
        <v/>
      </c>
    </row>
    <row r="25" spans="1:7">
      <c r="E25" s="58" t="s">
        <v>259</v>
      </c>
    </row>
    <row r="26" spans="1:7" ht="15.75" customHeight="1">
      <c r="D26" s="113"/>
    </row>
    <row r="27" spans="1:7">
      <c r="D27" s="114"/>
    </row>
  </sheetData>
  <sheetProtection algorithmName="SHA-512" hashValue="2dO4wZBVumr+gLLLAZk0xf/ATR5pzLo1qtTR5P6vrkd0OBJpUQQxd8Muc/neydPusPpkGcpjJ9gJhGdK7otziA==" saltValue="lIeQyrQ9FWnBpYcRgVmAgQ==" spinCount="100000" sheet="1" objects="1" scenarios="1"/>
  <mergeCells count="6">
    <mergeCell ref="A10:D10"/>
    <mergeCell ref="A1:D1"/>
    <mergeCell ref="A3:D3"/>
    <mergeCell ref="A5:D5"/>
    <mergeCell ref="A7:D7"/>
    <mergeCell ref="A9:D9"/>
  </mergeCells>
  <phoneticPr fontId="11" type="noConversion"/>
  <pageMargins left="0.7" right="0.7" top="0.75" bottom="0.75" header="0.3" footer="0.3"/>
  <pageSetup paperSize="9" scale="92"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13">
    <pageSetUpPr fitToPage="1"/>
  </sheetPr>
  <dimension ref="A1:G34"/>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9" style="58"/>
    <col min="6" max="6" width="10.5" style="58" bestFit="1" customWidth="1"/>
    <col min="7"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7">
      <c r="A1" s="450" t="str">
        <f>+Control!D3</f>
        <v>MOP ENTERTAINMENT LIMITED</v>
      </c>
      <c r="B1" s="450"/>
      <c r="C1" s="450"/>
      <c r="D1" s="450"/>
    </row>
    <row r="2" spans="1:7">
      <c r="A2" s="59"/>
      <c r="B2" s="59"/>
      <c r="C2" s="59"/>
      <c r="D2" s="60"/>
    </row>
    <row r="3" spans="1:7">
      <c r="A3" s="450" t="str">
        <f>+CONCATENATE(E3,F3)</f>
        <v>FILE NO. : 62513946-000</v>
      </c>
      <c r="B3" s="450"/>
      <c r="C3" s="450"/>
      <c r="D3" s="450"/>
      <c r="E3" s="58" t="s">
        <v>179</v>
      </c>
      <c r="F3" s="58" t="str">
        <f>+Control!D87</f>
        <v>62513946-000</v>
      </c>
    </row>
    <row r="4" spans="1:7">
      <c r="A4" s="59"/>
      <c r="B4" s="59"/>
      <c r="C4" s="59"/>
      <c r="D4" s="60"/>
    </row>
    <row r="5" spans="1:7">
      <c r="A5" s="450" t="s">
        <v>180</v>
      </c>
      <c r="B5" s="450"/>
      <c r="C5" s="450"/>
      <c r="D5" s="450"/>
    </row>
    <row r="6" spans="1:7">
      <c r="A6" s="59"/>
      <c r="B6" s="59"/>
      <c r="C6" s="59"/>
      <c r="D6" s="60"/>
    </row>
    <row r="7" spans="1:7">
      <c r="A7" s="450" t="s">
        <v>181</v>
      </c>
      <c r="B7" s="450"/>
      <c r="C7" s="450"/>
      <c r="D7" s="450"/>
    </row>
    <row r="8" spans="1:7">
      <c r="A8" s="59"/>
      <c r="B8" s="59"/>
      <c r="C8" s="59"/>
      <c r="D8" s="60"/>
    </row>
    <row r="9" spans="1:7">
      <c r="A9" s="451" t="str">
        <f>+Control!D132</f>
        <v>2016/17</v>
      </c>
      <c r="B9" s="451"/>
      <c r="C9" s="451"/>
      <c r="D9" s="451"/>
    </row>
    <row r="10" spans="1:7">
      <c r="A10" s="449" t="str">
        <f>+CONCATENATE(E10,Control!D134,'T com (loss)'!E11)</f>
        <v>(Basis Period: )</v>
      </c>
      <c r="B10" s="449"/>
      <c r="C10" s="449"/>
      <c r="D10" s="449"/>
      <c r="E10" s="58" t="s">
        <v>182</v>
      </c>
    </row>
    <row r="11" spans="1:7">
      <c r="A11" s="61"/>
      <c r="B11" s="61"/>
      <c r="C11" s="61"/>
      <c r="D11" s="118"/>
      <c r="E11" s="58" t="s">
        <v>0</v>
      </c>
    </row>
    <row r="12" spans="1:7">
      <c r="D12" s="117" t="s">
        <v>183</v>
      </c>
    </row>
    <row r="14" spans="1:7">
      <c r="A14" s="58" t="str">
        <f>+IF(D14&lt;1,"LOSS:","PROFIT:")</f>
        <v>LOSS:</v>
      </c>
      <c r="B14" s="58" t="s">
        <v>184</v>
      </c>
      <c r="D14" s="63">
        <f>+Control!D126</f>
        <v>0</v>
      </c>
      <c r="E14" s="58" t="s">
        <v>185</v>
      </c>
      <c r="F14" s="112">
        <v>0</v>
      </c>
      <c r="G14" s="58" t="s">
        <v>186</v>
      </c>
    </row>
    <row r="15" spans="1:7">
      <c r="B15" s="58" t="s">
        <v>187</v>
      </c>
      <c r="C15" s="64"/>
    </row>
    <row r="16" spans="1:7">
      <c r="C16" s="64"/>
      <c r="D16" s="63"/>
    </row>
    <row r="17" spans="1:7">
      <c r="A17" s="58" t="s">
        <v>315</v>
      </c>
      <c r="B17" s="58" t="s">
        <v>316</v>
      </c>
      <c r="C17" s="63">
        <v>11923</v>
      </c>
      <c r="D17" s="58"/>
    </row>
    <row r="18" spans="1:7">
      <c r="B18" s="58" t="s">
        <v>317</v>
      </c>
      <c r="C18" s="153">
        <v>1280</v>
      </c>
      <c r="D18" s="58"/>
    </row>
    <row r="19" spans="1:7">
      <c r="C19" s="63"/>
      <c r="D19" s="64">
        <f>+C17+C18</f>
        <v>13203</v>
      </c>
    </row>
    <row r="20" spans="1:7">
      <c r="C20" s="64"/>
      <c r="D20" s="63"/>
    </row>
    <row r="21" spans="1:7">
      <c r="A21" s="58" t="str">
        <f>IF(F14=0,IF(Control!D136=0," ","LESS:"),"ADD:")</f>
        <v>LESS:</v>
      </c>
      <c r="B21" s="58" t="str">
        <f>IF(F14=0,IF(Control!D136=0," ","Interest income"),"Inactive loss")</f>
        <v>Interest income</v>
      </c>
      <c r="C21" s="67">
        <f>IF(F14=0,IF(Control!D136=0," ",Control!D136),-D14)</f>
        <v>-9</v>
      </c>
      <c r="D21" s="58"/>
    </row>
    <row r="22" spans="1:7">
      <c r="B22" s="58" t="s">
        <v>335</v>
      </c>
      <c r="C22" s="67">
        <f>-FA!J11</f>
        <v>-18078</v>
      </c>
      <c r="D22" s="58"/>
    </row>
    <row r="23" spans="1:7">
      <c r="B23" s="58" t="s">
        <v>336</v>
      </c>
      <c r="C23" s="153">
        <f>-'Depn Allowances'!H14</f>
        <v>-12354</v>
      </c>
      <c r="D23" s="58"/>
    </row>
    <row r="24" spans="1:7">
      <c r="C24" s="63"/>
      <c r="D24" s="64">
        <f>+C21+C22+C23</f>
        <v>-30441</v>
      </c>
    </row>
    <row r="25" spans="1:7">
      <c r="C25" s="64"/>
      <c r="D25" s="63"/>
    </row>
    <row r="26" spans="1:7" ht="16.5" thickBot="1">
      <c r="A26" s="58" t="str">
        <f>+IF(D26&lt;1,"ADJUSTED LOSS:","ASSESSABLE PROFIT:")</f>
        <v>ADJUSTED LOSS:</v>
      </c>
      <c r="B26" s="58" t="str">
        <f>+CONCATENATE(E26,A9)</f>
        <v>For the Year of Assessment 2016/17</v>
      </c>
      <c r="C26" s="64"/>
      <c r="D26" s="65">
        <f>SUM(D14:D25)</f>
        <v>-17238</v>
      </c>
      <c r="E26" s="58" t="s">
        <v>188</v>
      </c>
    </row>
    <row r="27" spans="1:7" ht="16.5" thickTop="1"/>
    <row r="28" spans="1:7">
      <c r="A28" s="59" t="str">
        <f>+IF(F14=0,"STATEMENT OF LOSS","")</f>
        <v>STATEMENT OF LOSS</v>
      </c>
      <c r="E28" s="58" t="s">
        <v>189</v>
      </c>
      <c r="F28" s="58" t="str">
        <f>+LOWER(Control!D9)</f>
        <v>period</v>
      </c>
      <c r="G28" s="58" t="s">
        <v>145</v>
      </c>
    </row>
    <row r="29" spans="1:7">
      <c r="A29" s="58" t="str">
        <f>IF(F14=0,IF(Control!D139=0," ","Tax loss b/f"),CONCATENATE(E28,F28,G28))</f>
        <v xml:space="preserve"> </v>
      </c>
      <c r="D29" s="63" t="str">
        <f>IF(F14=0,IF(Control!D139=0," ",Control!D139),"")</f>
        <v xml:space="preserve"> </v>
      </c>
    </row>
    <row r="30" spans="1:7">
      <c r="A30" s="58" t="str">
        <f>IF(F14=0,CONCATENATE(E30,F30,A9),"")</f>
        <v>Adjusted loss for the year of assessment 2016/17</v>
      </c>
      <c r="D30" s="66">
        <f>IF(F14=0,D26,"")</f>
        <v>-17238</v>
      </c>
      <c r="E30" s="58" t="str">
        <f>+IF(D26&lt;0,"Adjusted loss ","Assessable profit ")</f>
        <v xml:space="preserve">Adjusted loss </v>
      </c>
      <c r="F30" s="58" t="s">
        <v>190</v>
      </c>
    </row>
    <row r="31" spans="1:7" ht="16.5" thickBot="1">
      <c r="A31" s="58" t="str">
        <f>+IF(F14=0,"Tax loss c/f","")</f>
        <v>Tax loss c/f</v>
      </c>
      <c r="D31" s="65">
        <f>IF(F14=0,SUM(D29:D30),"")</f>
        <v>-17238</v>
      </c>
    </row>
    <row r="32" spans="1:7" ht="16.5" thickTop="1"/>
    <row r="33" spans="4:4" ht="15.75" customHeight="1">
      <c r="D33" s="113"/>
    </row>
    <row r="34" spans="4:4">
      <c r="D34" s="114"/>
    </row>
  </sheetData>
  <mergeCells count="6">
    <mergeCell ref="A10:D10"/>
    <mergeCell ref="A1:D1"/>
    <mergeCell ref="A3:D3"/>
    <mergeCell ref="A5:D5"/>
    <mergeCell ref="A7:D7"/>
    <mergeCell ref="A9:D9"/>
  </mergeCells>
  <phoneticPr fontId="11" type="noConversion"/>
  <pageMargins left="0.7" right="0.7" top="0.75" bottom="0.75" header="0.3" footer="0.3"/>
  <pageSetup paperSize="9" scale="92"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14">
    <pageSetUpPr fitToPage="1"/>
  </sheetPr>
  <dimension ref="A1:I46"/>
  <sheetViews>
    <sheetView workbookViewId="0">
      <selection activeCell="G7" sqref="G7"/>
    </sheetView>
  </sheetViews>
  <sheetFormatPr defaultRowHeight="15.75"/>
  <cols>
    <col min="1" max="1" width="22.875" style="58" customWidth="1"/>
    <col min="2" max="2" width="45.5" style="58" customWidth="1"/>
    <col min="3" max="3" width="12.5" style="58" bestFit="1" customWidth="1"/>
    <col min="4" max="4" width="13.625" style="62" bestFit="1" customWidth="1"/>
    <col min="5" max="5" width="10.125" style="58" bestFit="1" customWidth="1"/>
    <col min="6" max="6" width="11.375" style="58" bestFit="1" customWidth="1"/>
    <col min="7" max="7" width="9.625" style="58" bestFit="1" customWidth="1"/>
    <col min="8" max="256" width="9" style="58"/>
    <col min="257" max="257" width="22.875" style="58" customWidth="1"/>
    <col min="258" max="258" width="45.5" style="58" customWidth="1"/>
    <col min="259" max="259" width="12.5" style="58" bestFit="1" customWidth="1"/>
    <col min="260" max="260" width="13.625" style="58" bestFit="1" customWidth="1"/>
    <col min="261" max="512" width="9" style="58"/>
    <col min="513" max="513" width="22.875" style="58" customWidth="1"/>
    <col min="514" max="514" width="45.5" style="58" customWidth="1"/>
    <col min="515" max="515" width="12.5" style="58" bestFit="1" customWidth="1"/>
    <col min="516" max="516" width="13.625" style="58" bestFit="1" customWidth="1"/>
    <col min="517" max="768" width="9" style="58"/>
    <col min="769" max="769" width="22.875" style="58" customWidth="1"/>
    <col min="770" max="770" width="45.5" style="58" customWidth="1"/>
    <col min="771" max="771" width="12.5" style="58" bestFit="1" customWidth="1"/>
    <col min="772" max="772" width="13.625" style="58" bestFit="1" customWidth="1"/>
    <col min="773" max="1024" width="9" style="58"/>
    <col min="1025" max="1025" width="22.875" style="58" customWidth="1"/>
    <col min="1026" max="1026" width="45.5" style="58" customWidth="1"/>
    <col min="1027" max="1027" width="12.5" style="58" bestFit="1" customWidth="1"/>
    <col min="1028" max="1028" width="13.625" style="58" bestFit="1" customWidth="1"/>
    <col min="1029" max="1280" width="9" style="58"/>
    <col min="1281" max="1281" width="22.875" style="58" customWidth="1"/>
    <col min="1282" max="1282" width="45.5" style="58" customWidth="1"/>
    <col min="1283" max="1283" width="12.5" style="58" bestFit="1" customWidth="1"/>
    <col min="1284" max="1284" width="13.625" style="58" bestFit="1" customWidth="1"/>
    <col min="1285" max="1536" width="9" style="58"/>
    <col min="1537" max="1537" width="22.875" style="58" customWidth="1"/>
    <col min="1538" max="1538" width="45.5" style="58" customWidth="1"/>
    <col min="1539" max="1539" width="12.5" style="58" bestFit="1" customWidth="1"/>
    <col min="1540" max="1540" width="13.625" style="58" bestFit="1" customWidth="1"/>
    <col min="1541" max="1792" width="9" style="58"/>
    <col min="1793" max="1793" width="22.875" style="58" customWidth="1"/>
    <col min="1794" max="1794" width="45.5" style="58" customWidth="1"/>
    <col min="1795" max="1795" width="12.5" style="58" bestFit="1" customWidth="1"/>
    <col min="1796" max="1796" width="13.625" style="58" bestFit="1" customWidth="1"/>
    <col min="1797" max="2048" width="9" style="58"/>
    <col min="2049" max="2049" width="22.875" style="58" customWidth="1"/>
    <col min="2050" max="2050" width="45.5" style="58" customWidth="1"/>
    <col min="2051" max="2051" width="12.5" style="58" bestFit="1" customWidth="1"/>
    <col min="2052" max="2052" width="13.625" style="58" bestFit="1" customWidth="1"/>
    <col min="2053" max="2304" width="9" style="58"/>
    <col min="2305" max="2305" width="22.875" style="58" customWidth="1"/>
    <col min="2306" max="2306" width="45.5" style="58" customWidth="1"/>
    <col min="2307" max="2307" width="12.5" style="58" bestFit="1" customWidth="1"/>
    <col min="2308" max="2308" width="13.625" style="58" bestFit="1" customWidth="1"/>
    <col min="2309" max="2560" width="9" style="58"/>
    <col min="2561" max="2561" width="22.875" style="58" customWidth="1"/>
    <col min="2562" max="2562" width="45.5" style="58" customWidth="1"/>
    <col min="2563" max="2563" width="12.5" style="58" bestFit="1" customWidth="1"/>
    <col min="2564" max="2564" width="13.625" style="58" bestFit="1" customWidth="1"/>
    <col min="2565" max="2816" width="9" style="58"/>
    <col min="2817" max="2817" width="22.875" style="58" customWidth="1"/>
    <col min="2818" max="2818" width="45.5" style="58" customWidth="1"/>
    <col min="2819" max="2819" width="12.5" style="58" bestFit="1" customWidth="1"/>
    <col min="2820" max="2820" width="13.625" style="58" bestFit="1" customWidth="1"/>
    <col min="2821" max="3072" width="9" style="58"/>
    <col min="3073" max="3073" width="22.875" style="58" customWidth="1"/>
    <col min="3074" max="3074" width="45.5" style="58" customWidth="1"/>
    <col min="3075" max="3075" width="12.5" style="58" bestFit="1" customWidth="1"/>
    <col min="3076" max="3076" width="13.625" style="58" bestFit="1" customWidth="1"/>
    <col min="3077" max="3328" width="9" style="58"/>
    <col min="3329" max="3329" width="22.875" style="58" customWidth="1"/>
    <col min="3330" max="3330" width="45.5" style="58" customWidth="1"/>
    <col min="3331" max="3331" width="12.5" style="58" bestFit="1" customWidth="1"/>
    <col min="3332" max="3332" width="13.625" style="58" bestFit="1" customWidth="1"/>
    <col min="3333" max="3584" width="9" style="58"/>
    <col min="3585" max="3585" width="22.875" style="58" customWidth="1"/>
    <col min="3586" max="3586" width="45.5" style="58" customWidth="1"/>
    <col min="3587" max="3587" width="12.5" style="58" bestFit="1" customWidth="1"/>
    <col min="3588" max="3588" width="13.625" style="58" bestFit="1" customWidth="1"/>
    <col min="3589" max="3840" width="9" style="58"/>
    <col min="3841" max="3841" width="22.875" style="58" customWidth="1"/>
    <col min="3842" max="3842" width="45.5" style="58" customWidth="1"/>
    <col min="3843" max="3843" width="12.5" style="58" bestFit="1" customWidth="1"/>
    <col min="3844" max="3844" width="13.625" style="58" bestFit="1" customWidth="1"/>
    <col min="3845" max="4096" width="9" style="58"/>
    <col min="4097" max="4097" width="22.875" style="58" customWidth="1"/>
    <col min="4098" max="4098" width="45.5" style="58" customWidth="1"/>
    <col min="4099" max="4099" width="12.5" style="58" bestFit="1" customWidth="1"/>
    <col min="4100" max="4100" width="13.625" style="58" bestFit="1" customWidth="1"/>
    <col min="4101" max="4352" width="9" style="58"/>
    <col min="4353" max="4353" width="22.875" style="58" customWidth="1"/>
    <col min="4354" max="4354" width="45.5" style="58" customWidth="1"/>
    <col min="4355" max="4355" width="12.5" style="58" bestFit="1" customWidth="1"/>
    <col min="4356" max="4356" width="13.625" style="58" bestFit="1" customWidth="1"/>
    <col min="4357" max="4608" width="9" style="58"/>
    <col min="4609" max="4609" width="22.875" style="58" customWidth="1"/>
    <col min="4610" max="4610" width="45.5" style="58" customWidth="1"/>
    <col min="4611" max="4611" width="12.5" style="58" bestFit="1" customWidth="1"/>
    <col min="4612" max="4612" width="13.625" style="58" bestFit="1" customWidth="1"/>
    <col min="4613" max="4864" width="9" style="58"/>
    <col min="4865" max="4865" width="22.875" style="58" customWidth="1"/>
    <col min="4866" max="4866" width="45.5" style="58" customWidth="1"/>
    <col min="4867" max="4867" width="12.5" style="58" bestFit="1" customWidth="1"/>
    <col min="4868" max="4868" width="13.625" style="58" bestFit="1" customWidth="1"/>
    <col min="4869" max="5120" width="9" style="58"/>
    <col min="5121" max="5121" width="22.875" style="58" customWidth="1"/>
    <col min="5122" max="5122" width="45.5" style="58" customWidth="1"/>
    <col min="5123" max="5123" width="12.5" style="58" bestFit="1" customWidth="1"/>
    <col min="5124" max="5124" width="13.625" style="58" bestFit="1" customWidth="1"/>
    <col min="5125" max="5376" width="9" style="58"/>
    <col min="5377" max="5377" width="22.875" style="58" customWidth="1"/>
    <col min="5378" max="5378" width="45.5" style="58" customWidth="1"/>
    <col min="5379" max="5379" width="12.5" style="58" bestFit="1" customWidth="1"/>
    <col min="5380" max="5380" width="13.625" style="58" bestFit="1" customWidth="1"/>
    <col min="5381" max="5632" width="9" style="58"/>
    <col min="5633" max="5633" width="22.875" style="58" customWidth="1"/>
    <col min="5634" max="5634" width="45.5" style="58" customWidth="1"/>
    <col min="5635" max="5635" width="12.5" style="58" bestFit="1" customWidth="1"/>
    <col min="5636" max="5636" width="13.625" style="58" bestFit="1" customWidth="1"/>
    <col min="5637" max="5888" width="9" style="58"/>
    <col min="5889" max="5889" width="22.875" style="58" customWidth="1"/>
    <col min="5890" max="5890" width="45.5" style="58" customWidth="1"/>
    <col min="5891" max="5891" width="12.5" style="58" bestFit="1" customWidth="1"/>
    <col min="5892" max="5892" width="13.625" style="58" bestFit="1" customWidth="1"/>
    <col min="5893" max="6144" width="9" style="58"/>
    <col min="6145" max="6145" width="22.875" style="58" customWidth="1"/>
    <col min="6146" max="6146" width="45.5" style="58" customWidth="1"/>
    <col min="6147" max="6147" width="12.5" style="58" bestFit="1" customWidth="1"/>
    <col min="6148" max="6148" width="13.625" style="58" bestFit="1" customWidth="1"/>
    <col min="6149" max="6400" width="9" style="58"/>
    <col min="6401" max="6401" width="22.875" style="58" customWidth="1"/>
    <col min="6402" max="6402" width="45.5" style="58" customWidth="1"/>
    <col min="6403" max="6403" width="12.5" style="58" bestFit="1" customWidth="1"/>
    <col min="6404" max="6404" width="13.625" style="58" bestFit="1" customWidth="1"/>
    <col min="6405" max="6656" width="9" style="58"/>
    <col min="6657" max="6657" width="22.875" style="58" customWidth="1"/>
    <col min="6658" max="6658" width="45.5" style="58" customWidth="1"/>
    <col min="6659" max="6659" width="12.5" style="58" bestFit="1" customWidth="1"/>
    <col min="6660" max="6660" width="13.625" style="58" bestFit="1" customWidth="1"/>
    <col min="6661" max="6912" width="9" style="58"/>
    <col min="6913" max="6913" width="22.875" style="58" customWidth="1"/>
    <col min="6914" max="6914" width="45.5" style="58" customWidth="1"/>
    <col min="6915" max="6915" width="12.5" style="58" bestFit="1" customWidth="1"/>
    <col min="6916" max="6916" width="13.625" style="58" bestFit="1" customWidth="1"/>
    <col min="6917" max="7168" width="9" style="58"/>
    <col min="7169" max="7169" width="22.875" style="58" customWidth="1"/>
    <col min="7170" max="7170" width="45.5" style="58" customWidth="1"/>
    <col min="7171" max="7171" width="12.5" style="58" bestFit="1" customWidth="1"/>
    <col min="7172" max="7172" width="13.625" style="58" bestFit="1" customWidth="1"/>
    <col min="7173" max="7424" width="9" style="58"/>
    <col min="7425" max="7425" width="22.875" style="58" customWidth="1"/>
    <col min="7426" max="7426" width="45.5" style="58" customWidth="1"/>
    <col min="7427" max="7427" width="12.5" style="58" bestFit="1" customWidth="1"/>
    <col min="7428" max="7428" width="13.625" style="58" bestFit="1" customWidth="1"/>
    <col min="7429" max="7680" width="9" style="58"/>
    <col min="7681" max="7681" width="22.875" style="58" customWidth="1"/>
    <col min="7682" max="7682" width="45.5" style="58" customWidth="1"/>
    <col min="7683" max="7683" width="12.5" style="58" bestFit="1" customWidth="1"/>
    <col min="7684" max="7684" width="13.625" style="58" bestFit="1" customWidth="1"/>
    <col min="7685" max="7936" width="9" style="58"/>
    <col min="7937" max="7937" width="22.875" style="58" customWidth="1"/>
    <col min="7938" max="7938" width="45.5" style="58" customWidth="1"/>
    <col min="7939" max="7939" width="12.5" style="58" bestFit="1" customWidth="1"/>
    <col min="7940" max="7940" width="13.625" style="58" bestFit="1" customWidth="1"/>
    <col min="7941" max="8192" width="9" style="58"/>
    <col min="8193" max="8193" width="22.875" style="58" customWidth="1"/>
    <col min="8194" max="8194" width="45.5" style="58" customWidth="1"/>
    <col min="8195" max="8195" width="12.5" style="58" bestFit="1" customWidth="1"/>
    <col min="8196" max="8196" width="13.625" style="58" bestFit="1" customWidth="1"/>
    <col min="8197" max="8448" width="9" style="58"/>
    <col min="8449" max="8449" width="22.875" style="58" customWidth="1"/>
    <col min="8450" max="8450" width="45.5" style="58" customWidth="1"/>
    <col min="8451" max="8451" width="12.5" style="58" bestFit="1" customWidth="1"/>
    <col min="8452" max="8452" width="13.625" style="58" bestFit="1" customWidth="1"/>
    <col min="8453" max="8704" width="9" style="58"/>
    <col min="8705" max="8705" width="22.875" style="58" customWidth="1"/>
    <col min="8706" max="8706" width="45.5" style="58" customWidth="1"/>
    <col min="8707" max="8707" width="12.5" style="58" bestFit="1" customWidth="1"/>
    <col min="8708" max="8708" width="13.625" style="58" bestFit="1" customWidth="1"/>
    <col min="8709" max="8960" width="9" style="58"/>
    <col min="8961" max="8961" width="22.875" style="58" customWidth="1"/>
    <col min="8962" max="8962" width="45.5" style="58" customWidth="1"/>
    <col min="8963" max="8963" width="12.5" style="58" bestFit="1" customWidth="1"/>
    <col min="8964" max="8964" width="13.625" style="58" bestFit="1" customWidth="1"/>
    <col min="8965" max="9216" width="9" style="58"/>
    <col min="9217" max="9217" width="22.875" style="58" customWidth="1"/>
    <col min="9218" max="9218" width="45.5" style="58" customWidth="1"/>
    <col min="9219" max="9219" width="12.5" style="58" bestFit="1" customWidth="1"/>
    <col min="9220" max="9220" width="13.625" style="58" bestFit="1" customWidth="1"/>
    <col min="9221" max="9472" width="9" style="58"/>
    <col min="9473" max="9473" width="22.875" style="58" customWidth="1"/>
    <col min="9474" max="9474" width="45.5" style="58" customWidth="1"/>
    <col min="9475" max="9475" width="12.5" style="58" bestFit="1" customWidth="1"/>
    <col min="9476" max="9476" width="13.625" style="58" bestFit="1" customWidth="1"/>
    <col min="9477" max="9728" width="9" style="58"/>
    <col min="9729" max="9729" width="22.875" style="58" customWidth="1"/>
    <col min="9730" max="9730" width="45.5" style="58" customWidth="1"/>
    <col min="9731" max="9731" width="12.5" style="58" bestFit="1" customWidth="1"/>
    <col min="9732" max="9732" width="13.625" style="58" bestFit="1" customWidth="1"/>
    <col min="9733" max="9984" width="9" style="58"/>
    <col min="9985" max="9985" width="22.875" style="58" customWidth="1"/>
    <col min="9986" max="9986" width="45.5" style="58" customWidth="1"/>
    <col min="9987" max="9987" width="12.5" style="58" bestFit="1" customWidth="1"/>
    <col min="9988" max="9988" width="13.625" style="58" bestFit="1" customWidth="1"/>
    <col min="9989" max="10240" width="9" style="58"/>
    <col min="10241" max="10241" width="22.875" style="58" customWidth="1"/>
    <col min="10242" max="10242" width="45.5" style="58" customWidth="1"/>
    <col min="10243" max="10243" width="12.5" style="58" bestFit="1" customWidth="1"/>
    <col min="10244" max="10244" width="13.625" style="58" bestFit="1" customWidth="1"/>
    <col min="10245" max="10496" width="9" style="58"/>
    <col min="10497" max="10497" width="22.875" style="58" customWidth="1"/>
    <col min="10498" max="10498" width="45.5" style="58" customWidth="1"/>
    <col min="10499" max="10499" width="12.5" style="58" bestFit="1" customWidth="1"/>
    <col min="10500" max="10500" width="13.625" style="58" bestFit="1" customWidth="1"/>
    <col min="10501" max="10752" width="9" style="58"/>
    <col min="10753" max="10753" width="22.875" style="58" customWidth="1"/>
    <col min="10754" max="10754" width="45.5" style="58" customWidth="1"/>
    <col min="10755" max="10755" width="12.5" style="58" bestFit="1" customWidth="1"/>
    <col min="10756" max="10756" width="13.625" style="58" bestFit="1" customWidth="1"/>
    <col min="10757" max="11008" width="9" style="58"/>
    <col min="11009" max="11009" width="22.875" style="58" customWidth="1"/>
    <col min="11010" max="11010" width="45.5" style="58" customWidth="1"/>
    <col min="11011" max="11011" width="12.5" style="58" bestFit="1" customWidth="1"/>
    <col min="11012" max="11012" width="13.625" style="58" bestFit="1" customWidth="1"/>
    <col min="11013" max="11264" width="9" style="58"/>
    <col min="11265" max="11265" width="22.875" style="58" customWidth="1"/>
    <col min="11266" max="11266" width="45.5" style="58" customWidth="1"/>
    <col min="11267" max="11267" width="12.5" style="58" bestFit="1" customWidth="1"/>
    <col min="11268" max="11268" width="13.625" style="58" bestFit="1" customWidth="1"/>
    <col min="11269" max="11520" width="9" style="58"/>
    <col min="11521" max="11521" width="22.875" style="58" customWidth="1"/>
    <col min="11522" max="11522" width="45.5" style="58" customWidth="1"/>
    <col min="11523" max="11523" width="12.5" style="58" bestFit="1" customWidth="1"/>
    <col min="11524" max="11524" width="13.625" style="58" bestFit="1" customWidth="1"/>
    <col min="11525" max="11776" width="9" style="58"/>
    <col min="11777" max="11777" width="22.875" style="58" customWidth="1"/>
    <col min="11778" max="11778" width="45.5" style="58" customWidth="1"/>
    <col min="11779" max="11779" width="12.5" style="58" bestFit="1" customWidth="1"/>
    <col min="11780" max="11780" width="13.625" style="58" bestFit="1" customWidth="1"/>
    <col min="11781" max="12032" width="9" style="58"/>
    <col min="12033" max="12033" width="22.875" style="58" customWidth="1"/>
    <col min="12034" max="12034" width="45.5" style="58" customWidth="1"/>
    <col min="12035" max="12035" width="12.5" style="58" bestFit="1" customWidth="1"/>
    <col min="12036" max="12036" width="13.625" style="58" bestFit="1" customWidth="1"/>
    <col min="12037" max="12288" width="9" style="58"/>
    <col min="12289" max="12289" width="22.875" style="58" customWidth="1"/>
    <col min="12290" max="12290" width="45.5" style="58" customWidth="1"/>
    <col min="12291" max="12291" width="12.5" style="58" bestFit="1" customWidth="1"/>
    <col min="12292" max="12292" width="13.625" style="58" bestFit="1" customWidth="1"/>
    <col min="12293" max="12544" width="9" style="58"/>
    <col min="12545" max="12545" width="22.875" style="58" customWidth="1"/>
    <col min="12546" max="12546" width="45.5" style="58" customWidth="1"/>
    <col min="12547" max="12547" width="12.5" style="58" bestFit="1" customWidth="1"/>
    <col min="12548" max="12548" width="13.625" style="58" bestFit="1" customWidth="1"/>
    <col min="12549" max="12800" width="9" style="58"/>
    <col min="12801" max="12801" width="22.875" style="58" customWidth="1"/>
    <col min="12802" max="12802" width="45.5" style="58" customWidth="1"/>
    <col min="12803" max="12803" width="12.5" style="58" bestFit="1" customWidth="1"/>
    <col min="12804" max="12804" width="13.625" style="58" bestFit="1" customWidth="1"/>
    <col min="12805" max="13056" width="9" style="58"/>
    <col min="13057" max="13057" width="22.875" style="58" customWidth="1"/>
    <col min="13058" max="13058" width="45.5" style="58" customWidth="1"/>
    <col min="13059" max="13059" width="12.5" style="58" bestFit="1" customWidth="1"/>
    <col min="13060" max="13060" width="13.625" style="58" bestFit="1" customWidth="1"/>
    <col min="13061" max="13312" width="9" style="58"/>
    <col min="13313" max="13313" width="22.875" style="58" customWidth="1"/>
    <col min="13314" max="13314" width="45.5" style="58" customWidth="1"/>
    <col min="13315" max="13315" width="12.5" style="58" bestFit="1" customWidth="1"/>
    <col min="13316" max="13316" width="13.625" style="58" bestFit="1" customWidth="1"/>
    <col min="13317" max="13568" width="9" style="58"/>
    <col min="13569" max="13569" width="22.875" style="58" customWidth="1"/>
    <col min="13570" max="13570" width="45.5" style="58" customWidth="1"/>
    <col min="13571" max="13571" width="12.5" style="58" bestFit="1" customWidth="1"/>
    <col min="13572" max="13572" width="13.625" style="58" bestFit="1" customWidth="1"/>
    <col min="13573" max="13824" width="9" style="58"/>
    <col min="13825" max="13825" width="22.875" style="58" customWidth="1"/>
    <col min="13826" max="13826" width="45.5" style="58" customWidth="1"/>
    <col min="13827" max="13827" width="12.5" style="58" bestFit="1" customWidth="1"/>
    <col min="13828" max="13828" width="13.625" style="58" bestFit="1" customWidth="1"/>
    <col min="13829" max="14080" width="9" style="58"/>
    <col min="14081" max="14081" width="22.875" style="58" customWidth="1"/>
    <col min="14082" max="14082" width="45.5" style="58" customWidth="1"/>
    <col min="14083" max="14083" width="12.5" style="58" bestFit="1" customWidth="1"/>
    <col min="14084" max="14084" width="13.625" style="58" bestFit="1" customWidth="1"/>
    <col min="14085" max="14336" width="9" style="58"/>
    <col min="14337" max="14337" width="22.875" style="58" customWidth="1"/>
    <col min="14338" max="14338" width="45.5" style="58" customWidth="1"/>
    <col min="14339" max="14339" width="12.5" style="58" bestFit="1" customWidth="1"/>
    <col min="14340" max="14340" width="13.625" style="58" bestFit="1" customWidth="1"/>
    <col min="14341" max="14592" width="9" style="58"/>
    <col min="14593" max="14593" width="22.875" style="58" customWidth="1"/>
    <col min="14594" max="14594" width="45.5" style="58" customWidth="1"/>
    <col min="14595" max="14595" width="12.5" style="58" bestFit="1" customWidth="1"/>
    <col min="14596" max="14596" width="13.625" style="58" bestFit="1" customWidth="1"/>
    <col min="14597" max="14848" width="9" style="58"/>
    <col min="14849" max="14849" width="22.875" style="58" customWidth="1"/>
    <col min="14850" max="14850" width="45.5" style="58" customWidth="1"/>
    <col min="14851" max="14851" width="12.5" style="58" bestFit="1" customWidth="1"/>
    <col min="14852" max="14852" width="13.625" style="58" bestFit="1" customWidth="1"/>
    <col min="14853" max="15104" width="9" style="58"/>
    <col min="15105" max="15105" width="22.875" style="58" customWidth="1"/>
    <col min="15106" max="15106" width="45.5" style="58" customWidth="1"/>
    <col min="15107" max="15107" width="12.5" style="58" bestFit="1" customWidth="1"/>
    <col min="15108" max="15108" width="13.625" style="58" bestFit="1" customWidth="1"/>
    <col min="15109" max="15360" width="9" style="58"/>
    <col min="15361" max="15361" width="22.875" style="58" customWidth="1"/>
    <col min="15362" max="15362" width="45.5" style="58" customWidth="1"/>
    <col min="15363" max="15363" width="12.5" style="58" bestFit="1" customWidth="1"/>
    <col min="15364" max="15364" width="13.625" style="58" bestFit="1" customWidth="1"/>
    <col min="15365" max="15616" width="9" style="58"/>
    <col min="15617" max="15617" width="22.875" style="58" customWidth="1"/>
    <col min="15618" max="15618" width="45.5" style="58" customWidth="1"/>
    <col min="15619" max="15619" width="12.5" style="58" bestFit="1" customWidth="1"/>
    <col min="15620" max="15620" width="13.625" style="58" bestFit="1" customWidth="1"/>
    <col min="15621" max="15872" width="9" style="58"/>
    <col min="15873" max="15873" width="22.875" style="58" customWidth="1"/>
    <col min="15874" max="15874" width="45.5" style="58" customWidth="1"/>
    <col min="15875" max="15875" width="12.5" style="58" bestFit="1" customWidth="1"/>
    <col min="15876" max="15876" width="13.625" style="58" bestFit="1" customWidth="1"/>
    <col min="15877" max="16128" width="9" style="58"/>
    <col min="16129" max="16129" width="22.875" style="58" customWidth="1"/>
    <col min="16130" max="16130" width="45.5" style="58" customWidth="1"/>
    <col min="16131" max="16131" width="12.5" style="58" bestFit="1" customWidth="1"/>
    <col min="16132" max="16132" width="13.625" style="58" bestFit="1" customWidth="1"/>
    <col min="16133" max="16384" width="9" style="58"/>
  </cols>
  <sheetData>
    <row r="1" spans="1:6">
      <c r="A1" s="450" t="str">
        <f>+Control!D3</f>
        <v>MOP ENTERTAINMENT LIMITED</v>
      </c>
      <c r="B1" s="450"/>
      <c r="C1" s="450"/>
      <c r="D1" s="450"/>
    </row>
    <row r="2" spans="1:6">
      <c r="A2" s="59"/>
      <c r="B2" s="59"/>
      <c r="C2" s="59"/>
      <c r="D2" s="60"/>
    </row>
    <row r="3" spans="1:6">
      <c r="A3" s="450" t="str">
        <f>+CONCATENATE(E3,F3)</f>
        <v>FILE NO. : 62513946-000</v>
      </c>
      <c r="B3" s="450"/>
      <c r="C3" s="450"/>
      <c r="D3" s="450"/>
      <c r="E3" s="58" t="s">
        <v>179</v>
      </c>
      <c r="F3" s="58" t="str">
        <f>+Control!D87</f>
        <v>62513946-000</v>
      </c>
    </row>
    <row r="4" spans="1:6">
      <c r="A4" s="59"/>
      <c r="B4" s="59"/>
      <c r="C4" s="59"/>
      <c r="D4" s="60"/>
    </row>
    <row r="5" spans="1:6">
      <c r="A5" s="450" t="s">
        <v>180</v>
      </c>
      <c r="B5" s="450"/>
      <c r="C5" s="450"/>
      <c r="D5" s="450"/>
    </row>
    <row r="6" spans="1:6">
      <c r="A6" s="59"/>
      <c r="B6" s="59"/>
      <c r="C6" s="59"/>
      <c r="D6" s="60"/>
    </row>
    <row r="7" spans="1:6">
      <c r="A7" s="450" t="s">
        <v>181</v>
      </c>
      <c r="B7" s="450"/>
      <c r="C7" s="450"/>
      <c r="D7" s="450"/>
    </row>
    <row r="8" spans="1:6">
      <c r="A8" s="59"/>
      <c r="B8" s="59"/>
      <c r="C8" s="59"/>
      <c r="D8" s="60"/>
    </row>
    <row r="9" spans="1:6">
      <c r="A9" s="452" t="str">
        <f>+Control!D132</f>
        <v>2016/17</v>
      </c>
      <c r="B9" s="452"/>
      <c r="C9" s="452"/>
      <c r="D9" s="452"/>
    </row>
    <row r="10" spans="1:6">
      <c r="A10" s="453" t="str">
        <f>+CONCATENATE(E10,Control!D134,'T com (loss)'!E11)</f>
        <v>(Basis Period: )</v>
      </c>
      <c r="B10" s="453"/>
      <c r="C10" s="453"/>
      <c r="D10" s="453"/>
      <c r="E10" s="58" t="s">
        <v>182</v>
      </c>
    </row>
    <row r="11" spans="1:6">
      <c r="A11" s="61"/>
      <c r="B11" s="61"/>
      <c r="C11" s="61"/>
      <c r="D11" s="118"/>
      <c r="E11" s="58" t="s">
        <v>0</v>
      </c>
    </row>
    <row r="12" spans="1:6">
      <c r="D12" s="117" t="s">
        <v>183</v>
      </c>
    </row>
    <row r="14" spans="1:6">
      <c r="A14" s="58" t="str">
        <f>+IF(D14&lt;1,"LOSS:","PROFIT:")</f>
        <v>LOSS:</v>
      </c>
      <c r="B14" s="58" t="s">
        <v>184</v>
      </c>
      <c r="D14" s="63">
        <f>IF(Control!D37=0,Section3!C20,Section3!E20)</f>
        <v>0</v>
      </c>
    </row>
    <row r="15" spans="1:6">
      <c r="B15" s="58" t="s">
        <v>187</v>
      </c>
      <c r="C15" s="64"/>
      <c r="F15" s="58">
        <v>7900</v>
      </c>
    </row>
    <row r="16" spans="1:6">
      <c r="C16" s="64"/>
      <c r="D16" s="63"/>
    </row>
    <row r="17" spans="1:8">
      <c r="A17" s="58" t="s">
        <v>315</v>
      </c>
      <c r="B17" s="58" t="s">
        <v>337</v>
      </c>
      <c r="C17" s="64"/>
      <c r="D17" s="63">
        <f>924444</f>
        <v>924444</v>
      </c>
    </row>
    <row r="18" spans="1:8">
      <c r="B18" s="58" t="s">
        <v>338</v>
      </c>
      <c r="C18" s="64"/>
      <c r="D18" s="63">
        <v>9551</v>
      </c>
    </row>
    <row r="19" spans="1:8" hidden="1">
      <c r="B19" s="58" t="s">
        <v>317</v>
      </c>
      <c r="C19" s="64"/>
      <c r="D19" s="63">
        <v>0</v>
      </c>
    </row>
    <row r="20" spans="1:8">
      <c r="C20" s="64"/>
      <c r="D20" s="63"/>
    </row>
    <row r="21" spans="1:8">
      <c r="A21" s="58" t="str">
        <f>IF(Control!D136=0," ","LESS:")</f>
        <v>LESS:</v>
      </c>
      <c r="B21" s="58" t="str">
        <f>IF(Control!D136=0," ","Interest income")</f>
        <v>Interest income</v>
      </c>
      <c r="C21" s="64"/>
      <c r="D21" s="67">
        <f>IF(Control!D136=0," ",Control!D136)</f>
        <v>-9</v>
      </c>
      <c r="F21" s="58">
        <v>-4716</v>
      </c>
    </row>
    <row r="22" spans="1:8" hidden="1">
      <c r="B22" s="58" t="s">
        <v>335</v>
      </c>
      <c r="C22" s="64"/>
      <c r="D22" s="67">
        <v>0</v>
      </c>
    </row>
    <row r="23" spans="1:8" hidden="1">
      <c r="B23" s="58" t="s">
        <v>336</v>
      </c>
      <c r="D23" s="63">
        <v>0</v>
      </c>
    </row>
    <row r="24" spans="1:8">
      <c r="D24" s="68"/>
      <c r="F24" s="64">
        <f>+D21+F21+F15+D14</f>
        <v>3175</v>
      </c>
    </row>
    <row r="25" spans="1:8">
      <c r="A25" s="58" t="str">
        <f>+IF(D25&lt;1,"ADJUSTED LOSS:","ASSESSABLE PROFIT:")</f>
        <v>ASSESSABLE PROFIT:</v>
      </c>
      <c r="B25" s="58" t="str">
        <f>+CONCATENATE(E25,A9)</f>
        <v>For the Year of Assessment 2016/17</v>
      </c>
      <c r="D25" s="103">
        <f>SUM(D14:D24)</f>
        <v>933986</v>
      </c>
      <c r="E25" s="58" t="s">
        <v>188</v>
      </c>
    </row>
    <row r="26" spans="1:8">
      <c r="A26" s="58" t="s">
        <v>191</v>
      </c>
      <c r="D26" s="63">
        <f>Control!D139</f>
        <v>0</v>
      </c>
    </row>
    <row r="27" spans="1:8" ht="16.5" thickBot="1">
      <c r="D27" s="69">
        <f>+D25+D26</f>
        <v>933986</v>
      </c>
      <c r="F27" s="64">
        <f>+F24+D26</f>
        <v>3175</v>
      </c>
    </row>
    <row r="28" spans="1:8" ht="16.5" thickTop="1"/>
    <row r="29" spans="1:8">
      <c r="A29" s="450" t="str">
        <f>+CONCATENATE(E30,E31,E32,E37,F37,G37)</f>
        <v>FINAL ASSESSMENT 2016/17 AND PROVISIONAL PAYMENT 2017/18</v>
      </c>
      <c r="B29" s="450"/>
      <c r="C29" s="450"/>
      <c r="D29" s="450"/>
    </row>
    <row r="30" spans="1:8">
      <c r="D30" s="58"/>
      <c r="E30" s="58" t="s">
        <v>192</v>
      </c>
      <c r="H30" s="58">
        <v>11537</v>
      </c>
    </row>
    <row r="31" spans="1:8">
      <c r="A31" s="59" t="s">
        <v>193</v>
      </c>
      <c r="D31" s="58"/>
      <c r="E31" s="58" t="str">
        <f>+Control!D132</f>
        <v>2016/17</v>
      </c>
      <c r="H31" s="58">
        <v>8653</v>
      </c>
    </row>
    <row r="32" spans="1:8">
      <c r="D32" s="58"/>
      <c r="E32" s="58" t="s">
        <v>194</v>
      </c>
      <c r="H32" s="58">
        <f>+H30-H31</f>
        <v>2884</v>
      </c>
    </row>
    <row r="33" spans="1:9" ht="16.5" thickBot="1">
      <c r="A33" s="58" t="str">
        <f>+CONCATENATE(E39,A9)</f>
        <v>Assessable profit for the year of assessment 2016/17</v>
      </c>
      <c r="C33" s="70">
        <f>+D27</f>
        <v>933986</v>
      </c>
      <c r="D33" s="64"/>
      <c r="E33" s="109">
        <v>42460</v>
      </c>
      <c r="F33" s="109">
        <f>+Control!D12</f>
        <v>42582</v>
      </c>
      <c r="G33" s="108">
        <f>+F33-E33</f>
        <v>122</v>
      </c>
    </row>
    <row r="34" spans="1:9" ht="16.5" thickTop="1">
      <c r="C34" s="64"/>
      <c r="D34" s="64"/>
      <c r="E34" s="109">
        <v>42094</v>
      </c>
      <c r="F34" s="109">
        <f>+Control!D12</f>
        <v>42582</v>
      </c>
      <c r="G34" s="108">
        <f>+F34-E34</f>
        <v>488</v>
      </c>
    </row>
    <row r="35" spans="1:9">
      <c r="A35" s="58" t="s">
        <v>260</v>
      </c>
      <c r="C35" s="64"/>
      <c r="D35" s="64">
        <f>+ROUND(C33*0.165,0)</f>
        <v>154108</v>
      </c>
      <c r="E35" s="109">
        <v>41729</v>
      </c>
      <c r="F35" s="109">
        <f>+Control!D12</f>
        <v>42582</v>
      </c>
      <c r="G35" s="108">
        <f>+F35-E35</f>
        <v>853</v>
      </c>
    </row>
    <row r="36" spans="1:9">
      <c r="C36" s="64"/>
      <c r="D36" s="64"/>
      <c r="E36" s="108" t="str">
        <f>+LEFT(A9,4)</f>
        <v>2016</v>
      </c>
      <c r="F36" s="58" t="s">
        <v>196</v>
      </c>
      <c r="G36" s="58" t="str">
        <f>RIGHT(A9,2)</f>
        <v>17</v>
      </c>
    </row>
    <row r="37" spans="1:9">
      <c r="A37" s="58" t="str">
        <f>+IF(G33&gt;0,"",CONCATENATE(E41,F41))</f>
        <v/>
      </c>
      <c r="C37" s="64"/>
      <c r="D37" s="104" t="str">
        <f>+IF(G33&gt;0,"",MAX(-ROUND(D35*0.75,0),-Section6!#REF!))</f>
        <v/>
      </c>
      <c r="E37" s="58">
        <f>+E36+1</f>
        <v>2017</v>
      </c>
      <c r="F37" s="58" t="s">
        <v>196</v>
      </c>
      <c r="G37" s="58">
        <f>+G36+1</f>
        <v>18</v>
      </c>
    </row>
    <row r="38" spans="1:9">
      <c r="C38" s="64"/>
      <c r="D38" s="64">
        <f>+IF(G33&gt;0,D35,D35+D37)</f>
        <v>154108</v>
      </c>
      <c r="I38" s="134"/>
    </row>
    <row r="39" spans="1:9">
      <c r="A39" s="59" t="s">
        <v>198</v>
      </c>
      <c r="C39" s="64"/>
      <c r="D39" s="64"/>
      <c r="E39" s="58" t="s">
        <v>197</v>
      </c>
    </row>
    <row r="40" spans="1:9">
      <c r="C40" s="64"/>
      <c r="D40" s="64"/>
    </row>
    <row r="41" spans="1:9" ht="16.5" thickBot="1">
      <c r="A41" s="58" t="str">
        <f>+CONCATENATE(E39,E37,F37,G37)</f>
        <v>Assessable profit for the year of assessment 2017/18</v>
      </c>
      <c r="C41" s="70">
        <f>+D25</f>
        <v>933986</v>
      </c>
      <c r="D41" s="64"/>
      <c r="E41" s="58" t="s">
        <v>234</v>
      </c>
      <c r="F41" s="105" t="e">
        <f>+Section6!#REF!</f>
        <v>#REF!</v>
      </c>
    </row>
    <row r="42" spans="1:9" ht="16.5" thickTop="1">
      <c r="C42" s="64"/>
      <c r="D42" s="64"/>
    </row>
    <row r="43" spans="1:9">
      <c r="A43" s="58" t="s">
        <v>195</v>
      </c>
      <c r="C43" s="64"/>
      <c r="D43" s="71">
        <f>+C41*0.165</f>
        <v>154107.69</v>
      </c>
      <c r="E43" s="58" t="e">
        <f>+IF(G43&gt;=2015,"",CONCATENATE(E41,F41))</f>
        <v>#REF!</v>
      </c>
    </row>
    <row r="44" spans="1:9">
      <c r="C44" s="64"/>
      <c r="D44" s="72"/>
    </row>
    <row r="45" spans="1:9" ht="16.5" thickBot="1">
      <c r="A45" s="58" t="s">
        <v>199</v>
      </c>
      <c r="C45" s="64"/>
      <c r="D45" s="70">
        <f>+D38+D43</f>
        <v>308215.69</v>
      </c>
    </row>
    <row r="46" spans="1:9" ht="16.5" thickTop="1">
      <c r="D46" s="58"/>
    </row>
  </sheetData>
  <mergeCells count="7">
    <mergeCell ref="A29:D29"/>
    <mergeCell ref="A1:D1"/>
    <mergeCell ref="A3:D3"/>
    <mergeCell ref="A5:D5"/>
    <mergeCell ref="A7:D7"/>
    <mergeCell ref="A9:D9"/>
    <mergeCell ref="A10:D10"/>
  </mergeCells>
  <phoneticPr fontId="11" type="noConversion"/>
  <pageMargins left="0.7" right="0.7" top="0.75" bottom="0.75" header="0.3" footer="0.3"/>
  <pageSetup paperSize="9" scale="92"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5">
    <pageSetUpPr fitToPage="1"/>
  </sheetPr>
  <dimension ref="A1:H35"/>
  <sheetViews>
    <sheetView zoomScale="75" workbookViewId="0">
      <selection activeCell="G7" sqref="G7"/>
    </sheetView>
  </sheetViews>
  <sheetFormatPr defaultRowHeight="15.75"/>
  <cols>
    <col min="1" max="1" width="28.25" style="135" customWidth="1"/>
    <col min="2" max="2" width="10.125" style="135" bestFit="1" customWidth="1"/>
    <col min="3" max="3" width="4.125" style="135" customWidth="1"/>
    <col min="4" max="4" width="11.25" style="135" bestFit="1" customWidth="1"/>
    <col min="5" max="5" width="4.125" style="135" customWidth="1"/>
    <col min="6" max="6" width="11.25" style="135" customWidth="1"/>
    <col min="7" max="7" width="4" style="135" customWidth="1"/>
    <col min="8" max="8" width="12.5" style="135" bestFit="1" customWidth="1"/>
    <col min="9" max="256" width="9" style="135"/>
    <col min="257" max="257" width="28.25" style="135" customWidth="1"/>
    <col min="258" max="258" width="10.125" style="135" bestFit="1" customWidth="1"/>
    <col min="259" max="259" width="4.125" style="135" customWidth="1"/>
    <col min="260" max="260" width="11.25" style="135" bestFit="1" customWidth="1"/>
    <col min="261" max="261" width="4.125" style="135" customWidth="1"/>
    <col min="262" max="262" width="11.25" style="135" customWidth="1"/>
    <col min="263" max="263" width="4" style="135" customWidth="1"/>
    <col min="264" max="264" width="12.5" style="135" bestFit="1" customWidth="1"/>
    <col min="265" max="512" width="9" style="135"/>
    <col min="513" max="513" width="28.25" style="135" customWidth="1"/>
    <col min="514" max="514" width="10.125" style="135" bestFit="1" customWidth="1"/>
    <col min="515" max="515" width="4.125" style="135" customWidth="1"/>
    <col min="516" max="516" width="11.25" style="135" bestFit="1" customWidth="1"/>
    <col min="517" max="517" width="4.125" style="135" customWidth="1"/>
    <col min="518" max="518" width="11.25" style="135" customWidth="1"/>
    <col min="519" max="519" width="4" style="135" customWidth="1"/>
    <col min="520" max="520" width="12.5" style="135" bestFit="1" customWidth="1"/>
    <col min="521" max="768" width="9" style="135"/>
    <col min="769" max="769" width="28.25" style="135" customWidth="1"/>
    <col min="770" max="770" width="10.125" style="135" bestFit="1" customWidth="1"/>
    <col min="771" max="771" width="4.125" style="135" customWidth="1"/>
    <col min="772" max="772" width="11.25" style="135" bestFit="1" customWidth="1"/>
    <col min="773" max="773" width="4.125" style="135" customWidth="1"/>
    <col min="774" max="774" width="11.25" style="135" customWidth="1"/>
    <col min="775" max="775" width="4" style="135" customWidth="1"/>
    <col min="776" max="776" width="12.5" style="135" bestFit="1" customWidth="1"/>
    <col min="777" max="1024" width="9" style="135"/>
    <col min="1025" max="1025" width="28.25" style="135" customWidth="1"/>
    <col min="1026" max="1026" width="10.125" style="135" bestFit="1" customWidth="1"/>
    <col min="1027" max="1027" width="4.125" style="135" customWidth="1"/>
    <col min="1028" max="1028" width="11.25" style="135" bestFit="1" customWidth="1"/>
    <col min="1029" max="1029" width="4.125" style="135" customWidth="1"/>
    <col min="1030" max="1030" width="11.25" style="135" customWidth="1"/>
    <col min="1031" max="1031" width="4" style="135" customWidth="1"/>
    <col min="1032" max="1032" width="12.5" style="135" bestFit="1" customWidth="1"/>
    <col min="1033" max="1280" width="9" style="135"/>
    <col min="1281" max="1281" width="28.25" style="135" customWidth="1"/>
    <col min="1282" max="1282" width="10.125" style="135" bestFit="1" customWidth="1"/>
    <col min="1283" max="1283" width="4.125" style="135" customWidth="1"/>
    <col min="1284" max="1284" width="11.25" style="135" bestFit="1" customWidth="1"/>
    <col min="1285" max="1285" width="4.125" style="135" customWidth="1"/>
    <col min="1286" max="1286" width="11.25" style="135" customWidth="1"/>
    <col min="1287" max="1287" width="4" style="135" customWidth="1"/>
    <col min="1288" max="1288" width="12.5" style="135" bestFit="1" customWidth="1"/>
    <col min="1289" max="1536" width="9" style="135"/>
    <col min="1537" max="1537" width="28.25" style="135" customWidth="1"/>
    <col min="1538" max="1538" width="10.125" style="135" bestFit="1" customWidth="1"/>
    <col min="1539" max="1539" width="4.125" style="135" customWidth="1"/>
    <col min="1540" max="1540" width="11.25" style="135" bestFit="1" customWidth="1"/>
    <col min="1541" max="1541" width="4.125" style="135" customWidth="1"/>
    <col min="1542" max="1542" width="11.25" style="135" customWidth="1"/>
    <col min="1543" max="1543" width="4" style="135" customWidth="1"/>
    <col min="1544" max="1544" width="12.5" style="135" bestFit="1" customWidth="1"/>
    <col min="1545" max="1792" width="9" style="135"/>
    <col min="1793" max="1793" width="28.25" style="135" customWidth="1"/>
    <col min="1794" max="1794" width="10.125" style="135" bestFit="1" customWidth="1"/>
    <col min="1795" max="1795" width="4.125" style="135" customWidth="1"/>
    <col min="1796" max="1796" width="11.25" style="135" bestFit="1" customWidth="1"/>
    <col min="1797" max="1797" width="4.125" style="135" customWidth="1"/>
    <col min="1798" max="1798" width="11.25" style="135" customWidth="1"/>
    <col min="1799" max="1799" width="4" style="135" customWidth="1"/>
    <col min="1800" max="1800" width="12.5" style="135" bestFit="1" customWidth="1"/>
    <col min="1801" max="2048" width="9" style="135"/>
    <col min="2049" max="2049" width="28.25" style="135" customWidth="1"/>
    <col min="2050" max="2050" width="10.125" style="135" bestFit="1" customWidth="1"/>
    <col min="2051" max="2051" width="4.125" style="135" customWidth="1"/>
    <col min="2052" max="2052" width="11.25" style="135" bestFit="1" customWidth="1"/>
    <col min="2053" max="2053" width="4.125" style="135" customWidth="1"/>
    <col min="2054" max="2054" width="11.25" style="135" customWidth="1"/>
    <col min="2055" max="2055" width="4" style="135" customWidth="1"/>
    <col min="2056" max="2056" width="12.5" style="135" bestFit="1" customWidth="1"/>
    <col min="2057" max="2304" width="9" style="135"/>
    <col min="2305" max="2305" width="28.25" style="135" customWidth="1"/>
    <col min="2306" max="2306" width="10.125" style="135" bestFit="1" customWidth="1"/>
    <col min="2307" max="2307" width="4.125" style="135" customWidth="1"/>
    <col min="2308" max="2308" width="11.25" style="135" bestFit="1" customWidth="1"/>
    <col min="2309" max="2309" width="4.125" style="135" customWidth="1"/>
    <col min="2310" max="2310" width="11.25" style="135" customWidth="1"/>
    <col min="2311" max="2311" width="4" style="135" customWidth="1"/>
    <col min="2312" max="2312" width="12.5" style="135" bestFit="1" customWidth="1"/>
    <col min="2313" max="2560" width="9" style="135"/>
    <col min="2561" max="2561" width="28.25" style="135" customWidth="1"/>
    <col min="2562" max="2562" width="10.125" style="135" bestFit="1" customWidth="1"/>
    <col min="2563" max="2563" width="4.125" style="135" customWidth="1"/>
    <col min="2564" max="2564" width="11.25" style="135" bestFit="1" customWidth="1"/>
    <col min="2565" max="2565" width="4.125" style="135" customWidth="1"/>
    <col min="2566" max="2566" width="11.25" style="135" customWidth="1"/>
    <col min="2567" max="2567" width="4" style="135" customWidth="1"/>
    <col min="2568" max="2568" width="12.5" style="135" bestFit="1" customWidth="1"/>
    <col min="2569" max="2816" width="9" style="135"/>
    <col min="2817" max="2817" width="28.25" style="135" customWidth="1"/>
    <col min="2818" max="2818" width="10.125" style="135" bestFit="1" customWidth="1"/>
    <col min="2819" max="2819" width="4.125" style="135" customWidth="1"/>
    <col min="2820" max="2820" width="11.25" style="135" bestFit="1" customWidth="1"/>
    <col min="2821" max="2821" width="4.125" style="135" customWidth="1"/>
    <col min="2822" max="2822" width="11.25" style="135" customWidth="1"/>
    <col min="2823" max="2823" width="4" style="135" customWidth="1"/>
    <col min="2824" max="2824" width="12.5" style="135" bestFit="1" customWidth="1"/>
    <col min="2825" max="3072" width="9" style="135"/>
    <col min="3073" max="3073" width="28.25" style="135" customWidth="1"/>
    <col min="3074" max="3074" width="10.125" style="135" bestFit="1" customWidth="1"/>
    <col min="3075" max="3075" width="4.125" style="135" customWidth="1"/>
    <col min="3076" max="3076" width="11.25" style="135" bestFit="1" customWidth="1"/>
    <col min="3077" max="3077" width="4.125" style="135" customWidth="1"/>
    <col min="3078" max="3078" width="11.25" style="135" customWidth="1"/>
    <col min="3079" max="3079" width="4" style="135" customWidth="1"/>
    <col min="3080" max="3080" width="12.5" style="135" bestFit="1" customWidth="1"/>
    <col min="3081" max="3328" width="9" style="135"/>
    <col min="3329" max="3329" width="28.25" style="135" customWidth="1"/>
    <col min="3330" max="3330" width="10.125" style="135" bestFit="1" customWidth="1"/>
    <col min="3331" max="3331" width="4.125" style="135" customWidth="1"/>
    <col min="3332" max="3332" width="11.25" style="135" bestFit="1" customWidth="1"/>
    <col min="3333" max="3333" width="4.125" style="135" customWidth="1"/>
    <col min="3334" max="3334" width="11.25" style="135" customWidth="1"/>
    <col min="3335" max="3335" width="4" style="135" customWidth="1"/>
    <col min="3336" max="3336" width="12.5" style="135" bestFit="1" customWidth="1"/>
    <col min="3337" max="3584" width="9" style="135"/>
    <col min="3585" max="3585" width="28.25" style="135" customWidth="1"/>
    <col min="3586" max="3586" width="10.125" style="135" bestFit="1" customWidth="1"/>
    <col min="3587" max="3587" width="4.125" style="135" customWidth="1"/>
    <col min="3588" max="3588" width="11.25" style="135" bestFit="1" customWidth="1"/>
    <col min="3589" max="3589" width="4.125" style="135" customWidth="1"/>
    <col min="3590" max="3590" width="11.25" style="135" customWidth="1"/>
    <col min="3591" max="3591" width="4" style="135" customWidth="1"/>
    <col min="3592" max="3592" width="12.5" style="135" bestFit="1" customWidth="1"/>
    <col min="3593" max="3840" width="9" style="135"/>
    <col min="3841" max="3841" width="28.25" style="135" customWidth="1"/>
    <col min="3842" max="3842" width="10.125" style="135" bestFit="1" customWidth="1"/>
    <col min="3843" max="3843" width="4.125" style="135" customWidth="1"/>
    <col min="3844" max="3844" width="11.25" style="135" bestFit="1" customWidth="1"/>
    <col min="3845" max="3845" width="4.125" style="135" customWidth="1"/>
    <col min="3846" max="3846" width="11.25" style="135" customWidth="1"/>
    <col min="3847" max="3847" width="4" style="135" customWidth="1"/>
    <col min="3848" max="3848" width="12.5" style="135" bestFit="1" customWidth="1"/>
    <col min="3849" max="4096" width="9" style="135"/>
    <col min="4097" max="4097" width="28.25" style="135" customWidth="1"/>
    <col min="4098" max="4098" width="10.125" style="135" bestFit="1" customWidth="1"/>
    <col min="4099" max="4099" width="4.125" style="135" customWidth="1"/>
    <col min="4100" max="4100" width="11.25" style="135" bestFit="1" customWidth="1"/>
    <col min="4101" max="4101" width="4.125" style="135" customWidth="1"/>
    <col min="4102" max="4102" width="11.25" style="135" customWidth="1"/>
    <col min="4103" max="4103" width="4" style="135" customWidth="1"/>
    <col min="4104" max="4104" width="12.5" style="135" bestFit="1" customWidth="1"/>
    <col min="4105" max="4352" width="9" style="135"/>
    <col min="4353" max="4353" width="28.25" style="135" customWidth="1"/>
    <col min="4354" max="4354" width="10.125" style="135" bestFit="1" customWidth="1"/>
    <col min="4355" max="4355" width="4.125" style="135" customWidth="1"/>
    <col min="4356" max="4356" width="11.25" style="135" bestFit="1" customWidth="1"/>
    <col min="4357" max="4357" width="4.125" style="135" customWidth="1"/>
    <col min="4358" max="4358" width="11.25" style="135" customWidth="1"/>
    <col min="4359" max="4359" width="4" style="135" customWidth="1"/>
    <col min="4360" max="4360" width="12.5" style="135" bestFit="1" customWidth="1"/>
    <col min="4361" max="4608" width="9" style="135"/>
    <col min="4609" max="4609" width="28.25" style="135" customWidth="1"/>
    <col min="4610" max="4610" width="10.125" style="135" bestFit="1" customWidth="1"/>
    <col min="4611" max="4611" width="4.125" style="135" customWidth="1"/>
    <col min="4612" max="4612" width="11.25" style="135" bestFit="1" customWidth="1"/>
    <col min="4613" max="4613" width="4.125" style="135" customWidth="1"/>
    <col min="4614" max="4614" width="11.25" style="135" customWidth="1"/>
    <col min="4615" max="4615" width="4" style="135" customWidth="1"/>
    <col min="4616" max="4616" width="12.5" style="135" bestFit="1" customWidth="1"/>
    <col min="4617" max="4864" width="9" style="135"/>
    <col min="4865" max="4865" width="28.25" style="135" customWidth="1"/>
    <col min="4866" max="4866" width="10.125" style="135" bestFit="1" customWidth="1"/>
    <col min="4867" max="4867" width="4.125" style="135" customWidth="1"/>
    <col min="4868" max="4868" width="11.25" style="135" bestFit="1" customWidth="1"/>
    <col min="4869" max="4869" width="4.125" style="135" customWidth="1"/>
    <col min="4870" max="4870" width="11.25" style="135" customWidth="1"/>
    <col min="4871" max="4871" width="4" style="135" customWidth="1"/>
    <col min="4872" max="4872" width="12.5" style="135" bestFit="1" customWidth="1"/>
    <col min="4873" max="5120" width="9" style="135"/>
    <col min="5121" max="5121" width="28.25" style="135" customWidth="1"/>
    <col min="5122" max="5122" width="10.125" style="135" bestFit="1" customWidth="1"/>
    <col min="5123" max="5123" width="4.125" style="135" customWidth="1"/>
    <col min="5124" max="5124" width="11.25" style="135" bestFit="1" customWidth="1"/>
    <col min="5125" max="5125" width="4.125" style="135" customWidth="1"/>
    <col min="5126" max="5126" width="11.25" style="135" customWidth="1"/>
    <col min="5127" max="5127" width="4" style="135" customWidth="1"/>
    <col min="5128" max="5128" width="12.5" style="135" bestFit="1" customWidth="1"/>
    <col min="5129" max="5376" width="9" style="135"/>
    <col min="5377" max="5377" width="28.25" style="135" customWidth="1"/>
    <col min="5378" max="5378" width="10.125" style="135" bestFit="1" customWidth="1"/>
    <col min="5379" max="5379" width="4.125" style="135" customWidth="1"/>
    <col min="5380" max="5380" width="11.25" style="135" bestFit="1" customWidth="1"/>
    <col min="5381" max="5381" width="4.125" style="135" customWidth="1"/>
    <col min="5382" max="5382" width="11.25" style="135" customWidth="1"/>
    <col min="5383" max="5383" width="4" style="135" customWidth="1"/>
    <col min="5384" max="5384" width="12.5" style="135" bestFit="1" customWidth="1"/>
    <col min="5385" max="5632" width="9" style="135"/>
    <col min="5633" max="5633" width="28.25" style="135" customWidth="1"/>
    <col min="5634" max="5634" width="10.125" style="135" bestFit="1" customWidth="1"/>
    <col min="5635" max="5635" width="4.125" style="135" customWidth="1"/>
    <col min="5636" max="5636" width="11.25" style="135" bestFit="1" customWidth="1"/>
    <col min="5637" max="5637" width="4.125" style="135" customWidth="1"/>
    <col min="5638" max="5638" width="11.25" style="135" customWidth="1"/>
    <col min="5639" max="5639" width="4" style="135" customWidth="1"/>
    <col min="5640" max="5640" width="12.5" style="135" bestFit="1" customWidth="1"/>
    <col min="5641" max="5888" width="9" style="135"/>
    <col min="5889" max="5889" width="28.25" style="135" customWidth="1"/>
    <col min="5890" max="5890" width="10.125" style="135" bestFit="1" customWidth="1"/>
    <col min="5891" max="5891" width="4.125" style="135" customWidth="1"/>
    <col min="5892" max="5892" width="11.25" style="135" bestFit="1" customWidth="1"/>
    <col min="5893" max="5893" width="4.125" style="135" customWidth="1"/>
    <col min="5894" max="5894" width="11.25" style="135" customWidth="1"/>
    <col min="5895" max="5895" width="4" style="135" customWidth="1"/>
    <col min="5896" max="5896" width="12.5" style="135" bestFit="1" customWidth="1"/>
    <col min="5897" max="6144" width="9" style="135"/>
    <col min="6145" max="6145" width="28.25" style="135" customWidth="1"/>
    <col min="6146" max="6146" width="10.125" style="135" bestFit="1" customWidth="1"/>
    <col min="6147" max="6147" width="4.125" style="135" customWidth="1"/>
    <col min="6148" max="6148" width="11.25" style="135" bestFit="1" customWidth="1"/>
    <col min="6149" max="6149" width="4.125" style="135" customWidth="1"/>
    <col min="6150" max="6150" width="11.25" style="135" customWidth="1"/>
    <col min="6151" max="6151" width="4" style="135" customWidth="1"/>
    <col min="6152" max="6152" width="12.5" style="135" bestFit="1" customWidth="1"/>
    <col min="6153" max="6400" width="9" style="135"/>
    <col min="6401" max="6401" width="28.25" style="135" customWidth="1"/>
    <col min="6402" max="6402" width="10.125" style="135" bestFit="1" customWidth="1"/>
    <col min="6403" max="6403" width="4.125" style="135" customWidth="1"/>
    <col min="6404" max="6404" width="11.25" style="135" bestFit="1" customWidth="1"/>
    <col min="6405" max="6405" width="4.125" style="135" customWidth="1"/>
    <col min="6406" max="6406" width="11.25" style="135" customWidth="1"/>
    <col min="6407" max="6407" width="4" style="135" customWidth="1"/>
    <col min="6408" max="6408" width="12.5" style="135" bestFit="1" customWidth="1"/>
    <col min="6409" max="6656" width="9" style="135"/>
    <col min="6657" max="6657" width="28.25" style="135" customWidth="1"/>
    <col min="6658" max="6658" width="10.125" style="135" bestFit="1" customWidth="1"/>
    <col min="6659" max="6659" width="4.125" style="135" customWidth="1"/>
    <col min="6660" max="6660" width="11.25" style="135" bestFit="1" customWidth="1"/>
    <col min="6661" max="6661" width="4.125" style="135" customWidth="1"/>
    <col min="6662" max="6662" width="11.25" style="135" customWidth="1"/>
    <col min="6663" max="6663" width="4" style="135" customWidth="1"/>
    <col min="6664" max="6664" width="12.5" style="135" bestFit="1" customWidth="1"/>
    <col min="6665" max="6912" width="9" style="135"/>
    <col min="6913" max="6913" width="28.25" style="135" customWidth="1"/>
    <col min="6914" max="6914" width="10.125" style="135" bestFit="1" customWidth="1"/>
    <col min="6915" max="6915" width="4.125" style="135" customWidth="1"/>
    <col min="6916" max="6916" width="11.25" style="135" bestFit="1" customWidth="1"/>
    <col min="6917" max="6917" width="4.125" style="135" customWidth="1"/>
    <col min="6918" max="6918" width="11.25" style="135" customWidth="1"/>
    <col min="6919" max="6919" width="4" style="135" customWidth="1"/>
    <col min="6920" max="6920" width="12.5" style="135" bestFit="1" customWidth="1"/>
    <col min="6921" max="7168" width="9" style="135"/>
    <col min="7169" max="7169" width="28.25" style="135" customWidth="1"/>
    <col min="7170" max="7170" width="10.125" style="135" bestFit="1" customWidth="1"/>
    <col min="7171" max="7171" width="4.125" style="135" customWidth="1"/>
    <col min="7172" max="7172" width="11.25" style="135" bestFit="1" customWidth="1"/>
    <col min="7173" max="7173" width="4.125" style="135" customWidth="1"/>
    <col min="7174" max="7174" width="11.25" style="135" customWidth="1"/>
    <col min="7175" max="7175" width="4" style="135" customWidth="1"/>
    <col min="7176" max="7176" width="12.5" style="135" bestFit="1" customWidth="1"/>
    <col min="7177" max="7424" width="9" style="135"/>
    <col min="7425" max="7425" width="28.25" style="135" customWidth="1"/>
    <col min="7426" max="7426" width="10.125" style="135" bestFit="1" customWidth="1"/>
    <col min="7427" max="7427" width="4.125" style="135" customWidth="1"/>
    <col min="7428" max="7428" width="11.25" style="135" bestFit="1" customWidth="1"/>
    <col min="7429" max="7429" width="4.125" style="135" customWidth="1"/>
    <col min="7430" max="7430" width="11.25" style="135" customWidth="1"/>
    <col min="7431" max="7431" width="4" style="135" customWidth="1"/>
    <col min="7432" max="7432" width="12.5" style="135" bestFit="1" customWidth="1"/>
    <col min="7433" max="7680" width="9" style="135"/>
    <col min="7681" max="7681" width="28.25" style="135" customWidth="1"/>
    <col min="7682" max="7682" width="10.125" style="135" bestFit="1" customWidth="1"/>
    <col min="7683" max="7683" width="4.125" style="135" customWidth="1"/>
    <col min="7684" max="7684" width="11.25" style="135" bestFit="1" customWidth="1"/>
    <col min="7685" max="7685" width="4.125" style="135" customWidth="1"/>
    <col min="7686" max="7686" width="11.25" style="135" customWidth="1"/>
    <col min="7687" max="7687" width="4" style="135" customWidth="1"/>
    <col min="7688" max="7688" width="12.5" style="135" bestFit="1" customWidth="1"/>
    <col min="7689" max="7936" width="9" style="135"/>
    <col min="7937" max="7937" width="28.25" style="135" customWidth="1"/>
    <col min="7938" max="7938" width="10.125" style="135" bestFit="1" customWidth="1"/>
    <col min="7939" max="7939" width="4.125" style="135" customWidth="1"/>
    <col min="7940" max="7940" width="11.25" style="135" bestFit="1" customWidth="1"/>
    <col min="7941" max="7941" width="4.125" style="135" customWidth="1"/>
    <col min="7942" max="7942" width="11.25" style="135" customWidth="1"/>
    <col min="7943" max="7943" width="4" style="135" customWidth="1"/>
    <col min="7944" max="7944" width="12.5" style="135" bestFit="1" customWidth="1"/>
    <col min="7945" max="8192" width="9" style="135"/>
    <col min="8193" max="8193" width="28.25" style="135" customWidth="1"/>
    <col min="8194" max="8194" width="10.125" style="135" bestFit="1" customWidth="1"/>
    <col min="8195" max="8195" width="4.125" style="135" customWidth="1"/>
    <col min="8196" max="8196" width="11.25" style="135" bestFit="1" customWidth="1"/>
    <col min="8197" max="8197" width="4.125" style="135" customWidth="1"/>
    <col min="8198" max="8198" width="11.25" style="135" customWidth="1"/>
    <col min="8199" max="8199" width="4" style="135" customWidth="1"/>
    <col min="8200" max="8200" width="12.5" style="135" bestFit="1" customWidth="1"/>
    <col min="8201" max="8448" width="9" style="135"/>
    <col min="8449" max="8449" width="28.25" style="135" customWidth="1"/>
    <col min="8450" max="8450" width="10.125" style="135" bestFit="1" customWidth="1"/>
    <col min="8451" max="8451" width="4.125" style="135" customWidth="1"/>
    <col min="8452" max="8452" width="11.25" style="135" bestFit="1" customWidth="1"/>
    <col min="8453" max="8453" width="4.125" style="135" customWidth="1"/>
    <col min="8454" max="8454" width="11.25" style="135" customWidth="1"/>
    <col min="8455" max="8455" width="4" style="135" customWidth="1"/>
    <col min="8456" max="8456" width="12.5" style="135" bestFit="1" customWidth="1"/>
    <col min="8457" max="8704" width="9" style="135"/>
    <col min="8705" max="8705" width="28.25" style="135" customWidth="1"/>
    <col min="8706" max="8706" width="10.125" style="135" bestFit="1" customWidth="1"/>
    <col min="8707" max="8707" width="4.125" style="135" customWidth="1"/>
    <col min="8708" max="8708" width="11.25" style="135" bestFit="1" customWidth="1"/>
    <col min="8709" max="8709" width="4.125" style="135" customWidth="1"/>
    <col min="8710" max="8710" width="11.25" style="135" customWidth="1"/>
    <col min="8711" max="8711" width="4" style="135" customWidth="1"/>
    <col min="8712" max="8712" width="12.5" style="135" bestFit="1" customWidth="1"/>
    <col min="8713" max="8960" width="9" style="135"/>
    <col min="8961" max="8961" width="28.25" style="135" customWidth="1"/>
    <col min="8962" max="8962" width="10.125" style="135" bestFit="1" customWidth="1"/>
    <col min="8963" max="8963" width="4.125" style="135" customWidth="1"/>
    <col min="8964" max="8964" width="11.25" style="135" bestFit="1" customWidth="1"/>
    <col min="8965" max="8965" width="4.125" style="135" customWidth="1"/>
    <col min="8966" max="8966" width="11.25" style="135" customWidth="1"/>
    <col min="8967" max="8967" width="4" style="135" customWidth="1"/>
    <col min="8968" max="8968" width="12.5" style="135" bestFit="1" customWidth="1"/>
    <col min="8969" max="9216" width="9" style="135"/>
    <col min="9217" max="9217" width="28.25" style="135" customWidth="1"/>
    <col min="9218" max="9218" width="10.125" style="135" bestFit="1" customWidth="1"/>
    <col min="9219" max="9219" width="4.125" style="135" customWidth="1"/>
    <col min="9220" max="9220" width="11.25" style="135" bestFit="1" customWidth="1"/>
    <col min="9221" max="9221" width="4.125" style="135" customWidth="1"/>
    <col min="9222" max="9222" width="11.25" style="135" customWidth="1"/>
    <col min="9223" max="9223" width="4" style="135" customWidth="1"/>
    <col min="9224" max="9224" width="12.5" style="135" bestFit="1" customWidth="1"/>
    <col min="9225" max="9472" width="9" style="135"/>
    <col min="9473" max="9473" width="28.25" style="135" customWidth="1"/>
    <col min="9474" max="9474" width="10.125" style="135" bestFit="1" customWidth="1"/>
    <col min="9475" max="9475" width="4.125" style="135" customWidth="1"/>
    <col min="9476" max="9476" width="11.25" style="135" bestFit="1" customWidth="1"/>
    <col min="9477" max="9477" width="4.125" style="135" customWidth="1"/>
    <col min="9478" max="9478" width="11.25" style="135" customWidth="1"/>
    <col min="9479" max="9479" width="4" style="135" customWidth="1"/>
    <col min="9480" max="9480" width="12.5" style="135" bestFit="1" customWidth="1"/>
    <col min="9481" max="9728" width="9" style="135"/>
    <col min="9729" max="9729" width="28.25" style="135" customWidth="1"/>
    <col min="9730" max="9730" width="10.125" style="135" bestFit="1" customWidth="1"/>
    <col min="9731" max="9731" width="4.125" style="135" customWidth="1"/>
    <col min="9732" max="9732" width="11.25" style="135" bestFit="1" customWidth="1"/>
    <col min="9733" max="9733" width="4.125" style="135" customWidth="1"/>
    <col min="9734" max="9734" width="11.25" style="135" customWidth="1"/>
    <col min="9735" max="9735" width="4" style="135" customWidth="1"/>
    <col min="9736" max="9736" width="12.5" style="135" bestFit="1" customWidth="1"/>
    <col min="9737" max="9984" width="9" style="135"/>
    <col min="9985" max="9985" width="28.25" style="135" customWidth="1"/>
    <col min="9986" max="9986" width="10.125" style="135" bestFit="1" customWidth="1"/>
    <col min="9987" max="9987" width="4.125" style="135" customWidth="1"/>
    <col min="9988" max="9988" width="11.25" style="135" bestFit="1" customWidth="1"/>
    <col min="9989" max="9989" width="4.125" style="135" customWidth="1"/>
    <col min="9990" max="9990" width="11.25" style="135" customWidth="1"/>
    <col min="9991" max="9991" width="4" style="135" customWidth="1"/>
    <col min="9992" max="9992" width="12.5" style="135" bestFit="1" customWidth="1"/>
    <col min="9993" max="10240" width="9" style="135"/>
    <col min="10241" max="10241" width="28.25" style="135" customWidth="1"/>
    <col min="10242" max="10242" width="10.125" style="135" bestFit="1" customWidth="1"/>
    <col min="10243" max="10243" width="4.125" style="135" customWidth="1"/>
    <col min="10244" max="10244" width="11.25" style="135" bestFit="1" customWidth="1"/>
    <col min="10245" max="10245" width="4.125" style="135" customWidth="1"/>
    <col min="10246" max="10246" width="11.25" style="135" customWidth="1"/>
    <col min="10247" max="10247" width="4" style="135" customWidth="1"/>
    <col min="10248" max="10248" width="12.5" style="135" bestFit="1" customWidth="1"/>
    <col min="10249" max="10496" width="9" style="135"/>
    <col min="10497" max="10497" width="28.25" style="135" customWidth="1"/>
    <col min="10498" max="10498" width="10.125" style="135" bestFit="1" customWidth="1"/>
    <col min="10499" max="10499" width="4.125" style="135" customWidth="1"/>
    <col min="10500" max="10500" width="11.25" style="135" bestFit="1" customWidth="1"/>
    <col min="10501" max="10501" width="4.125" style="135" customWidth="1"/>
    <col min="10502" max="10502" width="11.25" style="135" customWidth="1"/>
    <col min="10503" max="10503" width="4" style="135" customWidth="1"/>
    <col min="10504" max="10504" width="12.5" style="135" bestFit="1" customWidth="1"/>
    <col min="10505" max="10752" width="9" style="135"/>
    <col min="10753" max="10753" width="28.25" style="135" customWidth="1"/>
    <col min="10754" max="10754" width="10.125" style="135" bestFit="1" customWidth="1"/>
    <col min="10755" max="10755" width="4.125" style="135" customWidth="1"/>
    <col min="10756" max="10756" width="11.25" style="135" bestFit="1" customWidth="1"/>
    <col min="10757" max="10757" width="4.125" style="135" customWidth="1"/>
    <col min="10758" max="10758" width="11.25" style="135" customWidth="1"/>
    <col min="10759" max="10759" width="4" style="135" customWidth="1"/>
    <col min="10760" max="10760" width="12.5" style="135" bestFit="1" customWidth="1"/>
    <col min="10761" max="11008" width="9" style="135"/>
    <col min="11009" max="11009" width="28.25" style="135" customWidth="1"/>
    <col min="11010" max="11010" width="10.125" style="135" bestFit="1" customWidth="1"/>
    <col min="11011" max="11011" width="4.125" style="135" customWidth="1"/>
    <col min="11012" max="11012" width="11.25" style="135" bestFit="1" customWidth="1"/>
    <col min="11013" max="11013" width="4.125" style="135" customWidth="1"/>
    <col min="11014" max="11014" width="11.25" style="135" customWidth="1"/>
    <col min="11015" max="11015" width="4" style="135" customWidth="1"/>
    <col min="11016" max="11016" width="12.5" style="135" bestFit="1" customWidth="1"/>
    <col min="11017" max="11264" width="9" style="135"/>
    <col min="11265" max="11265" width="28.25" style="135" customWidth="1"/>
    <col min="11266" max="11266" width="10.125" style="135" bestFit="1" customWidth="1"/>
    <col min="11267" max="11267" width="4.125" style="135" customWidth="1"/>
    <col min="11268" max="11268" width="11.25" style="135" bestFit="1" customWidth="1"/>
    <col min="11269" max="11269" width="4.125" style="135" customWidth="1"/>
    <col min="11270" max="11270" width="11.25" style="135" customWidth="1"/>
    <col min="11271" max="11271" width="4" style="135" customWidth="1"/>
    <col min="11272" max="11272" width="12.5" style="135" bestFit="1" customWidth="1"/>
    <col min="11273" max="11520" width="9" style="135"/>
    <col min="11521" max="11521" width="28.25" style="135" customWidth="1"/>
    <col min="11522" max="11522" width="10.125" style="135" bestFit="1" customWidth="1"/>
    <col min="11523" max="11523" width="4.125" style="135" customWidth="1"/>
    <col min="11524" max="11524" width="11.25" style="135" bestFit="1" customWidth="1"/>
    <col min="11525" max="11525" width="4.125" style="135" customWidth="1"/>
    <col min="11526" max="11526" width="11.25" style="135" customWidth="1"/>
    <col min="11527" max="11527" width="4" style="135" customWidth="1"/>
    <col min="11528" max="11528" width="12.5" style="135" bestFit="1" customWidth="1"/>
    <col min="11529" max="11776" width="9" style="135"/>
    <col min="11777" max="11777" width="28.25" style="135" customWidth="1"/>
    <col min="11778" max="11778" width="10.125" style="135" bestFit="1" customWidth="1"/>
    <col min="11779" max="11779" width="4.125" style="135" customWidth="1"/>
    <col min="11780" max="11780" width="11.25" style="135" bestFit="1" customWidth="1"/>
    <col min="11781" max="11781" width="4.125" style="135" customWidth="1"/>
    <col min="11782" max="11782" width="11.25" style="135" customWidth="1"/>
    <col min="11783" max="11783" width="4" style="135" customWidth="1"/>
    <col min="11784" max="11784" width="12.5" style="135" bestFit="1" customWidth="1"/>
    <col min="11785" max="12032" width="9" style="135"/>
    <col min="12033" max="12033" width="28.25" style="135" customWidth="1"/>
    <col min="12034" max="12034" width="10.125" style="135" bestFit="1" customWidth="1"/>
    <col min="12035" max="12035" width="4.125" style="135" customWidth="1"/>
    <col min="12036" max="12036" width="11.25" style="135" bestFit="1" customWidth="1"/>
    <col min="12037" max="12037" width="4.125" style="135" customWidth="1"/>
    <col min="12038" max="12038" width="11.25" style="135" customWidth="1"/>
    <col min="12039" max="12039" width="4" style="135" customWidth="1"/>
    <col min="12040" max="12040" width="12.5" style="135" bestFit="1" customWidth="1"/>
    <col min="12041" max="12288" width="9" style="135"/>
    <col min="12289" max="12289" width="28.25" style="135" customWidth="1"/>
    <col min="12290" max="12290" width="10.125" style="135" bestFit="1" customWidth="1"/>
    <col min="12291" max="12291" width="4.125" style="135" customWidth="1"/>
    <col min="12292" max="12292" width="11.25" style="135" bestFit="1" customWidth="1"/>
    <col min="12293" max="12293" width="4.125" style="135" customWidth="1"/>
    <col min="12294" max="12294" width="11.25" style="135" customWidth="1"/>
    <col min="12295" max="12295" width="4" style="135" customWidth="1"/>
    <col min="12296" max="12296" width="12.5" style="135" bestFit="1" customWidth="1"/>
    <col min="12297" max="12544" width="9" style="135"/>
    <col min="12545" max="12545" width="28.25" style="135" customWidth="1"/>
    <col min="12546" max="12546" width="10.125" style="135" bestFit="1" customWidth="1"/>
    <col min="12547" max="12547" width="4.125" style="135" customWidth="1"/>
    <col min="12548" max="12548" width="11.25" style="135" bestFit="1" customWidth="1"/>
    <col min="12549" max="12549" width="4.125" style="135" customWidth="1"/>
    <col min="12550" max="12550" width="11.25" style="135" customWidth="1"/>
    <col min="12551" max="12551" width="4" style="135" customWidth="1"/>
    <col min="12552" max="12552" width="12.5" style="135" bestFit="1" customWidth="1"/>
    <col min="12553" max="12800" width="9" style="135"/>
    <col min="12801" max="12801" width="28.25" style="135" customWidth="1"/>
    <col min="12802" max="12802" width="10.125" style="135" bestFit="1" customWidth="1"/>
    <col min="12803" max="12803" width="4.125" style="135" customWidth="1"/>
    <col min="12804" max="12804" width="11.25" style="135" bestFit="1" customWidth="1"/>
    <col min="12805" max="12805" width="4.125" style="135" customWidth="1"/>
    <col min="12806" max="12806" width="11.25" style="135" customWidth="1"/>
    <col min="12807" max="12807" width="4" style="135" customWidth="1"/>
    <col min="12808" max="12808" width="12.5" style="135" bestFit="1" customWidth="1"/>
    <col min="12809" max="13056" width="9" style="135"/>
    <col min="13057" max="13057" width="28.25" style="135" customWidth="1"/>
    <col min="13058" max="13058" width="10.125" style="135" bestFit="1" customWidth="1"/>
    <col min="13059" max="13059" width="4.125" style="135" customWidth="1"/>
    <col min="13060" max="13060" width="11.25" style="135" bestFit="1" customWidth="1"/>
    <col min="13061" max="13061" width="4.125" style="135" customWidth="1"/>
    <col min="13062" max="13062" width="11.25" style="135" customWidth="1"/>
    <col min="13063" max="13063" width="4" style="135" customWidth="1"/>
    <col min="13064" max="13064" width="12.5" style="135" bestFit="1" customWidth="1"/>
    <col min="13065" max="13312" width="9" style="135"/>
    <col min="13313" max="13313" width="28.25" style="135" customWidth="1"/>
    <col min="13314" max="13314" width="10.125" style="135" bestFit="1" customWidth="1"/>
    <col min="13315" max="13315" width="4.125" style="135" customWidth="1"/>
    <col min="13316" max="13316" width="11.25" style="135" bestFit="1" customWidth="1"/>
    <col min="13317" max="13317" width="4.125" style="135" customWidth="1"/>
    <col min="13318" max="13318" width="11.25" style="135" customWidth="1"/>
    <col min="13319" max="13319" width="4" style="135" customWidth="1"/>
    <col min="13320" max="13320" width="12.5" style="135" bestFit="1" customWidth="1"/>
    <col min="13321" max="13568" width="9" style="135"/>
    <col min="13569" max="13569" width="28.25" style="135" customWidth="1"/>
    <col min="13570" max="13570" width="10.125" style="135" bestFit="1" customWidth="1"/>
    <col min="13571" max="13571" width="4.125" style="135" customWidth="1"/>
    <col min="13572" max="13572" width="11.25" style="135" bestFit="1" customWidth="1"/>
    <col min="13573" max="13573" width="4.125" style="135" customWidth="1"/>
    <col min="13574" max="13574" width="11.25" style="135" customWidth="1"/>
    <col min="13575" max="13575" width="4" style="135" customWidth="1"/>
    <col min="13576" max="13576" width="12.5" style="135" bestFit="1" customWidth="1"/>
    <col min="13577" max="13824" width="9" style="135"/>
    <col min="13825" max="13825" width="28.25" style="135" customWidth="1"/>
    <col min="13826" max="13826" width="10.125" style="135" bestFit="1" customWidth="1"/>
    <col min="13827" max="13827" width="4.125" style="135" customWidth="1"/>
    <col min="13828" max="13828" width="11.25" style="135" bestFit="1" customWidth="1"/>
    <col min="13829" max="13829" width="4.125" style="135" customWidth="1"/>
    <col min="13830" max="13830" width="11.25" style="135" customWidth="1"/>
    <col min="13831" max="13831" width="4" style="135" customWidth="1"/>
    <col min="13832" max="13832" width="12.5" style="135" bestFit="1" customWidth="1"/>
    <col min="13833" max="14080" width="9" style="135"/>
    <col min="14081" max="14081" width="28.25" style="135" customWidth="1"/>
    <col min="14082" max="14082" width="10.125" style="135" bestFit="1" customWidth="1"/>
    <col min="14083" max="14083" width="4.125" style="135" customWidth="1"/>
    <col min="14084" max="14084" width="11.25" style="135" bestFit="1" customWidth="1"/>
    <col min="14085" max="14085" width="4.125" style="135" customWidth="1"/>
    <col min="14086" max="14086" width="11.25" style="135" customWidth="1"/>
    <col min="14087" max="14087" width="4" style="135" customWidth="1"/>
    <col min="14088" max="14088" width="12.5" style="135" bestFit="1" customWidth="1"/>
    <col min="14089" max="14336" width="9" style="135"/>
    <col min="14337" max="14337" width="28.25" style="135" customWidth="1"/>
    <col min="14338" max="14338" width="10.125" style="135" bestFit="1" customWidth="1"/>
    <col min="14339" max="14339" width="4.125" style="135" customWidth="1"/>
    <col min="14340" max="14340" width="11.25" style="135" bestFit="1" customWidth="1"/>
    <col min="14341" max="14341" width="4.125" style="135" customWidth="1"/>
    <col min="14342" max="14342" width="11.25" style="135" customWidth="1"/>
    <col min="14343" max="14343" width="4" style="135" customWidth="1"/>
    <col min="14344" max="14344" width="12.5" style="135" bestFit="1" customWidth="1"/>
    <col min="14345" max="14592" width="9" style="135"/>
    <col min="14593" max="14593" width="28.25" style="135" customWidth="1"/>
    <col min="14594" max="14594" width="10.125" style="135" bestFit="1" customWidth="1"/>
    <col min="14595" max="14595" width="4.125" style="135" customWidth="1"/>
    <col min="14596" max="14596" width="11.25" style="135" bestFit="1" customWidth="1"/>
    <col min="14597" max="14597" width="4.125" style="135" customWidth="1"/>
    <col min="14598" max="14598" width="11.25" style="135" customWidth="1"/>
    <col min="14599" max="14599" width="4" style="135" customWidth="1"/>
    <col min="14600" max="14600" width="12.5" style="135" bestFit="1" customWidth="1"/>
    <col min="14601" max="14848" width="9" style="135"/>
    <col min="14849" max="14849" width="28.25" style="135" customWidth="1"/>
    <col min="14850" max="14850" width="10.125" style="135" bestFit="1" customWidth="1"/>
    <col min="14851" max="14851" width="4.125" style="135" customWidth="1"/>
    <col min="14852" max="14852" width="11.25" style="135" bestFit="1" customWidth="1"/>
    <col min="14853" max="14853" width="4.125" style="135" customWidth="1"/>
    <col min="14854" max="14854" width="11.25" style="135" customWidth="1"/>
    <col min="14855" max="14855" width="4" style="135" customWidth="1"/>
    <col min="14856" max="14856" width="12.5" style="135" bestFit="1" customWidth="1"/>
    <col min="14857" max="15104" width="9" style="135"/>
    <col min="15105" max="15105" width="28.25" style="135" customWidth="1"/>
    <col min="15106" max="15106" width="10.125" style="135" bestFit="1" customWidth="1"/>
    <col min="15107" max="15107" width="4.125" style="135" customWidth="1"/>
    <col min="15108" max="15108" width="11.25" style="135" bestFit="1" customWidth="1"/>
    <col min="15109" max="15109" width="4.125" style="135" customWidth="1"/>
    <col min="15110" max="15110" width="11.25" style="135" customWidth="1"/>
    <col min="15111" max="15111" width="4" style="135" customWidth="1"/>
    <col min="15112" max="15112" width="12.5" style="135" bestFit="1" customWidth="1"/>
    <col min="15113" max="15360" width="9" style="135"/>
    <col min="15361" max="15361" width="28.25" style="135" customWidth="1"/>
    <col min="15362" max="15362" width="10.125" style="135" bestFit="1" customWidth="1"/>
    <col min="15363" max="15363" width="4.125" style="135" customWidth="1"/>
    <col min="15364" max="15364" width="11.25" style="135" bestFit="1" customWidth="1"/>
    <col min="15365" max="15365" width="4.125" style="135" customWidth="1"/>
    <col min="15366" max="15366" width="11.25" style="135" customWidth="1"/>
    <col min="15367" max="15367" width="4" style="135" customWidth="1"/>
    <col min="15368" max="15368" width="12.5" style="135" bestFit="1" customWidth="1"/>
    <col min="15369" max="15616" width="9" style="135"/>
    <col min="15617" max="15617" width="28.25" style="135" customWidth="1"/>
    <col min="15618" max="15618" width="10.125" style="135" bestFit="1" customWidth="1"/>
    <col min="15619" max="15619" width="4.125" style="135" customWidth="1"/>
    <col min="15620" max="15620" width="11.25" style="135" bestFit="1" customWidth="1"/>
    <col min="15621" max="15621" width="4.125" style="135" customWidth="1"/>
    <col min="15622" max="15622" width="11.25" style="135" customWidth="1"/>
    <col min="15623" max="15623" width="4" style="135" customWidth="1"/>
    <col min="15624" max="15624" width="12.5" style="135" bestFit="1" customWidth="1"/>
    <col min="15625" max="15872" width="9" style="135"/>
    <col min="15873" max="15873" width="28.25" style="135" customWidth="1"/>
    <col min="15874" max="15874" width="10.125" style="135" bestFit="1" customWidth="1"/>
    <col min="15875" max="15875" width="4.125" style="135" customWidth="1"/>
    <col min="15876" max="15876" width="11.25" style="135" bestFit="1" customWidth="1"/>
    <col min="15877" max="15877" width="4.125" style="135" customWidth="1"/>
    <col min="15878" max="15878" width="11.25" style="135" customWidth="1"/>
    <col min="15879" max="15879" width="4" style="135" customWidth="1"/>
    <col min="15880" max="15880" width="12.5" style="135" bestFit="1" customWidth="1"/>
    <col min="15881" max="16128" width="9" style="135"/>
    <col min="16129" max="16129" width="28.25" style="135" customWidth="1"/>
    <col min="16130" max="16130" width="10.125" style="135" bestFit="1" customWidth="1"/>
    <col min="16131" max="16131" width="4.125" style="135" customWidth="1"/>
    <col min="16132" max="16132" width="11.25" style="135" bestFit="1" customWidth="1"/>
    <col min="16133" max="16133" width="4.125" style="135" customWidth="1"/>
    <col min="16134" max="16134" width="11.25" style="135" customWidth="1"/>
    <col min="16135" max="16135" width="4" style="135" customWidth="1"/>
    <col min="16136" max="16136" width="12.5" style="135" bestFit="1" customWidth="1"/>
    <col min="16137" max="16384" width="9" style="135"/>
  </cols>
  <sheetData>
    <row r="1" spans="1:8">
      <c r="A1" s="136"/>
      <c r="B1" s="136"/>
      <c r="C1" s="136"/>
      <c r="D1" s="136"/>
      <c r="E1" s="136"/>
      <c r="F1" s="136"/>
      <c r="G1" s="136"/>
      <c r="H1" s="136"/>
    </row>
    <row r="2" spans="1:8">
      <c r="A2" s="454" t="s">
        <v>318</v>
      </c>
      <c r="B2" s="454"/>
      <c r="C2" s="454"/>
      <c r="D2" s="454"/>
      <c r="E2" s="454"/>
      <c r="F2" s="454"/>
      <c r="G2" s="454"/>
      <c r="H2" s="454"/>
    </row>
    <row r="4" spans="1:8" s="138" customFormat="1">
      <c r="B4" s="148"/>
      <c r="C4" s="149"/>
      <c r="D4" s="148"/>
      <c r="E4" s="150"/>
      <c r="F4" s="150" t="s">
        <v>319</v>
      </c>
      <c r="H4" s="138" t="s">
        <v>320</v>
      </c>
    </row>
    <row r="5" spans="1:8">
      <c r="B5" s="151"/>
      <c r="C5" s="151"/>
      <c r="D5" s="151"/>
      <c r="E5" s="137"/>
      <c r="F5" s="137" t="s">
        <v>183</v>
      </c>
      <c r="G5" s="137"/>
      <c r="H5" s="137" t="s">
        <v>183</v>
      </c>
    </row>
    <row r="6" spans="1:8">
      <c r="B6" s="142"/>
      <c r="C6" s="142"/>
      <c r="D6" s="142"/>
    </row>
    <row r="7" spans="1:8" ht="23.25" customHeight="1">
      <c r="A7" s="135" t="s">
        <v>321</v>
      </c>
      <c r="B7" s="144"/>
      <c r="C7" s="142"/>
      <c r="D7" s="144"/>
      <c r="E7" s="144"/>
      <c r="F7" s="193">
        <v>11346</v>
      </c>
      <c r="H7" s="139"/>
    </row>
    <row r="8" spans="1:8" ht="23.25" customHeight="1">
      <c r="A8" s="135" t="s">
        <v>322</v>
      </c>
      <c r="B8" s="144"/>
      <c r="C8" s="142"/>
      <c r="D8" s="144"/>
      <c r="E8" s="144"/>
      <c r="F8" s="194">
        <f>+FA!H11</f>
        <v>14830</v>
      </c>
      <c r="H8" s="139"/>
    </row>
    <row r="9" spans="1:8" ht="20.100000000000001" customHeight="1">
      <c r="A9" s="135" t="s">
        <v>323</v>
      </c>
      <c r="B9" s="144"/>
      <c r="C9" s="142"/>
      <c r="D9" s="144"/>
      <c r="E9" s="144"/>
      <c r="F9" s="140">
        <f>-ROUND(F8*60%,0)</f>
        <v>-8898</v>
      </c>
      <c r="H9" s="139">
        <f>-B9-D9-F9</f>
        <v>8898</v>
      </c>
    </row>
    <row r="10" spans="1:8" ht="6" customHeight="1">
      <c r="B10" s="144"/>
      <c r="C10" s="142"/>
      <c r="D10" s="144"/>
      <c r="E10" s="144"/>
      <c r="F10" s="144"/>
      <c r="H10" s="139"/>
    </row>
    <row r="11" spans="1:8" ht="20.100000000000001" customHeight="1">
      <c r="B11" s="144"/>
      <c r="C11" s="142"/>
      <c r="D11" s="144"/>
      <c r="E11" s="144"/>
      <c r="F11" s="144">
        <f>SUM(F7:F10)</f>
        <v>17278</v>
      </c>
      <c r="H11" s="139"/>
    </row>
    <row r="12" spans="1:8" ht="20.100000000000001" customHeight="1">
      <c r="A12" s="135" t="s">
        <v>324</v>
      </c>
      <c r="B12" s="144"/>
      <c r="C12" s="144"/>
      <c r="D12" s="144"/>
      <c r="E12" s="144"/>
      <c r="F12" s="140">
        <f>-ROUND(F11*0.2,0)</f>
        <v>-3456</v>
      </c>
      <c r="H12" s="139">
        <f>-SUM(B12:F12)</f>
        <v>3456</v>
      </c>
    </row>
    <row r="13" spans="1:8" ht="24.95" customHeight="1" thickBot="1">
      <c r="A13" s="135" t="s">
        <v>325</v>
      </c>
      <c r="B13" s="144"/>
      <c r="C13" s="142"/>
      <c r="D13" s="144"/>
      <c r="E13" s="144"/>
      <c r="F13" s="152">
        <f>+F11+F12</f>
        <v>13822</v>
      </c>
      <c r="H13" s="140"/>
    </row>
    <row r="14" spans="1:8" ht="24.95" customHeight="1" thickTop="1" thickBot="1">
      <c r="B14" s="142"/>
      <c r="C14" s="142"/>
      <c r="D14" s="142"/>
      <c r="H14" s="152">
        <f>SUM(H9:H13)</f>
        <v>12354</v>
      </c>
    </row>
    <row r="15" spans="1:8" ht="16.5" thickTop="1"/>
    <row r="16" spans="1:8">
      <c r="A16"/>
      <c r="B16"/>
      <c r="C16"/>
      <c r="D16"/>
      <c r="E16"/>
      <c r="F16"/>
      <c r="G16"/>
      <c r="H16"/>
    </row>
    <row r="17" spans="1:8" hidden="1">
      <c r="A17" s="454" t="s">
        <v>326</v>
      </c>
      <c r="B17" s="454"/>
      <c r="C17" s="454"/>
      <c r="D17" s="454"/>
      <c r="E17" s="454"/>
      <c r="F17" s="454"/>
      <c r="G17" s="454"/>
      <c r="H17" s="454"/>
    </row>
    <row r="18" spans="1:8" hidden="1"/>
    <row r="19" spans="1:8" ht="24.95" hidden="1" customHeight="1">
      <c r="A19" s="135" t="s">
        <v>327</v>
      </c>
      <c r="H19" s="144">
        <v>6667752</v>
      </c>
    </row>
    <row r="20" spans="1:8" ht="24.95" hidden="1" customHeight="1">
      <c r="A20" s="135" t="s">
        <v>328</v>
      </c>
      <c r="H20" s="144">
        <v>1475000</v>
      </c>
    </row>
    <row r="21" spans="1:8" ht="24.95" hidden="1" customHeight="1" thickBot="1">
      <c r="H21" s="152">
        <f>SUM(H19:H20)</f>
        <v>8142752</v>
      </c>
    </row>
    <row r="22" spans="1:8" ht="21.75" hidden="1" customHeight="1" thickTop="1">
      <c r="H22" s="139"/>
    </row>
    <row r="23" spans="1:8" ht="24.95" hidden="1" customHeight="1" thickBot="1">
      <c r="A23" s="135" t="s">
        <v>329</v>
      </c>
      <c r="H23" s="146">
        <v>333755</v>
      </c>
    </row>
    <row r="25" spans="1:8" hidden="1">
      <c r="A25" s="454" t="s">
        <v>326</v>
      </c>
      <c r="B25" s="454"/>
      <c r="C25" s="454"/>
      <c r="D25" s="454"/>
      <c r="E25" s="454"/>
      <c r="F25" s="454"/>
      <c r="G25" s="454"/>
      <c r="H25" s="454"/>
    </row>
    <row r="26" spans="1:8" hidden="1"/>
    <row r="27" spans="1:8" hidden="1">
      <c r="A27" s="135" t="s">
        <v>330</v>
      </c>
      <c r="H27" s="144">
        <v>9255</v>
      </c>
    </row>
    <row r="28" spans="1:8" hidden="1">
      <c r="A28" s="135" t="s">
        <v>331</v>
      </c>
      <c r="H28" s="144">
        <v>13800</v>
      </c>
    </row>
    <row r="29" spans="1:8" hidden="1">
      <c r="A29" s="135" t="s">
        <v>332</v>
      </c>
      <c r="H29" s="144">
        <v>4050</v>
      </c>
    </row>
    <row r="30" spans="1:8" ht="16.5" hidden="1" thickBot="1">
      <c r="H30" s="152">
        <f>SUM(H27:H29)</f>
        <v>27105</v>
      </c>
    </row>
    <row r="31" spans="1:8" ht="16.5" hidden="1" thickTop="1">
      <c r="H31" s="144"/>
    </row>
    <row r="32" spans="1:8" hidden="1">
      <c r="A32" s="135" t="s">
        <v>321</v>
      </c>
      <c r="H32" s="144">
        <v>16667</v>
      </c>
    </row>
    <row r="33" spans="1:8" hidden="1">
      <c r="A33" s="135" t="s">
        <v>333</v>
      </c>
      <c r="H33" s="140">
        <v>-1084</v>
      </c>
    </row>
    <row r="34" spans="1:8" ht="16.5" hidden="1" thickBot="1">
      <c r="A34" s="135" t="s">
        <v>334</v>
      </c>
      <c r="H34" s="146">
        <f>SUM(H32:H33)</f>
        <v>15583</v>
      </c>
    </row>
    <row r="35" spans="1:8" ht="16.5" hidden="1" thickTop="1"/>
  </sheetData>
  <mergeCells count="3">
    <mergeCell ref="A25:H25"/>
    <mergeCell ref="A2:H2"/>
    <mergeCell ref="A17:H17"/>
  </mergeCells>
  <phoneticPr fontId="11"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43">
    <pageSetUpPr fitToPage="1"/>
  </sheetPr>
  <dimension ref="A1:K15"/>
  <sheetViews>
    <sheetView zoomScale="80" workbookViewId="0">
      <selection activeCell="G7" sqref="G7"/>
    </sheetView>
  </sheetViews>
  <sheetFormatPr defaultRowHeight="15.75"/>
  <cols>
    <col min="1" max="1" width="5.25" style="135" customWidth="1"/>
    <col min="2" max="4" width="9" style="135"/>
    <col min="5" max="5" width="31.25" style="135" customWidth="1"/>
    <col min="6" max="6" width="13.75" style="135" customWidth="1"/>
    <col min="7" max="7" width="2.75" style="135" customWidth="1"/>
    <col min="8" max="8" width="12.875" style="135" customWidth="1"/>
    <col min="9" max="9" width="1.75" style="135" customWidth="1"/>
    <col min="10" max="10" width="19.875" style="135" bestFit="1" customWidth="1"/>
    <col min="11" max="11" width="12.75" style="135" hidden="1" customWidth="1"/>
    <col min="12" max="254" width="9" style="135"/>
    <col min="255" max="255" width="5.25" style="135" customWidth="1"/>
    <col min="256" max="258" width="9" style="135"/>
    <col min="259" max="259" width="31.25" style="135" customWidth="1"/>
    <col min="260" max="260" width="13.75" style="135" customWidth="1"/>
    <col min="261" max="261" width="2.75" style="135" customWidth="1"/>
    <col min="262" max="262" width="12.875" style="135" customWidth="1"/>
    <col min="263" max="263" width="1.75" style="135" customWidth="1"/>
    <col min="264" max="264" width="12.875" style="135" customWidth="1"/>
    <col min="265" max="265" width="1.375" style="135" customWidth="1"/>
    <col min="266" max="266" width="19.875" style="135" bestFit="1" customWidth="1"/>
    <col min="267" max="267" width="0" style="135" hidden="1" customWidth="1"/>
    <col min="268" max="510" width="9" style="135"/>
    <col min="511" max="511" width="5.25" style="135" customWidth="1"/>
    <col min="512" max="514" width="9" style="135"/>
    <col min="515" max="515" width="31.25" style="135" customWidth="1"/>
    <col min="516" max="516" width="13.75" style="135" customWidth="1"/>
    <col min="517" max="517" width="2.75" style="135" customWidth="1"/>
    <col min="518" max="518" width="12.875" style="135" customWidth="1"/>
    <col min="519" max="519" width="1.75" style="135" customWidth="1"/>
    <col min="520" max="520" width="12.875" style="135" customWidth="1"/>
    <col min="521" max="521" width="1.375" style="135" customWidth="1"/>
    <col min="522" max="522" width="19.875" style="135" bestFit="1" customWidth="1"/>
    <col min="523" max="523" width="0" style="135" hidden="1" customWidth="1"/>
    <col min="524" max="766" width="9" style="135"/>
    <col min="767" max="767" width="5.25" style="135" customWidth="1"/>
    <col min="768" max="770" width="9" style="135"/>
    <col min="771" max="771" width="31.25" style="135" customWidth="1"/>
    <col min="772" max="772" width="13.75" style="135" customWidth="1"/>
    <col min="773" max="773" width="2.75" style="135" customWidth="1"/>
    <col min="774" max="774" width="12.875" style="135" customWidth="1"/>
    <col min="775" max="775" width="1.75" style="135" customWidth="1"/>
    <col min="776" max="776" width="12.875" style="135" customWidth="1"/>
    <col min="777" max="777" width="1.375" style="135" customWidth="1"/>
    <col min="778" max="778" width="19.875" style="135" bestFit="1" customWidth="1"/>
    <col min="779" max="779" width="0" style="135" hidden="1" customWidth="1"/>
    <col min="780" max="1022" width="9" style="135"/>
    <col min="1023" max="1023" width="5.25" style="135" customWidth="1"/>
    <col min="1024" max="1026" width="9" style="135"/>
    <col min="1027" max="1027" width="31.25" style="135" customWidth="1"/>
    <col min="1028" max="1028" width="13.75" style="135" customWidth="1"/>
    <col min="1029" max="1029" width="2.75" style="135" customWidth="1"/>
    <col min="1030" max="1030" width="12.875" style="135" customWidth="1"/>
    <col min="1031" max="1031" width="1.75" style="135" customWidth="1"/>
    <col min="1032" max="1032" width="12.875" style="135" customWidth="1"/>
    <col min="1033" max="1033" width="1.375" style="135" customWidth="1"/>
    <col min="1034" max="1034" width="19.875" style="135" bestFit="1" customWidth="1"/>
    <col min="1035" max="1035" width="0" style="135" hidden="1" customWidth="1"/>
    <col min="1036" max="1278" width="9" style="135"/>
    <col min="1279" max="1279" width="5.25" style="135" customWidth="1"/>
    <col min="1280" max="1282" width="9" style="135"/>
    <col min="1283" max="1283" width="31.25" style="135" customWidth="1"/>
    <col min="1284" max="1284" width="13.75" style="135" customWidth="1"/>
    <col min="1285" max="1285" width="2.75" style="135" customWidth="1"/>
    <col min="1286" max="1286" width="12.875" style="135" customWidth="1"/>
    <col min="1287" max="1287" width="1.75" style="135" customWidth="1"/>
    <col min="1288" max="1288" width="12.875" style="135" customWidth="1"/>
    <col min="1289" max="1289" width="1.375" style="135" customWidth="1"/>
    <col min="1290" max="1290" width="19.875" style="135" bestFit="1" customWidth="1"/>
    <col min="1291" max="1291" width="0" style="135" hidden="1" customWidth="1"/>
    <col min="1292" max="1534" width="9" style="135"/>
    <col min="1535" max="1535" width="5.25" style="135" customWidth="1"/>
    <col min="1536" max="1538" width="9" style="135"/>
    <col min="1539" max="1539" width="31.25" style="135" customWidth="1"/>
    <col min="1540" max="1540" width="13.75" style="135" customWidth="1"/>
    <col min="1541" max="1541" width="2.75" style="135" customWidth="1"/>
    <col min="1542" max="1542" width="12.875" style="135" customWidth="1"/>
    <col min="1543" max="1543" width="1.75" style="135" customWidth="1"/>
    <col min="1544" max="1544" width="12.875" style="135" customWidth="1"/>
    <col min="1545" max="1545" width="1.375" style="135" customWidth="1"/>
    <col min="1546" max="1546" width="19.875" style="135" bestFit="1" customWidth="1"/>
    <col min="1547" max="1547" width="0" style="135" hidden="1" customWidth="1"/>
    <col min="1548" max="1790" width="9" style="135"/>
    <col min="1791" max="1791" width="5.25" style="135" customWidth="1"/>
    <col min="1792" max="1794" width="9" style="135"/>
    <col min="1795" max="1795" width="31.25" style="135" customWidth="1"/>
    <col min="1796" max="1796" width="13.75" style="135" customWidth="1"/>
    <col min="1797" max="1797" width="2.75" style="135" customWidth="1"/>
    <col min="1798" max="1798" width="12.875" style="135" customWidth="1"/>
    <col min="1799" max="1799" width="1.75" style="135" customWidth="1"/>
    <col min="1800" max="1800" width="12.875" style="135" customWidth="1"/>
    <col min="1801" max="1801" width="1.375" style="135" customWidth="1"/>
    <col min="1802" max="1802" width="19.875" style="135" bestFit="1" customWidth="1"/>
    <col min="1803" max="1803" width="0" style="135" hidden="1" customWidth="1"/>
    <col min="1804" max="2046" width="9" style="135"/>
    <col min="2047" max="2047" width="5.25" style="135" customWidth="1"/>
    <col min="2048" max="2050" width="9" style="135"/>
    <col min="2051" max="2051" width="31.25" style="135" customWidth="1"/>
    <col min="2052" max="2052" width="13.75" style="135" customWidth="1"/>
    <col min="2053" max="2053" width="2.75" style="135" customWidth="1"/>
    <col min="2054" max="2054" width="12.875" style="135" customWidth="1"/>
    <col min="2055" max="2055" width="1.75" style="135" customWidth="1"/>
    <col min="2056" max="2056" width="12.875" style="135" customWidth="1"/>
    <col min="2057" max="2057" width="1.375" style="135" customWidth="1"/>
    <col min="2058" max="2058" width="19.875" style="135" bestFit="1" customWidth="1"/>
    <col min="2059" max="2059" width="0" style="135" hidden="1" customWidth="1"/>
    <col min="2060" max="2302" width="9" style="135"/>
    <col min="2303" max="2303" width="5.25" style="135" customWidth="1"/>
    <col min="2304" max="2306" width="9" style="135"/>
    <col min="2307" max="2307" width="31.25" style="135" customWidth="1"/>
    <col min="2308" max="2308" width="13.75" style="135" customWidth="1"/>
    <col min="2309" max="2309" width="2.75" style="135" customWidth="1"/>
    <col min="2310" max="2310" width="12.875" style="135" customWidth="1"/>
    <col min="2311" max="2311" width="1.75" style="135" customWidth="1"/>
    <col min="2312" max="2312" width="12.875" style="135" customWidth="1"/>
    <col min="2313" max="2313" width="1.375" style="135" customWidth="1"/>
    <col min="2314" max="2314" width="19.875" style="135" bestFit="1" customWidth="1"/>
    <col min="2315" max="2315" width="0" style="135" hidden="1" customWidth="1"/>
    <col min="2316" max="2558" width="9" style="135"/>
    <col min="2559" max="2559" width="5.25" style="135" customWidth="1"/>
    <col min="2560" max="2562" width="9" style="135"/>
    <col min="2563" max="2563" width="31.25" style="135" customWidth="1"/>
    <col min="2564" max="2564" width="13.75" style="135" customWidth="1"/>
    <col min="2565" max="2565" width="2.75" style="135" customWidth="1"/>
    <col min="2566" max="2566" width="12.875" style="135" customWidth="1"/>
    <col min="2567" max="2567" width="1.75" style="135" customWidth="1"/>
    <col min="2568" max="2568" width="12.875" style="135" customWidth="1"/>
    <col min="2569" max="2569" width="1.375" style="135" customWidth="1"/>
    <col min="2570" max="2570" width="19.875" style="135" bestFit="1" customWidth="1"/>
    <col min="2571" max="2571" width="0" style="135" hidden="1" customWidth="1"/>
    <col min="2572" max="2814" width="9" style="135"/>
    <col min="2815" max="2815" width="5.25" style="135" customWidth="1"/>
    <col min="2816" max="2818" width="9" style="135"/>
    <col min="2819" max="2819" width="31.25" style="135" customWidth="1"/>
    <col min="2820" max="2820" width="13.75" style="135" customWidth="1"/>
    <col min="2821" max="2821" width="2.75" style="135" customWidth="1"/>
    <col min="2822" max="2822" width="12.875" style="135" customWidth="1"/>
    <col min="2823" max="2823" width="1.75" style="135" customWidth="1"/>
    <col min="2824" max="2824" width="12.875" style="135" customWidth="1"/>
    <col min="2825" max="2825" width="1.375" style="135" customWidth="1"/>
    <col min="2826" max="2826" width="19.875" style="135" bestFit="1" customWidth="1"/>
    <col min="2827" max="2827" width="0" style="135" hidden="1" customWidth="1"/>
    <col min="2828" max="3070" width="9" style="135"/>
    <col min="3071" max="3071" width="5.25" style="135" customWidth="1"/>
    <col min="3072" max="3074" width="9" style="135"/>
    <col min="3075" max="3075" width="31.25" style="135" customWidth="1"/>
    <col min="3076" max="3076" width="13.75" style="135" customWidth="1"/>
    <col min="3077" max="3077" width="2.75" style="135" customWidth="1"/>
    <col min="3078" max="3078" width="12.875" style="135" customWidth="1"/>
    <col min="3079" max="3079" width="1.75" style="135" customWidth="1"/>
    <col min="3080" max="3080" width="12.875" style="135" customWidth="1"/>
    <col min="3081" max="3081" width="1.375" style="135" customWidth="1"/>
    <col min="3082" max="3082" width="19.875" style="135" bestFit="1" customWidth="1"/>
    <col min="3083" max="3083" width="0" style="135" hidden="1" customWidth="1"/>
    <col min="3084" max="3326" width="9" style="135"/>
    <col min="3327" max="3327" width="5.25" style="135" customWidth="1"/>
    <col min="3328" max="3330" width="9" style="135"/>
    <col min="3331" max="3331" width="31.25" style="135" customWidth="1"/>
    <col min="3332" max="3332" width="13.75" style="135" customWidth="1"/>
    <col min="3333" max="3333" width="2.75" style="135" customWidth="1"/>
    <col min="3334" max="3334" width="12.875" style="135" customWidth="1"/>
    <col min="3335" max="3335" width="1.75" style="135" customWidth="1"/>
    <col min="3336" max="3336" width="12.875" style="135" customWidth="1"/>
    <col min="3337" max="3337" width="1.375" style="135" customWidth="1"/>
    <col min="3338" max="3338" width="19.875" style="135" bestFit="1" customWidth="1"/>
    <col min="3339" max="3339" width="0" style="135" hidden="1" customWidth="1"/>
    <col min="3340" max="3582" width="9" style="135"/>
    <col min="3583" max="3583" width="5.25" style="135" customWidth="1"/>
    <col min="3584" max="3586" width="9" style="135"/>
    <col min="3587" max="3587" width="31.25" style="135" customWidth="1"/>
    <col min="3588" max="3588" width="13.75" style="135" customWidth="1"/>
    <col min="3589" max="3589" width="2.75" style="135" customWidth="1"/>
    <col min="3590" max="3590" width="12.875" style="135" customWidth="1"/>
    <col min="3591" max="3591" width="1.75" style="135" customWidth="1"/>
    <col min="3592" max="3592" width="12.875" style="135" customWidth="1"/>
    <col min="3593" max="3593" width="1.375" style="135" customWidth="1"/>
    <col min="3594" max="3594" width="19.875" style="135" bestFit="1" customWidth="1"/>
    <col min="3595" max="3595" width="0" style="135" hidden="1" customWidth="1"/>
    <col min="3596" max="3838" width="9" style="135"/>
    <col min="3839" max="3839" width="5.25" style="135" customWidth="1"/>
    <col min="3840" max="3842" width="9" style="135"/>
    <col min="3843" max="3843" width="31.25" style="135" customWidth="1"/>
    <col min="3844" max="3844" width="13.75" style="135" customWidth="1"/>
    <col min="3845" max="3845" width="2.75" style="135" customWidth="1"/>
    <col min="3846" max="3846" width="12.875" style="135" customWidth="1"/>
    <col min="3847" max="3847" width="1.75" style="135" customWidth="1"/>
    <col min="3848" max="3848" width="12.875" style="135" customWidth="1"/>
    <col min="3849" max="3849" width="1.375" style="135" customWidth="1"/>
    <col min="3850" max="3850" width="19.875" style="135" bestFit="1" customWidth="1"/>
    <col min="3851" max="3851" width="0" style="135" hidden="1" customWidth="1"/>
    <col min="3852" max="4094" width="9" style="135"/>
    <col min="4095" max="4095" width="5.25" style="135" customWidth="1"/>
    <col min="4096" max="4098" width="9" style="135"/>
    <col min="4099" max="4099" width="31.25" style="135" customWidth="1"/>
    <col min="4100" max="4100" width="13.75" style="135" customWidth="1"/>
    <col min="4101" max="4101" width="2.75" style="135" customWidth="1"/>
    <col min="4102" max="4102" width="12.875" style="135" customWidth="1"/>
    <col min="4103" max="4103" width="1.75" style="135" customWidth="1"/>
    <col min="4104" max="4104" width="12.875" style="135" customWidth="1"/>
    <col min="4105" max="4105" width="1.375" style="135" customWidth="1"/>
    <col min="4106" max="4106" width="19.875" style="135" bestFit="1" customWidth="1"/>
    <col min="4107" max="4107" width="0" style="135" hidden="1" customWidth="1"/>
    <col min="4108" max="4350" width="9" style="135"/>
    <col min="4351" max="4351" width="5.25" style="135" customWidth="1"/>
    <col min="4352" max="4354" width="9" style="135"/>
    <col min="4355" max="4355" width="31.25" style="135" customWidth="1"/>
    <col min="4356" max="4356" width="13.75" style="135" customWidth="1"/>
    <col min="4357" max="4357" width="2.75" style="135" customWidth="1"/>
    <col min="4358" max="4358" width="12.875" style="135" customWidth="1"/>
    <col min="4359" max="4359" width="1.75" style="135" customWidth="1"/>
    <col min="4360" max="4360" width="12.875" style="135" customWidth="1"/>
    <col min="4361" max="4361" width="1.375" style="135" customWidth="1"/>
    <col min="4362" max="4362" width="19.875" style="135" bestFit="1" customWidth="1"/>
    <col min="4363" max="4363" width="0" style="135" hidden="1" customWidth="1"/>
    <col min="4364" max="4606" width="9" style="135"/>
    <col min="4607" max="4607" width="5.25" style="135" customWidth="1"/>
    <col min="4608" max="4610" width="9" style="135"/>
    <col min="4611" max="4611" width="31.25" style="135" customWidth="1"/>
    <col min="4612" max="4612" width="13.75" style="135" customWidth="1"/>
    <col min="4613" max="4613" width="2.75" style="135" customWidth="1"/>
    <col min="4614" max="4614" width="12.875" style="135" customWidth="1"/>
    <col min="4615" max="4615" width="1.75" style="135" customWidth="1"/>
    <col min="4616" max="4616" width="12.875" style="135" customWidth="1"/>
    <col min="4617" max="4617" width="1.375" style="135" customWidth="1"/>
    <col min="4618" max="4618" width="19.875" style="135" bestFit="1" customWidth="1"/>
    <col min="4619" max="4619" width="0" style="135" hidden="1" customWidth="1"/>
    <col min="4620" max="4862" width="9" style="135"/>
    <col min="4863" max="4863" width="5.25" style="135" customWidth="1"/>
    <col min="4864" max="4866" width="9" style="135"/>
    <col min="4867" max="4867" width="31.25" style="135" customWidth="1"/>
    <col min="4868" max="4868" width="13.75" style="135" customWidth="1"/>
    <col min="4869" max="4869" width="2.75" style="135" customWidth="1"/>
    <col min="4870" max="4870" width="12.875" style="135" customWidth="1"/>
    <col min="4871" max="4871" width="1.75" style="135" customWidth="1"/>
    <col min="4872" max="4872" width="12.875" style="135" customWidth="1"/>
    <col min="4873" max="4873" width="1.375" style="135" customWidth="1"/>
    <col min="4874" max="4874" width="19.875" style="135" bestFit="1" customWidth="1"/>
    <col min="4875" max="4875" width="0" style="135" hidden="1" customWidth="1"/>
    <col min="4876" max="5118" width="9" style="135"/>
    <col min="5119" max="5119" width="5.25" style="135" customWidth="1"/>
    <col min="5120" max="5122" width="9" style="135"/>
    <col min="5123" max="5123" width="31.25" style="135" customWidth="1"/>
    <col min="5124" max="5124" width="13.75" style="135" customWidth="1"/>
    <col min="5125" max="5125" width="2.75" style="135" customWidth="1"/>
    <col min="5126" max="5126" width="12.875" style="135" customWidth="1"/>
    <col min="5127" max="5127" width="1.75" style="135" customWidth="1"/>
    <col min="5128" max="5128" width="12.875" style="135" customWidth="1"/>
    <col min="5129" max="5129" width="1.375" style="135" customWidth="1"/>
    <col min="5130" max="5130" width="19.875" style="135" bestFit="1" customWidth="1"/>
    <col min="5131" max="5131" width="0" style="135" hidden="1" customWidth="1"/>
    <col min="5132" max="5374" width="9" style="135"/>
    <col min="5375" max="5375" width="5.25" style="135" customWidth="1"/>
    <col min="5376" max="5378" width="9" style="135"/>
    <col min="5379" max="5379" width="31.25" style="135" customWidth="1"/>
    <col min="5380" max="5380" width="13.75" style="135" customWidth="1"/>
    <col min="5381" max="5381" width="2.75" style="135" customWidth="1"/>
    <col min="5382" max="5382" width="12.875" style="135" customWidth="1"/>
    <col min="5383" max="5383" width="1.75" style="135" customWidth="1"/>
    <col min="5384" max="5384" width="12.875" style="135" customWidth="1"/>
    <col min="5385" max="5385" width="1.375" style="135" customWidth="1"/>
    <col min="5386" max="5386" width="19.875" style="135" bestFit="1" customWidth="1"/>
    <col min="5387" max="5387" width="0" style="135" hidden="1" customWidth="1"/>
    <col min="5388" max="5630" width="9" style="135"/>
    <col min="5631" max="5631" width="5.25" style="135" customWidth="1"/>
    <col min="5632" max="5634" width="9" style="135"/>
    <col min="5635" max="5635" width="31.25" style="135" customWidth="1"/>
    <col min="5636" max="5636" width="13.75" style="135" customWidth="1"/>
    <col min="5637" max="5637" width="2.75" style="135" customWidth="1"/>
    <col min="5638" max="5638" width="12.875" style="135" customWidth="1"/>
    <col min="5639" max="5639" width="1.75" style="135" customWidth="1"/>
    <col min="5640" max="5640" width="12.875" style="135" customWidth="1"/>
    <col min="5641" max="5641" width="1.375" style="135" customWidth="1"/>
    <col min="5642" max="5642" width="19.875" style="135" bestFit="1" customWidth="1"/>
    <col min="5643" max="5643" width="0" style="135" hidden="1" customWidth="1"/>
    <col min="5644" max="5886" width="9" style="135"/>
    <col min="5887" max="5887" width="5.25" style="135" customWidth="1"/>
    <col min="5888" max="5890" width="9" style="135"/>
    <col min="5891" max="5891" width="31.25" style="135" customWidth="1"/>
    <col min="5892" max="5892" width="13.75" style="135" customWidth="1"/>
    <col min="5893" max="5893" width="2.75" style="135" customWidth="1"/>
    <col min="5894" max="5894" width="12.875" style="135" customWidth="1"/>
    <col min="5895" max="5895" width="1.75" style="135" customWidth="1"/>
    <col min="5896" max="5896" width="12.875" style="135" customWidth="1"/>
    <col min="5897" max="5897" width="1.375" style="135" customWidth="1"/>
    <col min="5898" max="5898" width="19.875" style="135" bestFit="1" customWidth="1"/>
    <col min="5899" max="5899" width="0" style="135" hidden="1" customWidth="1"/>
    <col min="5900" max="6142" width="9" style="135"/>
    <col min="6143" max="6143" width="5.25" style="135" customWidth="1"/>
    <col min="6144" max="6146" width="9" style="135"/>
    <col min="6147" max="6147" width="31.25" style="135" customWidth="1"/>
    <col min="6148" max="6148" width="13.75" style="135" customWidth="1"/>
    <col min="6149" max="6149" width="2.75" style="135" customWidth="1"/>
    <col min="6150" max="6150" width="12.875" style="135" customWidth="1"/>
    <col min="6151" max="6151" width="1.75" style="135" customWidth="1"/>
    <col min="6152" max="6152" width="12.875" style="135" customWidth="1"/>
    <col min="6153" max="6153" width="1.375" style="135" customWidth="1"/>
    <col min="6154" max="6154" width="19.875" style="135" bestFit="1" customWidth="1"/>
    <col min="6155" max="6155" width="0" style="135" hidden="1" customWidth="1"/>
    <col min="6156" max="6398" width="9" style="135"/>
    <col min="6399" max="6399" width="5.25" style="135" customWidth="1"/>
    <col min="6400" max="6402" width="9" style="135"/>
    <col min="6403" max="6403" width="31.25" style="135" customWidth="1"/>
    <col min="6404" max="6404" width="13.75" style="135" customWidth="1"/>
    <col min="6405" max="6405" width="2.75" style="135" customWidth="1"/>
    <col min="6406" max="6406" width="12.875" style="135" customWidth="1"/>
    <col min="6407" max="6407" width="1.75" style="135" customWidth="1"/>
    <col min="6408" max="6408" width="12.875" style="135" customWidth="1"/>
    <col min="6409" max="6409" width="1.375" style="135" customWidth="1"/>
    <col min="6410" max="6410" width="19.875" style="135" bestFit="1" customWidth="1"/>
    <col min="6411" max="6411" width="0" style="135" hidden="1" customWidth="1"/>
    <col min="6412" max="6654" width="9" style="135"/>
    <col min="6655" max="6655" width="5.25" style="135" customWidth="1"/>
    <col min="6656" max="6658" width="9" style="135"/>
    <col min="6659" max="6659" width="31.25" style="135" customWidth="1"/>
    <col min="6660" max="6660" width="13.75" style="135" customWidth="1"/>
    <col min="6661" max="6661" width="2.75" style="135" customWidth="1"/>
    <col min="6662" max="6662" width="12.875" style="135" customWidth="1"/>
    <col min="6663" max="6663" width="1.75" style="135" customWidth="1"/>
    <col min="6664" max="6664" width="12.875" style="135" customWidth="1"/>
    <col min="6665" max="6665" width="1.375" style="135" customWidth="1"/>
    <col min="6666" max="6666" width="19.875" style="135" bestFit="1" customWidth="1"/>
    <col min="6667" max="6667" width="0" style="135" hidden="1" customWidth="1"/>
    <col min="6668" max="6910" width="9" style="135"/>
    <col min="6911" max="6911" width="5.25" style="135" customWidth="1"/>
    <col min="6912" max="6914" width="9" style="135"/>
    <col min="6915" max="6915" width="31.25" style="135" customWidth="1"/>
    <col min="6916" max="6916" width="13.75" style="135" customWidth="1"/>
    <col min="6917" max="6917" width="2.75" style="135" customWidth="1"/>
    <col min="6918" max="6918" width="12.875" style="135" customWidth="1"/>
    <col min="6919" max="6919" width="1.75" style="135" customWidth="1"/>
    <col min="6920" max="6920" width="12.875" style="135" customWidth="1"/>
    <col min="6921" max="6921" width="1.375" style="135" customWidth="1"/>
    <col min="6922" max="6922" width="19.875" style="135" bestFit="1" customWidth="1"/>
    <col min="6923" max="6923" width="0" style="135" hidden="1" customWidth="1"/>
    <col min="6924" max="7166" width="9" style="135"/>
    <col min="7167" max="7167" width="5.25" style="135" customWidth="1"/>
    <col min="7168" max="7170" width="9" style="135"/>
    <col min="7171" max="7171" width="31.25" style="135" customWidth="1"/>
    <col min="7172" max="7172" width="13.75" style="135" customWidth="1"/>
    <col min="7173" max="7173" width="2.75" style="135" customWidth="1"/>
    <col min="7174" max="7174" width="12.875" style="135" customWidth="1"/>
    <col min="7175" max="7175" width="1.75" style="135" customWidth="1"/>
    <col min="7176" max="7176" width="12.875" style="135" customWidth="1"/>
    <col min="7177" max="7177" width="1.375" style="135" customWidth="1"/>
    <col min="7178" max="7178" width="19.875" style="135" bestFit="1" customWidth="1"/>
    <col min="7179" max="7179" width="0" style="135" hidden="1" customWidth="1"/>
    <col min="7180" max="7422" width="9" style="135"/>
    <col min="7423" max="7423" width="5.25" style="135" customWidth="1"/>
    <col min="7424" max="7426" width="9" style="135"/>
    <col min="7427" max="7427" width="31.25" style="135" customWidth="1"/>
    <col min="7428" max="7428" width="13.75" style="135" customWidth="1"/>
    <col min="7429" max="7429" width="2.75" style="135" customWidth="1"/>
    <col min="7430" max="7430" width="12.875" style="135" customWidth="1"/>
    <col min="7431" max="7431" width="1.75" style="135" customWidth="1"/>
    <col min="7432" max="7432" width="12.875" style="135" customWidth="1"/>
    <col min="7433" max="7433" width="1.375" style="135" customWidth="1"/>
    <col min="7434" max="7434" width="19.875" style="135" bestFit="1" customWidth="1"/>
    <col min="7435" max="7435" width="0" style="135" hidden="1" customWidth="1"/>
    <col min="7436" max="7678" width="9" style="135"/>
    <col min="7679" max="7679" width="5.25" style="135" customWidth="1"/>
    <col min="7680" max="7682" width="9" style="135"/>
    <col min="7683" max="7683" width="31.25" style="135" customWidth="1"/>
    <col min="7684" max="7684" width="13.75" style="135" customWidth="1"/>
    <col min="7685" max="7685" width="2.75" style="135" customWidth="1"/>
    <col min="7686" max="7686" width="12.875" style="135" customWidth="1"/>
    <col min="7687" max="7687" width="1.75" style="135" customWidth="1"/>
    <col min="7688" max="7688" width="12.875" style="135" customWidth="1"/>
    <col min="7689" max="7689" width="1.375" style="135" customWidth="1"/>
    <col min="7690" max="7690" width="19.875" style="135" bestFit="1" customWidth="1"/>
    <col min="7691" max="7691" width="0" style="135" hidden="1" customWidth="1"/>
    <col min="7692" max="7934" width="9" style="135"/>
    <col min="7935" max="7935" width="5.25" style="135" customWidth="1"/>
    <col min="7936" max="7938" width="9" style="135"/>
    <col min="7939" max="7939" width="31.25" style="135" customWidth="1"/>
    <col min="7940" max="7940" width="13.75" style="135" customWidth="1"/>
    <col min="7941" max="7941" width="2.75" style="135" customWidth="1"/>
    <col min="7942" max="7942" width="12.875" style="135" customWidth="1"/>
    <col min="7943" max="7943" width="1.75" style="135" customWidth="1"/>
    <col min="7944" max="7944" width="12.875" style="135" customWidth="1"/>
    <col min="7945" max="7945" width="1.375" style="135" customWidth="1"/>
    <col min="7946" max="7946" width="19.875" style="135" bestFit="1" customWidth="1"/>
    <col min="7947" max="7947" width="0" style="135" hidden="1" customWidth="1"/>
    <col min="7948" max="8190" width="9" style="135"/>
    <col min="8191" max="8191" width="5.25" style="135" customWidth="1"/>
    <col min="8192" max="8194" width="9" style="135"/>
    <col min="8195" max="8195" width="31.25" style="135" customWidth="1"/>
    <col min="8196" max="8196" width="13.75" style="135" customWidth="1"/>
    <col min="8197" max="8197" width="2.75" style="135" customWidth="1"/>
    <col min="8198" max="8198" width="12.875" style="135" customWidth="1"/>
    <col min="8199" max="8199" width="1.75" style="135" customWidth="1"/>
    <col min="8200" max="8200" width="12.875" style="135" customWidth="1"/>
    <col min="8201" max="8201" width="1.375" style="135" customWidth="1"/>
    <col min="8202" max="8202" width="19.875" style="135" bestFit="1" customWidth="1"/>
    <col min="8203" max="8203" width="0" style="135" hidden="1" customWidth="1"/>
    <col min="8204" max="8446" width="9" style="135"/>
    <col min="8447" max="8447" width="5.25" style="135" customWidth="1"/>
    <col min="8448" max="8450" width="9" style="135"/>
    <col min="8451" max="8451" width="31.25" style="135" customWidth="1"/>
    <col min="8452" max="8452" width="13.75" style="135" customWidth="1"/>
    <col min="8453" max="8453" width="2.75" style="135" customWidth="1"/>
    <col min="8454" max="8454" width="12.875" style="135" customWidth="1"/>
    <col min="8455" max="8455" width="1.75" style="135" customWidth="1"/>
    <col min="8456" max="8456" width="12.875" style="135" customWidth="1"/>
    <col min="8457" max="8457" width="1.375" style="135" customWidth="1"/>
    <col min="8458" max="8458" width="19.875" style="135" bestFit="1" customWidth="1"/>
    <col min="8459" max="8459" width="0" style="135" hidden="1" customWidth="1"/>
    <col min="8460" max="8702" width="9" style="135"/>
    <col min="8703" max="8703" width="5.25" style="135" customWidth="1"/>
    <col min="8704" max="8706" width="9" style="135"/>
    <col min="8707" max="8707" width="31.25" style="135" customWidth="1"/>
    <col min="8708" max="8708" width="13.75" style="135" customWidth="1"/>
    <col min="8709" max="8709" width="2.75" style="135" customWidth="1"/>
    <col min="8710" max="8710" width="12.875" style="135" customWidth="1"/>
    <col min="8711" max="8711" width="1.75" style="135" customWidth="1"/>
    <col min="8712" max="8712" width="12.875" style="135" customWidth="1"/>
    <col min="8713" max="8713" width="1.375" style="135" customWidth="1"/>
    <col min="8714" max="8714" width="19.875" style="135" bestFit="1" customWidth="1"/>
    <col min="8715" max="8715" width="0" style="135" hidden="1" customWidth="1"/>
    <col min="8716" max="8958" width="9" style="135"/>
    <col min="8959" max="8959" width="5.25" style="135" customWidth="1"/>
    <col min="8960" max="8962" width="9" style="135"/>
    <col min="8963" max="8963" width="31.25" style="135" customWidth="1"/>
    <col min="8964" max="8964" width="13.75" style="135" customWidth="1"/>
    <col min="8965" max="8965" width="2.75" style="135" customWidth="1"/>
    <col min="8966" max="8966" width="12.875" style="135" customWidth="1"/>
    <col min="8967" max="8967" width="1.75" style="135" customWidth="1"/>
    <col min="8968" max="8968" width="12.875" style="135" customWidth="1"/>
    <col min="8969" max="8969" width="1.375" style="135" customWidth="1"/>
    <col min="8970" max="8970" width="19.875" style="135" bestFit="1" customWidth="1"/>
    <col min="8971" max="8971" width="0" style="135" hidden="1" customWidth="1"/>
    <col min="8972" max="9214" width="9" style="135"/>
    <col min="9215" max="9215" width="5.25" style="135" customWidth="1"/>
    <col min="9216" max="9218" width="9" style="135"/>
    <col min="9219" max="9219" width="31.25" style="135" customWidth="1"/>
    <col min="9220" max="9220" width="13.75" style="135" customWidth="1"/>
    <col min="9221" max="9221" width="2.75" style="135" customWidth="1"/>
    <col min="9222" max="9222" width="12.875" style="135" customWidth="1"/>
    <col min="9223" max="9223" width="1.75" style="135" customWidth="1"/>
    <col min="9224" max="9224" width="12.875" style="135" customWidth="1"/>
    <col min="9225" max="9225" width="1.375" style="135" customWidth="1"/>
    <col min="9226" max="9226" width="19.875" style="135" bestFit="1" customWidth="1"/>
    <col min="9227" max="9227" width="0" style="135" hidden="1" customWidth="1"/>
    <col min="9228" max="9470" width="9" style="135"/>
    <col min="9471" max="9471" width="5.25" style="135" customWidth="1"/>
    <col min="9472" max="9474" width="9" style="135"/>
    <col min="9475" max="9475" width="31.25" style="135" customWidth="1"/>
    <col min="9476" max="9476" width="13.75" style="135" customWidth="1"/>
    <col min="9477" max="9477" width="2.75" style="135" customWidth="1"/>
    <col min="9478" max="9478" width="12.875" style="135" customWidth="1"/>
    <col min="9479" max="9479" width="1.75" style="135" customWidth="1"/>
    <col min="9480" max="9480" width="12.875" style="135" customWidth="1"/>
    <col min="9481" max="9481" width="1.375" style="135" customWidth="1"/>
    <col min="9482" max="9482" width="19.875" style="135" bestFit="1" customWidth="1"/>
    <col min="9483" max="9483" width="0" style="135" hidden="1" customWidth="1"/>
    <col min="9484" max="9726" width="9" style="135"/>
    <col min="9727" max="9727" width="5.25" style="135" customWidth="1"/>
    <col min="9728" max="9730" width="9" style="135"/>
    <col min="9731" max="9731" width="31.25" style="135" customWidth="1"/>
    <col min="9732" max="9732" width="13.75" style="135" customWidth="1"/>
    <col min="9733" max="9733" width="2.75" style="135" customWidth="1"/>
    <col min="9734" max="9734" width="12.875" style="135" customWidth="1"/>
    <col min="9735" max="9735" width="1.75" style="135" customWidth="1"/>
    <col min="9736" max="9736" width="12.875" style="135" customWidth="1"/>
    <col min="9737" max="9737" width="1.375" style="135" customWidth="1"/>
    <col min="9738" max="9738" width="19.875" style="135" bestFit="1" customWidth="1"/>
    <col min="9739" max="9739" width="0" style="135" hidden="1" customWidth="1"/>
    <col min="9740" max="9982" width="9" style="135"/>
    <col min="9983" max="9983" width="5.25" style="135" customWidth="1"/>
    <col min="9984" max="9986" width="9" style="135"/>
    <col min="9987" max="9987" width="31.25" style="135" customWidth="1"/>
    <col min="9988" max="9988" width="13.75" style="135" customWidth="1"/>
    <col min="9989" max="9989" width="2.75" style="135" customWidth="1"/>
    <col min="9990" max="9990" width="12.875" style="135" customWidth="1"/>
    <col min="9991" max="9991" width="1.75" style="135" customWidth="1"/>
    <col min="9992" max="9992" width="12.875" style="135" customWidth="1"/>
    <col min="9993" max="9993" width="1.375" style="135" customWidth="1"/>
    <col min="9994" max="9994" width="19.875" style="135" bestFit="1" customWidth="1"/>
    <col min="9995" max="9995" width="0" style="135" hidden="1" customWidth="1"/>
    <col min="9996" max="10238" width="9" style="135"/>
    <col min="10239" max="10239" width="5.25" style="135" customWidth="1"/>
    <col min="10240" max="10242" width="9" style="135"/>
    <col min="10243" max="10243" width="31.25" style="135" customWidth="1"/>
    <col min="10244" max="10244" width="13.75" style="135" customWidth="1"/>
    <col min="10245" max="10245" width="2.75" style="135" customWidth="1"/>
    <col min="10246" max="10246" width="12.875" style="135" customWidth="1"/>
    <col min="10247" max="10247" width="1.75" style="135" customWidth="1"/>
    <col min="10248" max="10248" width="12.875" style="135" customWidth="1"/>
    <col min="10249" max="10249" width="1.375" style="135" customWidth="1"/>
    <col min="10250" max="10250" width="19.875" style="135" bestFit="1" customWidth="1"/>
    <col min="10251" max="10251" width="0" style="135" hidden="1" customWidth="1"/>
    <col min="10252" max="10494" width="9" style="135"/>
    <col min="10495" max="10495" width="5.25" style="135" customWidth="1"/>
    <col min="10496" max="10498" width="9" style="135"/>
    <col min="10499" max="10499" width="31.25" style="135" customWidth="1"/>
    <col min="10500" max="10500" width="13.75" style="135" customWidth="1"/>
    <col min="10501" max="10501" width="2.75" style="135" customWidth="1"/>
    <col min="10502" max="10502" width="12.875" style="135" customWidth="1"/>
    <col min="10503" max="10503" width="1.75" style="135" customWidth="1"/>
    <col min="10504" max="10504" width="12.875" style="135" customWidth="1"/>
    <col min="10505" max="10505" width="1.375" style="135" customWidth="1"/>
    <col min="10506" max="10506" width="19.875" style="135" bestFit="1" customWidth="1"/>
    <col min="10507" max="10507" width="0" style="135" hidden="1" customWidth="1"/>
    <col min="10508" max="10750" width="9" style="135"/>
    <col min="10751" max="10751" width="5.25" style="135" customWidth="1"/>
    <col min="10752" max="10754" width="9" style="135"/>
    <col min="10755" max="10755" width="31.25" style="135" customWidth="1"/>
    <col min="10756" max="10756" width="13.75" style="135" customWidth="1"/>
    <col min="10757" max="10757" width="2.75" style="135" customWidth="1"/>
    <col min="10758" max="10758" width="12.875" style="135" customWidth="1"/>
    <col min="10759" max="10759" width="1.75" style="135" customWidth="1"/>
    <col min="10760" max="10760" width="12.875" style="135" customWidth="1"/>
    <col min="10761" max="10761" width="1.375" style="135" customWidth="1"/>
    <col min="10762" max="10762" width="19.875" style="135" bestFit="1" customWidth="1"/>
    <col min="10763" max="10763" width="0" style="135" hidden="1" customWidth="1"/>
    <col min="10764" max="11006" width="9" style="135"/>
    <col min="11007" max="11007" width="5.25" style="135" customWidth="1"/>
    <col min="11008" max="11010" width="9" style="135"/>
    <col min="11011" max="11011" width="31.25" style="135" customWidth="1"/>
    <col min="11012" max="11012" width="13.75" style="135" customWidth="1"/>
    <col min="11013" max="11013" width="2.75" style="135" customWidth="1"/>
    <col min="11014" max="11014" width="12.875" style="135" customWidth="1"/>
    <col min="11015" max="11015" width="1.75" style="135" customWidth="1"/>
    <col min="11016" max="11016" width="12.875" style="135" customWidth="1"/>
    <col min="11017" max="11017" width="1.375" style="135" customWidth="1"/>
    <col min="11018" max="11018" width="19.875" style="135" bestFit="1" customWidth="1"/>
    <col min="11019" max="11019" width="0" style="135" hidden="1" customWidth="1"/>
    <col min="11020" max="11262" width="9" style="135"/>
    <col min="11263" max="11263" width="5.25" style="135" customWidth="1"/>
    <col min="11264" max="11266" width="9" style="135"/>
    <col min="11267" max="11267" width="31.25" style="135" customWidth="1"/>
    <col min="11268" max="11268" width="13.75" style="135" customWidth="1"/>
    <col min="11269" max="11269" width="2.75" style="135" customWidth="1"/>
    <col min="11270" max="11270" width="12.875" style="135" customWidth="1"/>
    <col min="11271" max="11271" width="1.75" style="135" customWidth="1"/>
    <col min="11272" max="11272" width="12.875" style="135" customWidth="1"/>
    <col min="11273" max="11273" width="1.375" style="135" customWidth="1"/>
    <col min="11274" max="11274" width="19.875" style="135" bestFit="1" customWidth="1"/>
    <col min="11275" max="11275" width="0" style="135" hidden="1" customWidth="1"/>
    <col min="11276" max="11518" width="9" style="135"/>
    <col min="11519" max="11519" width="5.25" style="135" customWidth="1"/>
    <col min="11520" max="11522" width="9" style="135"/>
    <col min="11523" max="11523" width="31.25" style="135" customWidth="1"/>
    <col min="11524" max="11524" width="13.75" style="135" customWidth="1"/>
    <col min="11525" max="11525" width="2.75" style="135" customWidth="1"/>
    <col min="11526" max="11526" width="12.875" style="135" customWidth="1"/>
    <col min="11527" max="11527" width="1.75" style="135" customWidth="1"/>
    <col min="11528" max="11528" width="12.875" style="135" customWidth="1"/>
    <col min="11529" max="11529" width="1.375" style="135" customWidth="1"/>
    <col min="11530" max="11530" width="19.875" style="135" bestFit="1" customWidth="1"/>
    <col min="11531" max="11531" width="0" style="135" hidden="1" customWidth="1"/>
    <col min="11532" max="11774" width="9" style="135"/>
    <col min="11775" max="11775" width="5.25" style="135" customWidth="1"/>
    <col min="11776" max="11778" width="9" style="135"/>
    <col min="11779" max="11779" width="31.25" style="135" customWidth="1"/>
    <col min="11780" max="11780" width="13.75" style="135" customWidth="1"/>
    <col min="11781" max="11781" width="2.75" style="135" customWidth="1"/>
    <col min="11782" max="11782" width="12.875" style="135" customWidth="1"/>
    <col min="11783" max="11783" width="1.75" style="135" customWidth="1"/>
    <col min="11784" max="11784" width="12.875" style="135" customWidth="1"/>
    <col min="11785" max="11785" width="1.375" style="135" customWidth="1"/>
    <col min="11786" max="11786" width="19.875" style="135" bestFit="1" customWidth="1"/>
    <col min="11787" max="11787" width="0" style="135" hidden="1" customWidth="1"/>
    <col min="11788" max="12030" width="9" style="135"/>
    <col min="12031" max="12031" width="5.25" style="135" customWidth="1"/>
    <col min="12032" max="12034" width="9" style="135"/>
    <col min="12035" max="12035" width="31.25" style="135" customWidth="1"/>
    <col min="12036" max="12036" width="13.75" style="135" customWidth="1"/>
    <col min="12037" max="12037" width="2.75" style="135" customWidth="1"/>
    <col min="12038" max="12038" width="12.875" style="135" customWidth="1"/>
    <col min="12039" max="12039" width="1.75" style="135" customWidth="1"/>
    <col min="12040" max="12040" width="12.875" style="135" customWidth="1"/>
    <col min="12041" max="12041" width="1.375" style="135" customWidth="1"/>
    <col min="12042" max="12042" width="19.875" style="135" bestFit="1" customWidth="1"/>
    <col min="12043" max="12043" width="0" style="135" hidden="1" customWidth="1"/>
    <col min="12044" max="12286" width="9" style="135"/>
    <col min="12287" max="12287" width="5.25" style="135" customWidth="1"/>
    <col min="12288" max="12290" width="9" style="135"/>
    <col min="12291" max="12291" width="31.25" style="135" customWidth="1"/>
    <col min="12292" max="12292" width="13.75" style="135" customWidth="1"/>
    <col min="12293" max="12293" width="2.75" style="135" customWidth="1"/>
    <col min="12294" max="12294" width="12.875" style="135" customWidth="1"/>
    <col min="12295" max="12295" width="1.75" style="135" customWidth="1"/>
    <col min="12296" max="12296" width="12.875" style="135" customWidth="1"/>
    <col min="12297" max="12297" width="1.375" style="135" customWidth="1"/>
    <col min="12298" max="12298" width="19.875" style="135" bestFit="1" customWidth="1"/>
    <col min="12299" max="12299" width="0" style="135" hidden="1" customWidth="1"/>
    <col min="12300" max="12542" width="9" style="135"/>
    <col min="12543" max="12543" width="5.25" style="135" customWidth="1"/>
    <col min="12544" max="12546" width="9" style="135"/>
    <col min="12547" max="12547" width="31.25" style="135" customWidth="1"/>
    <col min="12548" max="12548" width="13.75" style="135" customWidth="1"/>
    <col min="12549" max="12549" width="2.75" style="135" customWidth="1"/>
    <col min="12550" max="12550" width="12.875" style="135" customWidth="1"/>
    <col min="12551" max="12551" width="1.75" style="135" customWidth="1"/>
    <col min="12552" max="12552" width="12.875" style="135" customWidth="1"/>
    <col min="12553" max="12553" width="1.375" style="135" customWidth="1"/>
    <col min="12554" max="12554" width="19.875" style="135" bestFit="1" customWidth="1"/>
    <col min="12555" max="12555" width="0" style="135" hidden="1" customWidth="1"/>
    <col min="12556" max="12798" width="9" style="135"/>
    <col min="12799" max="12799" width="5.25" style="135" customWidth="1"/>
    <col min="12800" max="12802" width="9" style="135"/>
    <col min="12803" max="12803" width="31.25" style="135" customWidth="1"/>
    <col min="12804" max="12804" width="13.75" style="135" customWidth="1"/>
    <col min="12805" max="12805" width="2.75" style="135" customWidth="1"/>
    <col min="12806" max="12806" width="12.875" style="135" customWidth="1"/>
    <col min="12807" max="12807" width="1.75" style="135" customWidth="1"/>
    <col min="12808" max="12808" width="12.875" style="135" customWidth="1"/>
    <col min="12809" max="12809" width="1.375" style="135" customWidth="1"/>
    <col min="12810" max="12810" width="19.875" style="135" bestFit="1" customWidth="1"/>
    <col min="12811" max="12811" width="0" style="135" hidden="1" customWidth="1"/>
    <col min="12812" max="13054" width="9" style="135"/>
    <col min="13055" max="13055" width="5.25" style="135" customWidth="1"/>
    <col min="13056" max="13058" width="9" style="135"/>
    <col min="13059" max="13059" width="31.25" style="135" customWidth="1"/>
    <col min="13060" max="13060" width="13.75" style="135" customWidth="1"/>
    <col min="13061" max="13061" width="2.75" style="135" customWidth="1"/>
    <col min="13062" max="13062" width="12.875" style="135" customWidth="1"/>
    <col min="13063" max="13063" width="1.75" style="135" customWidth="1"/>
    <col min="13064" max="13064" width="12.875" style="135" customWidth="1"/>
    <col min="13065" max="13065" width="1.375" style="135" customWidth="1"/>
    <col min="13066" max="13066" width="19.875" style="135" bestFit="1" customWidth="1"/>
    <col min="13067" max="13067" width="0" style="135" hidden="1" customWidth="1"/>
    <col min="13068" max="13310" width="9" style="135"/>
    <col min="13311" max="13311" width="5.25" style="135" customWidth="1"/>
    <col min="13312" max="13314" width="9" style="135"/>
    <col min="13315" max="13315" width="31.25" style="135" customWidth="1"/>
    <col min="13316" max="13316" width="13.75" style="135" customWidth="1"/>
    <col min="13317" max="13317" width="2.75" style="135" customWidth="1"/>
    <col min="13318" max="13318" width="12.875" style="135" customWidth="1"/>
    <col min="13319" max="13319" width="1.75" style="135" customWidth="1"/>
    <col min="13320" max="13320" width="12.875" style="135" customWidth="1"/>
    <col min="13321" max="13321" width="1.375" style="135" customWidth="1"/>
    <col min="13322" max="13322" width="19.875" style="135" bestFit="1" customWidth="1"/>
    <col min="13323" max="13323" width="0" style="135" hidden="1" customWidth="1"/>
    <col min="13324" max="13566" width="9" style="135"/>
    <col min="13567" max="13567" width="5.25" style="135" customWidth="1"/>
    <col min="13568" max="13570" width="9" style="135"/>
    <col min="13571" max="13571" width="31.25" style="135" customWidth="1"/>
    <col min="13572" max="13572" width="13.75" style="135" customWidth="1"/>
    <col min="13573" max="13573" width="2.75" style="135" customWidth="1"/>
    <col min="13574" max="13574" width="12.875" style="135" customWidth="1"/>
    <col min="13575" max="13575" width="1.75" style="135" customWidth="1"/>
    <col min="13576" max="13576" width="12.875" style="135" customWidth="1"/>
    <col min="13577" max="13577" width="1.375" style="135" customWidth="1"/>
    <col min="13578" max="13578" width="19.875" style="135" bestFit="1" customWidth="1"/>
    <col min="13579" max="13579" width="0" style="135" hidden="1" customWidth="1"/>
    <col min="13580" max="13822" width="9" style="135"/>
    <col min="13823" max="13823" width="5.25" style="135" customWidth="1"/>
    <col min="13824" max="13826" width="9" style="135"/>
    <col min="13827" max="13827" width="31.25" style="135" customWidth="1"/>
    <col min="13828" max="13828" width="13.75" style="135" customWidth="1"/>
    <col min="13829" max="13829" width="2.75" style="135" customWidth="1"/>
    <col min="13830" max="13830" width="12.875" style="135" customWidth="1"/>
    <col min="13831" max="13831" width="1.75" style="135" customWidth="1"/>
    <col min="13832" max="13832" width="12.875" style="135" customWidth="1"/>
    <col min="13833" max="13833" width="1.375" style="135" customWidth="1"/>
    <col min="13834" max="13834" width="19.875" style="135" bestFit="1" customWidth="1"/>
    <col min="13835" max="13835" width="0" style="135" hidden="1" customWidth="1"/>
    <col min="13836" max="14078" width="9" style="135"/>
    <col min="14079" max="14079" width="5.25" style="135" customWidth="1"/>
    <col min="14080" max="14082" width="9" style="135"/>
    <col min="14083" max="14083" width="31.25" style="135" customWidth="1"/>
    <col min="14084" max="14084" width="13.75" style="135" customWidth="1"/>
    <col min="14085" max="14085" width="2.75" style="135" customWidth="1"/>
    <col min="14086" max="14086" width="12.875" style="135" customWidth="1"/>
    <col min="14087" max="14087" width="1.75" style="135" customWidth="1"/>
    <col min="14088" max="14088" width="12.875" style="135" customWidth="1"/>
    <col min="14089" max="14089" width="1.375" style="135" customWidth="1"/>
    <col min="14090" max="14090" width="19.875" style="135" bestFit="1" customWidth="1"/>
    <col min="14091" max="14091" width="0" style="135" hidden="1" customWidth="1"/>
    <col min="14092" max="14334" width="9" style="135"/>
    <col min="14335" max="14335" width="5.25" style="135" customWidth="1"/>
    <col min="14336" max="14338" width="9" style="135"/>
    <col min="14339" max="14339" width="31.25" style="135" customWidth="1"/>
    <col min="14340" max="14340" width="13.75" style="135" customWidth="1"/>
    <col min="14341" max="14341" width="2.75" style="135" customWidth="1"/>
    <col min="14342" max="14342" width="12.875" style="135" customWidth="1"/>
    <col min="14343" max="14343" width="1.75" style="135" customWidth="1"/>
    <col min="14344" max="14344" width="12.875" style="135" customWidth="1"/>
    <col min="14345" max="14345" width="1.375" style="135" customWidth="1"/>
    <col min="14346" max="14346" width="19.875" style="135" bestFit="1" customWidth="1"/>
    <col min="14347" max="14347" width="0" style="135" hidden="1" customWidth="1"/>
    <col min="14348" max="14590" width="9" style="135"/>
    <col min="14591" max="14591" width="5.25" style="135" customWidth="1"/>
    <col min="14592" max="14594" width="9" style="135"/>
    <col min="14595" max="14595" width="31.25" style="135" customWidth="1"/>
    <col min="14596" max="14596" width="13.75" style="135" customWidth="1"/>
    <col min="14597" max="14597" width="2.75" style="135" customWidth="1"/>
    <col min="14598" max="14598" width="12.875" style="135" customWidth="1"/>
    <col min="14599" max="14599" width="1.75" style="135" customWidth="1"/>
    <col min="14600" max="14600" width="12.875" style="135" customWidth="1"/>
    <col min="14601" max="14601" width="1.375" style="135" customWidth="1"/>
    <col min="14602" max="14602" width="19.875" style="135" bestFit="1" customWidth="1"/>
    <col min="14603" max="14603" width="0" style="135" hidden="1" customWidth="1"/>
    <col min="14604" max="14846" width="9" style="135"/>
    <col min="14847" max="14847" width="5.25" style="135" customWidth="1"/>
    <col min="14848" max="14850" width="9" style="135"/>
    <col min="14851" max="14851" width="31.25" style="135" customWidth="1"/>
    <col min="14852" max="14852" width="13.75" style="135" customWidth="1"/>
    <col min="14853" max="14853" width="2.75" style="135" customWidth="1"/>
    <col min="14854" max="14854" width="12.875" style="135" customWidth="1"/>
    <col min="14855" max="14855" width="1.75" style="135" customWidth="1"/>
    <col min="14856" max="14856" width="12.875" style="135" customWidth="1"/>
    <col min="14857" max="14857" width="1.375" style="135" customWidth="1"/>
    <col min="14858" max="14858" width="19.875" style="135" bestFit="1" customWidth="1"/>
    <col min="14859" max="14859" width="0" style="135" hidden="1" customWidth="1"/>
    <col min="14860" max="15102" width="9" style="135"/>
    <col min="15103" max="15103" width="5.25" style="135" customWidth="1"/>
    <col min="15104" max="15106" width="9" style="135"/>
    <col min="15107" max="15107" width="31.25" style="135" customWidth="1"/>
    <col min="15108" max="15108" width="13.75" style="135" customWidth="1"/>
    <col min="15109" max="15109" width="2.75" style="135" customWidth="1"/>
    <col min="15110" max="15110" width="12.875" style="135" customWidth="1"/>
    <col min="15111" max="15111" width="1.75" style="135" customWidth="1"/>
    <col min="15112" max="15112" width="12.875" style="135" customWidth="1"/>
    <col min="15113" max="15113" width="1.375" style="135" customWidth="1"/>
    <col min="15114" max="15114" width="19.875" style="135" bestFit="1" customWidth="1"/>
    <col min="15115" max="15115" width="0" style="135" hidden="1" customWidth="1"/>
    <col min="15116" max="15358" width="9" style="135"/>
    <col min="15359" max="15359" width="5.25" style="135" customWidth="1"/>
    <col min="15360" max="15362" width="9" style="135"/>
    <col min="15363" max="15363" width="31.25" style="135" customWidth="1"/>
    <col min="15364" max="15364" width="13.75" style="135" customWidth="1"/>
    <col min="15365" max="15365" width="2.75" style="135" customWidth="1"/>
    <col min="15366" max="15366" width="12.875" style="135" customWidth="1"/>
    <col min="15367" max="15367" width="1.75" style="135" customWidth="1"/>
    <col min="15368" max="15368" width="12.875" style="135" customWidth="1"/>
    <col min="15369" max="15369" width="1.375" style="135" customWidth="1"/>
    <col min="15370" max="15370" width="19.875" style="135" bestFit="1" customWidth="1"/>
    <col min="15371" max="15371" width="0" style="135" hidden="1" customWidth="1"/>
    <col min="15372" max="15614" width="9" style="135"/>
    <col min="15615" max="15615" width="5.25" style="135" customWidth="1"/>
    <col min="15616" max="15618" width="9" style="135"/>
    <col min="15619" max="15619" width="31.25" style="135" customWidth="1"/>
    <col min="15620" max="15620" width="13.75" style="135" customWidth="1"/>
    <col min="15621" max="15621" width="2.75" style="135" customWidth="1"/>
    <col min="15622" max="15622" width="12.875" style="135" customWidth="1"/>
    <col min="15623" max="15623" width="1.75" style="135" customWidth="1"/>
    <col min="15624" max="15624" width="12.875" style="135" customWidth="1"/>
    <col min="15625" max="15625" width="1.375" style="135" customWidth="1"/>
    <col min="15626" max="15626" width="19.875" style="135" bestFit="1" customWidth="1"/>
    <col min="15627" max="15627" width="0" style="135" hidden="1" customWidth="1"/>
    <col min="15628" max="15870" width="9" style="135"/>
    <col min="15871" max="15871" width="5.25" style="135" customWidth="1"/>
    <col min="15872" max="15874" width="9" style="135"/>
    <col min="15875" max="15875" width="31.25" style="135" customWidth="1"/>
    <col min="15876" max="15876" width="13.75" style="135" customWidth="1"/>
    <col min="15877" max="15877" width="2.75" style="135" customWidth="1"/>
    <col min="15878" max="15878" width="12.875" style="135" customWidth="1"/>
    <col min="15879" max="15879" width="1.75" style="135" customWidth="1"/>
    <col min="15880" max="15880" width="12.875" style="135" customWidth="1"/>
    <col min="15881" max="15881" width="1.375" style="135" customWidth="1"/>
    <col min="15882" max="15882" width="19.875" style="135" bestFit="1" customWidth="1"/>
    <col min="15883" max="15883" width="0" style="135" hidden="1" customWidth="1"/>
    <col min="15884" max="16126" width="9" style="135"/>
    <col min="16127" max="16127" width="5.25" style="135" customWidth="1"/>
    <col min="16128" max="16130" width="9" style="135"/>
    <col min="16131" max="16131" width="31.25" style="135" customWidth="1"/>
    <col min="16132" max="16132" width="13.75" style="135" customWidth="1"/>
    <col min="16133" max="16133" width="2.75" style="135" customWidth="1"/>
    <col min="16134" max="16134" width="12.875" style="135" customWidth="1"/>
    <col min="16135" max="16135" width="1.75" style="135" customWidth="1"/>
    <col min="16136" max="16136" width="12.875" style="135" customWidth="1"/>
    <col min="16137" max="16137" width="1.375" style="135" customWidth="1"/>
    <col min="16138" max="16138" width="19.875" style="135" bestFit="1" customWidth="1"/>
    <col min="16139" max="16139" width="0" style="135" hidden="1" customWidth="1"/>
    <col min="16140" max="16384" width="9" style="135"/>
  </cols>
  <sheetData>
    <row r="1" spans="1:10">
      <c r="A1" s="136"/>
      <c r="B1" s="136"/>
      <c r="C1" s="136"/>
      <c r="D1" s="136"/>
      <c r="E1" s="136"/>
      <c r="F1" s="136"/>
      <c r="G1" s="136"/>
      <c r="H1" s="136"/>
      <c r="I1" s="136"/>
    </row>
    <row r="2" spans="1:10">
      <c r="A2" s="454" t="s">
        <v>307</v>
      </c>
      <c r="B2" s="454"/>
      <c r="C2" s="454"/>
      <c r="D2" s="454"/>
      <c r="E2" s="454"/>
      <c r="F2" s="454"/>
      <c r="G2" s="454"/>
      <c r="H2" s="454"/>
      <c r="I2" s="454"/>
      <c r="J2" s="454"/>
    </row>
    <row r="3" spans="1:10">
      <c r="F3" s="137"/>
      <c r="G3" s="137"/>
      <c r="H3" s="137"/>
      <c r="I3" s="137"/>
      <c r="J3" s="137" t="s">
        <v>313</v>
      </c>
    </row>
    <row r="4" spans="1:10">
      <c r="F4" s="137" t="s">
        <v>308</v>
      </c>
      <c r="G4" s="137"/>
      <c r="H4" s="137" t="s">
        <v>309</v>
      </c>
      <c r="I4" s="137"/>
      <c r="J4" s="137" t="s">
        <v>310</v>
      </c>
    </row>
    <row r="5" spans="1:10">
      <c r="F5" s="138" t="s">
        <v>183</v>
      </c>
      <c r="G5" s="137"/>
      <c r="H5" s="138" t="s">
        <v>183</v>
      </c>
      <c r="I5" s="138"/>
      <c r="J5" s="138" t="s">
        <v>183</v>
      </c>
    </row>
    <row r="6" spans="1:10">
      <c r="A6" s="136" t="s">
        <v>311</v>
      </c>
    </row>
    <row r="7" spans="1:10">
      <c r="F7" s="147"/>
    </row>
    <row r="8" spans="1:10">
      <c r="B8" s="135" t="s">
        <v>312</v>
      </c>
      <c r="F8" s="191">
        <f>32908-18078</f>
        <v>14830</v>
      </c>
      <c r="H8" s="191">
        <f>+F8</f>
        <v>14830</v>
      </c>
    </row>
    <row r="9" spans="1:10">
      <c r="B9" s="135" t="s">
        <v>314</v>
      </c>
      <c r="F9" s="192">
        <f>17240+838</f>
        <v>18078</v>
      </c>
      <c r="H9" s="139"/>
      <c r="I9" s="139"/>
      <c r="J9" s="191">
        <f>+F9</f>
        <v>18078</v>
      </c>
    </row>
    <row r="10" spans="1:10">
      <c r="F10" s="143"/>
      <c r="H10" s="140"/>
      <c r="I10" s="144"/>
      <c r="J10" s="140"/>
    </row>
    <row r="11" spans="1:10">
      <c r="F11" s="145">
        <f>SUM(F8:F10)</f>
        <v>32908</v>
      </c>
      <c r="H11" s="145">
        <f>SUM(H8:H10)</f>
        <v>14830</v>
      </c>
      <c r="I11" s="139"/>
      <c r="J11" s="145">
        <f>SUM(J8:J10)</f>
        <v>18078</v>
      </c>
    </row>
    <row r="12" spans="1:10">
      <c r="F12" s="141"/>
      <c r="H12" s="139"/>
      <c r="I12" s="139"/>
      <c r="J12" s="139"/>
    </row>
    <row r="13" spans="1:10">
      <c r="F13" s="141"/>
      <c r="H13" s="139"/>
      <c r="I13" s="139"/>
      <c r="J13" s="139"/>
    </row>
    <row r="14" spans="1:10">
      <c r="F14" s="141"/>
      <c r="H14" s="139"/>
      <c r="I14" s="139"/>
      <c r="J14" s="139"/>
    </row>
    <row r="15" spans="1:10">
      <c r="F15" s="141"/>
      <c r="H15" s="139"/>
      <c r="I15" s="139"/>
      <c r="J15" s="139"/>
    </row>
  </sheetData>
  <mergeCells count="1">
    <mergeCell ref="A2:J2"/>
  </mergeCells>
  <phoneticPr fontId="11"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5">
    <tabColor theme="5" tint="0.59999389629810485"/>
  </sheetPr>
  <dimension ref="A1:R21"/>
  <sheetViews>
    <sheetView workbookViewId="0">
      <selection activeCell="G7" sqref="G7"/>
    </sheetView>
  </sheetViews>
  <sheetFormatPr defaultRowHeight="15.75"/>
  <cols>
    <col min="1" max="1" width="4.125" style="293" customWidth="1"/>
    <col min="2" max="2" width="3.625" style="293" customWidth="1"/>
    <col min="3" max="3" width="31.875" style="293" customWidth="1"/>
    <col min="4" max="4" width="10.125" style="294" customWidth="1"/>
    <col min="5" max="5" width="1.625" style="295" customWidth="1"/>
    <col min="6" max="6" width="9.625" style="294" customWidth="1"/>
    <col min="7" max="7" width="1.625" style="295" customWidth="1"/>
    <col min="8" max="8" width="16.375" style="293" customWidth="1"/>
    <col min="9" max="9" width="9" style="312"/>
    <col min="10" max="10" width="9" style="326"/>
    <col min="11" max="18" width="9" style="312"/>
    <col min="19" max="255" width="9" style="292"/>
    <col min="256" max="256" width="4.125" style="292" customWidth="1"/>
    <col min="257" max="257" width="3.625" style="292" customWidth="1"/>
    <col min="258" max="258" width="40.125" style="292" customWidth="1"/>
    <col min="259" max="259" width="13.375" style="292" bestFit="1" customWidth="1"/>
    <col min="260" max="260" width="1.625" style="292" customWidth="1"/>
    <col min="261" max="261" width="11.875" style="292" customWidth="1"/>
    <col min="262" max="262" width="1.625" style="292" customWidth="1"/>
    <col min="263" max="263" width="16.375" style="292" customWidth="1"/>
    <col min="264" max="511" width="9" style="292"/>
    <col min="512" max="512" width="4.125" style="292" customWidth="1"/>
    <col min="513" max="513" width="3.625" style="292" customWidth="1"/>
    <col min="514" max="514" width="40.125" style="292" customWidth="1"/>
    <col min="515" max="515" width="13.375" style="292" bestFit="1" customWidth="1"/>
    <col min="516" max="516" width="1.625" style="292" customWidth="1"/>
    <col min="517" max="517" width="11.875" style="292" customWidth="1"/>
    <col min="518" max="518" width="1.625" style="292" customWidth="1"/>
    <col min="519" max="519" width="16.375" style="292" customWidth="1"/>
    <col min="520" max="767" width="9" style="292"/>
    <col min="768" max="768" width="4.125" style="292" customWidth="1"/>
    <col min="769" max="769" width="3.625" style="292" customWidth="1"/>
    <col min="770" max="770" width="40.125" style="292" customWidth="1"/>
    <col min="771" max="771" width="13.375" style="292" bestFit="1" customWidth="1"/>
    <col min="772" max="772" width="1.625" style="292" customWidth="1"/>
    <col min="773" max="773" width="11.875" style="292" customWidth="1"/>
    <col min="774" max="774" width="1.625" style="292" customWidth="1"/>
    <col min="775" max="775" width="16.375" style="292" customWidth="1"/>
    <col min="776" max="1023" width="9" style="292"/>
    <col min="1024" max="1024" width="4.125" style="292" customWidth="1"/>
    <col min="1025" max="1025" width="3.625" style="292" customWidth="1"/>
    <col min="1026" max="1026" width="40.125" style="292" customWidth="1"/>
    <col min="1027" max="1027" width="13.375" style="292" bestFit="1" customWidth="1"/>
    <col min="1028" max="1028" width="1.625" style="292" customWidth="1"/>
    <col min="1029" max="1029" width="11.875" style="292" customWidth="1"/>
    <col min="1030" max="1030" width="1.625" style="292" customWidth="1"/>
    <col min="1031" max="1031" width="16.375" style="292" customWidth="1"/>
    <col min="1032" max="1279" width="9" style="292"/>
    <col min="1280" max="1280" width="4.125" style="292" customWidth="1"/>
    <col min="1281" max="1281" width="3.625" style="292" customWidth="1"/>
    <col min="1282" max="1282" width="40.125" style="292" customWidth="1"/>
    <col min="1283" max="1283" width="13.375" style="292" bestFit="1" customWidth="1"/>
    <col min="1284" max="1284" width="1.625" style="292" customWidth="1"/>
    <col min="1285" max="1285" width="11.875" style="292" customWidth="1"/>
    <col min="1286" max="1286" width="1.625" style="292" customWidth="1"/>
    <col min="1287" max="1287" width="16.375" style="292" customWidth="1"/>
    <col min="1288" max="1535" width="9" style="292"/>
    <col min="1536" max="1536" width="4.125" style="292" customWidth="1"/>
    <col min="1537" max="1537" width="3.625" style="292" customWidth="1"/>
    <col min="1538" max="1538" width="40.125" style="292" customWidth="1"/>
    <col min="1539" max="1539" width="13.375" style="292" bestFit="1" customWidth="1"/>
    <col min="1540" max="1540" width="1.625" style="292" customWidth="1"/>
    <col min="1541" max="1541" width="11.875" style="292" customWidth="1"/>
    <col min="1542" max="1542" width="1.625" style="292" customWidth="1"/>
    <col min="1543" max="1543" width="16.375" style="292" customWidth="1"/>
    <col min="1544" max="1791" width="9" style="292"/>
    <col min="1792" max="1792" width="4.125" style="292" customWidth="1"/>
    <col min="1793" max="1793" width="3.625" style="292" customWidth="1"/>
    <col min="1794" max="1794" width="40.125" style="292" customWidth="1"/>
    <col min="1795" max="1795" width="13.375" style="292" bestFit="1" customWidth="1"/>
    <col min="1796" max="1796" width="1.625" style="292" customWidth="1"/>
    <col min="1797" max="1797" width="11.875" style="292" customWidth="1"/>
    <col min="1798" max="1798" width="1.625" style="292" customWidth="1"/>
    <col min="1799" max="1799" width="16.375" style="292" customWidth="1"/>
    <col min="1800" max="2047" width="9" style="292"/>
    <col min="2048" max="2048" width="4.125" style="292" customWidth="1"/>
    <col min="2049" max="2049" width="3.625" style="292" customWidth="1"/>
    <col min="2050" max="2050" width="40.125" style="292" customWidth="1"/>
    <col min="2051" max="2051" width="13.375" style="292" bestFit="1" customWidth="1"/>
    <col min="2052" max="2052" width="1.625" style="292" customWidth="1"/>
    <col min="2053" max="2053" width="11.875" style="292" customWidth="1"/>
    <col min="2054" max="2054" width="1.625" style="292" customWidth="1"/>
    <col min="2055" max="2055" width="16.375" style="292" customWidth="1"/>
    <col min="2056" max="2303" width="9" style="292"/>
    <col min="2304" max="2304" width="4.125" style="292" customWidth="1"/>
    <col min="2305" max="2305" width="3.625" style="292" customWidth="1"/>
    <col min="2306" max="2306" width="40.125" style="292" customWidth="1"/>
    <col min="2307" max="2307" width="13.375" style="292" bestFit="1" customWidth="1"/>
    <col min="2308" max="2308" width="1.625" style="292" customWidth="1"/>
    <col min="2309" max="2309" width="11.875" style="292" customWidth="1"/>
    <col min="2310" max="2310" width="1.625" style="292" customWidth="1"/>
    <col min="2311" max="2311" width="16.375" style="292" customWidth="1"/>
    <col min="2312" max="2559" width="9" style="292"/>
    <col min="2560" max="2560" width="4.125" style="292" customWidth="1"/>
    <col min="2561" max="2561" width="3.625" style="292" customWidth="1"/>
    <col min="2562" max="2562" width="40.125" style="292" customWidth="1"/>
    <col min="2563" max="2563" width="13.375" style="292" bestFit="1" customWidth="1"/>
    <col min="2564" max="2564" width="1.625" style="292" customWidth="1"/>
    <col min="2565" max="2565" width="11.875" style="292" customWidth="1"/>
    <col min="2566" max="2566" width="1.625" style="292" customWidth="1"/>
    <col min="2567" max="2567" width="16.375" style="292" customWidth="1"/>
    <col min="2568" max="2815" width="9" style="292"/>
    <col min="2816" max="2816" width="4.125" style="292" customWidth="1"/>
    <col min="2817" max="2817" width="3.625" style="292" customWidth="1"/>
    <col min="2818" max="2818" width="40.125" style="292" customWidth="1"/>
    <col min="2819" max="2819" width="13.375" style="292" bestFit="1" customWidth="1"/>
    <col min="2820" max="2820" width="1.625" style="292" customWidth="1"/>
    <col min="2821" max="2821" width="11.875" style="292" customWidth="1"/>
    <col min="2822" max="2822" width="1.625" style="292" customWidth="1"/>
    <col min="2823" max="2823" width="16.375" style="292" customWidth="1"/>
    <col min="2824" max="3071" width="9" style="292"/>
    <col min="3072" max="3072" width="4.125" style="292" customWidth="1"/>
    <col min="3073" max="3073" width="3.625" style="292" customWidth="1"/>
    <col min="3074" max="3074" width="40.125" style="292" customWidth="1"/>
    <col min="3075" max="3075" width="13.375" style="292" bestFit="1" customWidth="1"/>
    <col min="3076" max="3076" width="1.625" style="292" customWidth="1"/>
    <col min="3077" max="3077" width="11.875" style="292" customWidth="1"/>
    <col min="3078" max="3078" width="1.625" style="292" customWidth="1"/>
    <col min="3079" max="3079" width="16.375" style="292" customWidth="1"/>
    <col min="3080" max="3327" width="9" style="292"/>
    <col min="3328" max="3328" width="4.125" style="292" customWidth="1"/>
    <col min="3329" max="3329" width="3.625" style="292" customWidth="1"/>
    <col min="3330" max="3330" width="40.125" style="292" customWidth="1"/>
    <col min="3331" max="3331" width="13.375" style="292" bestFit="1" customWidth="1"/>
    <col min="3332" max="3332" width="1.625" style="292" customWidth="1"/>
    <col min="3333" max="3333" width="11.875" style="292" customWidth="1"/>
    <col min="3334" max="3334" width="1.625" style="292" customWidth="1"/>
    <col min="3335" max="3335" width="16.375" style="292" customWidth="1"/>
    <col min="3336" max="3583" width="9" style="292"/>
    <col min="3584" max="3584" width="4.125" style="292" customWidth="1"/>
    <col min="3585" max="3585" width="3.625" style="292" customWidth="1"/>
    <col min="3586" max="3586" width="40.125" style="292" customWidth="1"/>
    <col min="3587" max="3587" width="13.375" style="292" bestFit="1" customWidth="1"/>
    <col min="3588" max="3588" width="1.625" style="292" customWidth="1"/>
    <col min="3589" max="3589" width="11.875" style="292" customWidth="1"/>
    <col min="3590" max="3590" width="1.625" style="292" customWidth="1"/>
    <col min="3591" max="3591" width="16.375" style="292" customWidth="1"/>
    <col min="3592" max="3839" width="9" style="292"/>
    <col min="3840" max="3840" width="4.125" style="292" customWidth="1"/>
    <col min="3841" max="3841" width="3.625" style="292" customWidth="1"/>
    <col min="3842" max="3842" width="40.125" style="292" customWidth="1"/>
    <col min="3843" max="3843" width="13.375" style="292" bestFit="1" customWidth="1"/>
    <col min="3844" max="3844" width="1.625" style="292" customWidth="1"/>
    <col min="3845" max="3845" width="11.875" style="292" customWidth="1"/>
    <col min="3846" max="3846" width="1.625" style="292" customWidth="1"/>
    <col min="3847" max="3847" width="16.375" style="292" customWidth="1"/>
    <col min="3848" max="4095" width="9" style="292"/>
    <col min="4096" max="4096" width="4.125" style="292" customWidth="1"/>
    <col min="4097" max="4097" width="3.625" style="292" customWidth="1"/>
    <col min="4098" max="4098" width="40.125" style="292" customWidth="1"/>
    <col min="4099" max="4099" width="13.375" style="292" bestFit="1" customWidth="1"/>
    <col min="4100" max="4100" width="1.625" style="292" customWidth="1"/>
    <col min="4101" max="4101" width="11.875" style="292" customWidth="1"/>
    <col min="4102" max="4102" width="1.625" style="292" customWidth="1"/>
    <col min="4103" max="4103" width="16.375" style="292" customWidth="1"/>
    <col min="4104" max="4351" width="9" style="292"/>
    <col min="4352" max="4352" width="4.125" style="292" customWidth="1"/>
    <col min="4353" max="4353" width="3.625" style="292" customWidth="1"/>
    <col min="4354" max="4354" width="40.125" style="292" customWidth="1"/>
    <col min="4355" max="4355" width="13.375" style="292" bestFit="1" customWidth="1"/>
    <col min="4356" max="4356" width="1.625" style="292" customWidth="1"/>
    <col min="4357" max="4357" width="11.875" style="292" customWidth="1"/>
    <col min="4358" max="4358" width="1.625" style="292" customWidth="1"/>
    <col min="4359" max="4359" width="16.375" style="292" customWidth="1"/>
    <col min="4360" max="4607" width="9" style="292"/>
    <col min="4608" max="4608" width="4.125" style="292" customWidth="1"/>
    <col min="4609" max="4609" width="3.625" style="292" customWidth="1"/>
    <col min="4610" max="4610" width="40.125" style="292" customWidth="1"/>
    <col min="4611" max="4611" width="13.375" style="292" bestFit="1" customWidth="1"/>
    <col min="4612" max="4612" width="1.625" style="292" customWidth="1"/>
    <col min="4613" max="4613" width="11.875" style="292" customWidth="1"/>
    <col min="4614" max="4614" width="1.625" style="292" customWidth="1"/>
    <col min="4615" max="4615" width="16.375" style="292" customWidth="1"/>
    <col min="4616" max="4863" width="9" style="292"/>
    <col min="4864" max="4864" width="4.125" style="292" customWidth="1"/>
    <col min="4865" max="4865" width="3.625" style="292" customWidth="1"/>
    <col min="4866" max="4866" width="40.125" style="292" customWidth="1"/>
    <col min="4867" max="4867" width="13.375" style="292" bestFit="1" customWidth="1"/>
    <col min="4868" max="4868" width="1.625" style="292" customWidth="1"/>
    <col min="4869" max="4869" width="11.875" style="292" customWidth="1"/>
    <col min="4870" max="4870" width="1.625" style="292" customWidth="1"/>
    <col min="4871" max="4871" width="16.375" style="292" customWidth="1"/>
    <col min="4872" max="5119" width="9" style="292"/>
    <col min="5120" max="5120" width="4.125" style="292" customWidth="1"/>
    <col min="5121" max="5121" width="3.625" style="292" customWidth="1"/>
    <col min="5122" max="5122" width="40.125" style="292" customWidth="1"/>
    <col min="5123" max="5123" width="13.375" style="292" bestFit="1" customWidth="1"/>
    <col min="5124" max="5124" width="1.625" style="292" customWidth="1"/>
    <col min="5125" max="5125" width="11.875" style="292" customWidth="1"/>
    <col min="5126" max="5126" width="1.625" style="292" customWidth="1"/>
    <col min="5127" max="5127" width="16.375" style="292" customWidth="1"/>
    <col min="5128" max="5375" width="9" style="292"/>
    <col min="5376" max="5376" width="4.125" style="292" customWidth="1"/>
    <col min="5377" max="5377" width="3.625" style="292" customWidth="1"/>
    <col min="5378" max="5378" width="40.125" style="292" customWidth="1"/>
    <col min="5379" max="5379" width="13.375" style="292" bestFit="1" customWidth="1"/>
    <col min="5380" max="5380" width="1.625" style="292" customWidth="1"/>
    <col min="5381" max="5381" width="11.875" style="292" customWidth="1"/>
    <col min="5382" max="5382" width="1.625" style="292" customWidth="1"/>
    <col min="5383" max="5383" width="16.375" style="292" customWidth="1"/>
    <col min="5384" max="5631" width="9" style="292"/>
    <col min="5632" max="5632" width="4.125" style="292" customWidth="1"/>
    <col min="5633" max="5633" width="3.625" style="292" customWidth="1"/>
    <col min="5634" max="5634" width="40.125" style="292" customWidth="1"/>
    <col min="5635" max="5635" width="13.375" style="292" bestFit="1" customWidth="1"/>
    <col min="5636" max="5636" width="1.625" style="292" customWidth="1"/>
    <col min="5637" max="5637" width="11.875" style="292" customWidth="1"/>
    <col min="5638" max="5638" width="1.625" style="292" customWidth="1"/>
    <col min="5639" max="5639" width="16.375" style="292" customWidth="1"/>
    <col min="5640" max="5887" width="9" style="292"/>
    <col min="5888" max="5888" width="4.125" style="292" customWidth="1"/>
    <col min="5889" max="5889" width="3.625" style="292" customWidth="1"/>
    <col min="5890" max="5890" width="40.125" style="292" customWidth="1"/>
    <col min="5891" max="5891" width="13.375" style="292" bestFit="1" customWidth="1"/>
    <col min="5892" max="5892" width="1.625" style="292" customWidth="1"/>
    <col min="5893" max="5893" width="11.875" style="292" customWidth="1"/>
    <col min="5894" max="5894" width="1.625" style="292" customWidth="1"/>
    <col min="5895" max="5895" width="16.375" style="292" customWidth="1"/>
    <col min="5896" max="6143" width="9" style="292"/>
    <col min="6144" max="6144" width="4.125" style="292" customWidth="1"/>
    <col min="6145" max="6145" width="3.625" style="292" customWidth="1"/>
    <col min="6146" max="6146" width="40.125" style="292" customWidth="1"/>
    <col min="6147" max="6147" width="13.375" style="292" bestFit="1" customWidth="1"/>
    <col min="6148" max="6148" width="1.625" style="292" customWidth="1"/>
    <col min="6149" max="6149" width="11.875" style="292" customWidth="1"/>
    <col min="6150" max="6150" width="1.625" style="292" customWidth="1"/>
    <col min="6151" max="6151" width="16.375" style="292" customWidth="1"/>
    <col min="6152" max="6399" width="9" style="292"/>
    <col min="6400" max="6400" width="4.125" style="292" customWidth="1"/>
    <col min="6401" max="6401" width="3.625" style="292" customWidth="1"/>
    <col min="6402" max="6402" width="40.125" style="292" customWidth="1"/>
    <col min="6403" max="6403" width="13.375" style="292" bestFit="1" customWidth="1"/>
    <col min="6404" max="6404" width="1.625" style="292" customWidth="1"/>
    <col min="6405" max="6405" width="11.875" style="292" customWidth="1"/>
    <col min="6406" max="6406" width="1.625" style="292" customWidth="1"/>
    <col min="6407" max="6407" width="16.375" style="292" customWidth="1"/>
    <col min="6408" max="6655" width="9" style="292"/>
    <col min="6656" max="6656" width="4.125" style="292" customWidth="1"/>
    <col min="6657" max="6657" width="3.625" style="292" customWidth="1"/>
    <col min="6658" max="6658" width="40.125" style="292" customWidth="1"/>
    <col min="6659" max="6659" width="13.375" style="292" bestFit="1" customWidth="1"/>
    <col min="6660" max="6660" width="1.625" style="292" customWidth="1"/>
    <col min="6661" max="6661" width="11.875" style="292" customWidth="1"/>
    <col min="6662" max="6662" width="1.625" style="292" customWidth="1"/>
    <col min="6663" max="6663" width="16.375" style="292" customWidth="1"/>
    <col min="6664" max="6911" width="9" style="292"/>
    <col min="6912" max="6912" width="4.125" style="292" customWidth="1"/>
    <col min="6913" max="6913" width="3.625" style="292" customWidth="1"/>
    <col min="6914" max="6914" width="40.125" style="292" customWidth="1"/>
    <col min="6915" max="6915" width="13.375" style="292" bestFit="1" customWidth="1"/>
    <col min="6916" max="6916" width="1.625" style="292" customWidth="1"/>
    <col min="6917" max="6917" width="11.875" style="292" customWidth="1"/>
    <col min="6918" max="6918" width="1.625" style="292" customWidth="1"/>
    <col min="6919" max="6919" width="16.375" style="292" customWidth="1"/>
    <col min="6920" max="7167" width="9" style="292"/>
    <col min="7168" max="7168" width="4.125" style="292" customWidth="1"/>
    <col min="7169" max="7169" width="3.625" style="292" customWidth="1"/>
    <col min="7170" max="7170" width="40.125" style="292" customWidth="1"/>
    <col min="7171" max="7171" width="13.375" style="292" bestFit="1" customWidth="1"/>
    <col min="7172" max="7172" width="1.625" style="292" customWidth="1"/>
    <col min="7173" max="7173" width="11.875" style="292" customWidth="1"/>
    <col min="7174" max="7174" width="1.625" style="292" customWidth="1"/>
    <col min="7175" max="7175" width="16.375" style="292" customWidth="1"/>
    <col min="7176" max="7423" width="9" style="292"/>
    <col min="7424" max="7424" width="4.125" style="292" customWidth="1"/>
    <col min="7425" max="7425" width="3.625" style="292" customWidth="1"/>
    <col min="7426" max="7426" width="40.125" style="292" customWidth="1"/>
    <col min="7427" max="7427" width="13.375" style="292" bestFit="1" customWidth="1"/>
    <col min="7428" max="7428" width="1.625" style="292" customWidth="1"/>
    <col min="7429" max="7429" width="11.875" style="292" customWidth="1"/>
    <col min="7430" max="7430" width="1.625" style="292" customWidth="1"/>
    <col min="7431" max="7431" width="16.375" style="292" customWidth="1"/>
    <col min="7432" max="7679" width="9" style="292"/>
    <col min="7680" max="7680" width="4.125" style="292" customWidth="1"/>
    <col min="7681" max="7681" width="3.625" style="292" customWidth="1"/>
    <col min="7682" max="7682" width="40.125" style="292" customWidth="1"/>
    <col min="7683" max="7683" width="13.375" style="292" bestFit="1" customWidth="1"/>
    <col min="7684" max="7684" width="1.625" style="292" customWidth="1"/>
    <col min="7685" max="7685" width="11.875" style="292" customWidth="1"/>
    <col min="7686" max="7686" width="1.625" style="292" customWidth="1"/>
    <col min="7687" max="7687" width="16.375" style="292" customWidth="1"/>
    <col min="7688" max="7935" width="9" style="292"/>
    <col min="7936" max="7936" width="4.125" style="292" customWidth="1"/>
    <col min="7937" max="7937" width="3.625" style="292" customWidth="1"/>
    <col min="7938" max="7938" width="40.125" style="292" customWidth="1"/>
    <col min="7939" max="7939" width="13.375" style="292" bestFit="1" customWidth="1"/>
    <col min="7940" max="7940" width="1.625" style="292" customWidth="1"/>
    <col min="7941" max="7941" width="11.875" style="292" customWidth="1"/>
    <col min="7942" max="7942" width="1.625" style="292" customWidth="1"/>
    <col min="7943" max="7943" width="16.375" style="292" customWidth="1"/>
    <col min="7944" max="8191" width="9" style="292"/>
    <col min="8192" max="8192" width="4.125" style="292" customWidth="1"/>
    <col min="8193" max="8193" width="3.625" style="292" customWidth="1"/>
    <col min="8194" max="8194" width="40.125" style="292" customWidth="1"/>
    <col min="8195" max="8195" width="13.375" style="292" bestFit="1" customWidth="1"/>
    <col min="8196" max="8196" width="1.625" style="292" customWidth="1"/>
    <col min="8197" max="8197" width="11.875" style="292" customWidth="1"/>
    <col min="8198" max="8198" width="1.625" style="292" customWidth="1"/>
    <col min="8199" max="8199" width="16.375" style="292" customWidth="1"/>
    <col min="8200" max="8447" width="9" style="292"/>
    <col min="8448" max="8448" width="4.125" style="292" customWidth="1"/>
    <col min="8449" max="8449" width="3.625" style="292" customWidth="1"/>
    <col min="8450" max="8450" width="40.125" style="292" customWidth="1"/>
    <col min="8451" max="8451" width="13.375" style="292" bestFit="1" customWidth="1"/>
    <col min="8452" max="8452" width="1.625" style="292" customWidth="1"/>
    <col min="8453" max="8453" width="11.875" style="292" customWidth="1"/>
    <col min="8454" max="8454" width="1.625" style="292" customWidth="1"/>
    <col min="8455" max="8455" width="16.375" style="292" customWidth="1"/>
    <col min="8456" max="8703" width="9" style="292"/>
    <col min="8704" max="8704" width="4.125" style="292" customWidth="1"/>
    <col min="8705" max="8705" width="3.625" style="292" customWidth="1"/>
    <col min="8706" max="8706" width="40.125" style="292" customWidth="1"/>
    <col min="8707" max="8707" width="13.375" style="292" bestFit="1" customWidth="1"/>
    <col min="8708" max="8708" width="1.625" style="292" customWidth="1"/>
    <col min="8709" max="8709" width="11.875" style="292" customWidth="1"/>
    <col min="8710" max="8710" width="1.625" style="292" customWidth="1"/>
    <col min="8711" max="8711" width="16.375" style="292" customWidth="1"/>
    <col min="8712" max="8959" width="9" style="292"/>
    <col min="8960" max="8960" width="4.125" style="292" customWidth="1"/>
    <col min="8961" max="8961" width="3.625" style="292" customWidth="1"/>
    <col min="8962" max="8962" width="40.125" style="292" customWidth="1"/>
    <col min="8963" max="8963" width="13.375" style="292" bestFit="1" customWidth="1"/>
    <col min="8964" max="8964" width="1.625" style="292" customWidth="1"/>
    <col min="8965" max="8965" width="11.875" style="292" customWidth="1"/>
    <col min="8966" max="8966" width="1.625" style="292" customWidth="1"/>
    <col min="8967" max="8967" width="16.375" style="292" customWidth="1"/>
    <col min="8968" max="9215" width="9" style="292"/>
    <col min="9216" max="9216" width="4.125" style="292" customWidth="1"/>
    <col min="9217" max="9217" width="3.625" style="292" customWidth="1"/>
    <col min="9218" max="9218" width="40.125" style="292" customWidth="1"/>
    <col min="9219" max="9219" width="13.375" style="292" bestFit="1" customWidth="1"/>
    <col min="9220" max="9220" width="1.625" style="292" customWidth="1"/>
    <col min="9221" max="9221" width="11.875" style="292" customWidth="1"/>
    <col min="9222" max="9222" width="1.625" style="292" customWidth="1"/>
    <col min="9223" max="9223" width="16.375" style="292" customWidth="1"/>
    <col min="9224" max="9471" width="9" style="292"/>
    <col min="9472" max="9472" width="4.125" style="292" customWidth="1"/>
    <col min="9473" max="9473" width="3.625" style="292" customWidth="1"/>
    <col min="9474" max="9474" width="40.125" style="292" customWidth="1"/>
    <col min="9475" max="9475" width="13.375" style="292" bestFit="1" customWidth="1"/>
    <col min="9476" max="9476" width="1.625" style="292" customWidth="1"/>
    <col min="9477" max="9477" width="11.875" style="292" customWidth="1"/>
    <col min="9478" max="9478" width="1.625" style="292" customWidth="1"/>
    <col min="9479" max="9479" width="16.375" style="292" customWidth="1"/>
    <col min="9480" max="9727" width="9" style="292"/>
    <col min="9728" max="9728" width="4.125" style="292" customWidth="1"/>
    <col min="9729" max="9729" width="3.625" style="292" customWidth="1"/>
    <col min="9730" max="9730" width="40.125" style="292" customWidth="1"/>
    <col min="9731" max="9731" width="13.375" style="292" bestFit="1" customWidth="1"/>
    <col min="9732" max="9732" width="1.625" style="292" customWidth="1"/>
    <col min="9733" max="9733" width="11.875" style="292" customWidth="1"/>
    <col min="9734" max="9734" width="1.625" style="292" customWidth="1"/>
    <col min="9735" max="9735" width="16.375" style="292" customWidth="1"/>
    <col min="9736" max="9983" width="9" style="292"/>
    <col min="9984" max="9984" width="4.125" style="292" customWidth="1"/>
    <col min="9985" max="9985" width="3.625" style="292" customWidth="1"/>
    <col min="9986" max="9986" width="40.125" style="292" customWidth="1"/>
    <col min="9987" max="9987" width="13.375" style="292" bestFit="1" customWidth="1"/>
    <col min="9988" max="9988" width="1.625" style="292" customWidth="1"/>
    <col min="9989" max="9989" width="11.875" style="292" customWidth="1"/>
    <col min="9990" max="9990" width="1.625" style="292" customWidth="1"/>
    <col min="9991" max="9991" width="16.375" style="292" customWidth="1"/>
    <col min="9992" max="10239" width="9" style="292"/>
    <col min="10240" max="10240" width="4.125" style="292" customWidth="1"/>
    <col min="10241" max="10241" width="3.625" style="292" customWidth="1"/>
    <col min="10242" max="10242" width="40.125" style="292" customWidth="1"/>
    <col min="10243" max="10243" width="13.375" style="292" bestFit="1" customWidth="1"/>
    <col min="10244" max="10244" width="1.625" style="292" customWidth="1"/>
    <col min="10245" max="10245" width="11.875" style="292" customWidth="1"/>
    <col min="10246" max="10246" width="1.625" style="292" customWidth="1"/>
    <col min="10247" max="10247" width="16.375" style="292" customWidth="1"/>
    <col min="10248" max="10495" width="9" style="292"/>
    <col min="10496" max="10496" width="4.125" style="292" customWidth="1"/>
    <col min="10497" max="10497" width="3.625" style="292" customWidth="1"/>
    <col min="10498" max="10498" width="40.125" style="292" customWidth="1"/>
    <col min="10499" max="10499" width="13.375" style="292" bestFit="1" customWidth="1"/>
    <col min="10500" max="10500" width="1.625" style="292" customWidth="1"/>
    <col min="10501" max="10501" width="11.875" style="292" customWidth="1"/>
    <col min="10502" max="10502" width="1.625" style="292" customWidth="1"/>
    <col min="10503" max="10503" width="16.375" style="292" customWidth="1"/>
    <col min="10504" max="10751" width="9" style="292"/>
    <col min="10752" max="10752" width="4.125" style="292" customWidth="1"/>
    <col min="10753" max="10753" width="3.625" style="292" customWidth="1"/>
    <col min="10754" max="10754" width="40.125" style="292" customWidth="1"/>
    <col min="10755" max="10755" width="13.375" style="292" bestFit="1" customWidth="1"/>
    <col min="10756" max="10756" width="1.625" style="292" customWidth="1"/>
    <col min="10757" max="10757" width="11.875" style="292" customWidth="1"/>
    <col min="10758" max="10758" width="1.625" style="292" customWidth="1"/>
    <col min="10759" max="10759" width="16.375" style="292" customWidth="1"/>
    <col min="10760" max="11007" width="9" style="292"/>
    <col min="11008" max="11008" width="4.125" style="292" customWidth="1"/>
    <col min="11009" max="11009" width="3.625" style="292" customWidth="1"/>
    <col min="11010" max="11010" width="40.125" style="292" customWidth="1"/>
    <col min="11011" max="11011" width="13.375" style="292" bestFit="1" customWidth="1"/>
    <col min="11012" max="11012" width="1.625" style="292" customWidth="1"/>
    <col min="11013" max="11013" width="11.875" style="292" customWidth="1"/>
    <col min="11014" max="11014" width="1.625" style="292" customWidth="1"/>
    <col min="11015" max="11015" width="16.375" style="292" customWidth="1"/>
    <col min="11016" max="11263" width="9" style="292"/>
    <col min="11264" max="11264" width="4.125" style="292" customWidth="1"/>
    <col min="11265" max="11265" width="3.625" style="292" customWidth="1"/>
    <col min="11266" max="11266" width="40.125" style="292" customWidth="1"/>
    <col min="11267" max="11267" width="13.375" style="292" bestFit="1" customWidth="1"/>
    <col min="11268" max="11268" width="1.625" style="292" customWidth="1"/>
    <col min="11269" max="11269" width="11.875" style="292" customWidth="1"/>
    <col min="11270" max="11270" width="1.625" style="292" customWidth="1"/>
    <col min="11271" max="11271" width="16.375" style="292" customWidth="1"/>
    <col min="11272" max="11519" width="9" style="292"/>
    <col min="11520" max="11520" width="4.125" style="292" customWidth="1"/>
    <col min="11521" max="11521" width="3.625" style="292" customWidth="1"/>
    <col min="11522" max="11522" width="40.125" style="292" customWidth="1"/>
    <col min="11523" max="11523" width="13.375" style="292" bestFit="1" customWidth="1"/>
    <col min="11524" max="11524" width="1.625" style="292" customWidth="1"/>
    <col min="11525" max="11525" width="11.875" style="292" customWidth="1"/>
    <col min="11526" max="11526" width="1.625" style="292" customWidth="1"/>
    <col min="11527" max="11527" width="16.375" style="292" customWidth="1"/>
    <col min="11528" max="11775" width="9" style="292"/>
    <col min="11776" max="11776" width="4.125" style="292" customWidth="1"/>
    <col min="11777" max="11777" width="3.625" style="292" customWidth="1"/>
    <col min="11778" max="11778" width="40.125" style="292" customWidth="1"/>
    <col min="11779" max="11779" width="13.375" style="292" bestFit="1" customWidth="1"/>
    <col min="11780" max="11780" width="1.625" style="292" customWidth="1"/>
    <col min="11781" max="11781" width="11.875" style="292" customWidth="1"/>
    <col min="11782" max="11782" width="1.625" style="292" customWidth="1"/>
    <col min="11783" max="11783" width="16.375" style="292" customWidth="1"/>
    <col min="11784" max="12031" width="9" style="292"/>
    <col min="12032" max="12032" width="4.125" style="292" customWidth="1"/>
    <col min="12033" max="12033" width="3.625" style="292" customWidth="1"/>
    <col min="12034" max="12034" width="40.125" style="292" customWidth="1"/>
    <col min="12035" max="12035" width="13.375" style="292" bestFit="1" customWidth="1"/>
    <col min="12036" max="12036" width="1.625" style="292" customWidth="1"/>
    <col min="12037" max="12037" width="11.875" style="292" customWidth="1"/>
    <col min="12038" max="12038" width="1.625" style="292" customWidth="1"/>
    <col min="12039" max="12039" width="16.375" style="292" customWidth="1"/>
    <col min="12040" max="12287" width="9" style="292"/>
    <col min="12288" max="12288" width="4.125" style="292" customWidth="1"/>
    <col min="12289" max="12289" width="3.625" style="292" customWidth="1"/>
    <col min="12290" max="12290" width="40.125" style="292" customWidth="1"/>
    <col min="12291" max="12291" width="13.375" style="292" bestFit="1" customWidth="1"/>
    <col min="12292" max="12292" width="1.625" style="292" customWidth="1"/>
    <col min="12293" max="12293" width="11.875" style="292" customWidth="1"/>
    <col min="12294" max="12294" width="1.625" style="292" customWidth="1"/>
    <col min="12295" max="12295" width="16.375" style="292" customWidth="1"/>
    <col min="12296" max="12543" width="9" style="292"/>
    <col min="12544" max="12544" width="4.125" style="292" customWidth="1"/>
    <col min="12545" max="12545" width="3.625" style="292" customWidth="1"/>
    <col min="12546" max="12546" width="40.125" style="292" customWidth="1"/>
    <col min="12547" max="12547" width="13.375" style="292" bestFit="1" customWidth="1"/>
    <col min="12548" max="12548" width="1.625" style="292" customWidth="1"/>
    <col min="12549" max="12549" width="11.875" style="292" customWidth="1"/>
    <col min="12550" max="12550" width="1.625" style="292" customWidth="1"/>
    <col min="12551" max="12551" width="16.375" style="292" customWidth="1"/>
    <col min="12552" max="12799" width="9" style="292"/>
    <col min="12800" max="12800" width="4.125" style="292" customWidth="1"/>
    <col min="12801" max="12801" width="3.625" style="292" customWidth="1"/>
    <col min="12802" max="12802" width="40.125" style="292" customWidth="1"/>
    <col min="12803" max="12803" width="13.375" style="292" bestFit="1" customWidth="1"/>
    <col min="12804" max="12804" width="1.625" style="292" customWidth="1"/>
    <col min="12805" max="12805" width="11.875" style="292" customWidth="1"/>
    <col min="12806" max="12806" width="1.625" style="292" customWidth="1"/>
    <col min="12807" max="12807" width="16.375" style="292" customWidth="1"/>
    <col min="12808" max="13055" width="9" style="292"/>
    <col min="13056" max="13056" width="4.125" style="292" customWidth="1"/>
    <col min="13057" max="13057" width="3.625" style="292" customWidth="1"/>
    <col min="13058" max="13058" width="40.125" style="292" customWidth="1"/>
    <col min="13059" max="13059" width="13.375" style="292" bestFit="1" customWidth="1"/>
    <col min="13060" max="13060" width="1.625" style="292" customWidth="1"/>
    <col min="13061" max="13061" width="11.875" style="292" customWidth="1"/>
    <col min="13062" max="13062" width="1.625" style="292" customWidth="1"/>
    <col min="13063" max="13063" width="16.375" style="292" customWidth="1"/>
    <col min="13064" max="13311" width="9" style="292"/>
    <col min="13312" max="13312" width="4.125" style="292" customWidth="1"/>
    <col min="13313" max="13313" width="3.625" style="292" customWidth="1"/>
    <col min="13314" max="13314" width="40.125" style="292" customWidth="1"/>
    <col min="13315" max="13315" width="13.375" style="292" bestFit="1" customWidth="1"/>
    <col min="13316" max="13316" width="1.625" style="292" customWidth="1"/>
    <col min="13317" max="13317" width="11.875" style="292" customWidth="1"/>
    <col min="13318" max="13318" width="1.625" style="292" customWidth="1"/>
    <col min="13319" max="13319" width="16.375" style="292" customWidth="1"/>
    <col min="13320" max="13567" width="9" style="292"/>
    <col min="13568" max="13568" width="4.125" style="292" customWidth="1"/>
    <col min="13569" max="13569" width="3.625" style="292" customWidth="1"/>
    <col min="13570" max="13570" width="40.125" style="292" customWidth="1"/>
    <col min="13571" max="13571" width="13.375" style="292" bestFit="1" customWidth="1"/>
    <col min="13572" max="13572" width="1.625" style="292" customWidth="1"/>
    <col min="13573" max="13573" width="11.875" style="292" customWidth="1"/>
    <col min="13574" max="13574" width="1.625" style="292" customWidth="1"/>
    <col min="13575" max="13575" width="16.375" style="292" customWidth="1"/>
    <col min="13576" max="13823" width="9" style="292"/>
    <col min="13824" max="13824" width="4.125" style="292" customWidth="1"/>
    <col min="13825" max="13825" width="3.625" style="292" customWidth="1"/>
    <col min="13826" max="13826" width="40.125" style="292" customWidth="1"/>
    <col min="13827" max="13827" width="13.375" style="292" bestFit="1" customWidth="1"/>
    <col min="13828" max="13828" width="1.625" style="292" customWidth="1"/>
    <col min="13829" max="13829" width="11.875" style="292" customWidth="1"/>
    <col min="13830" max="13830" width="1.625" style="292" customWidth="1"/>
    <col min="13831" max="13831" width="16.375" style="292" customWidth="1"/>
    <col min="13832" max="14079" width="9" style="292"/>
    <col min="14080" max="14080" width="4.125" style="292" customWidth="1"/>
    <col min="14081" max="14081" width="3.625" style="292" customWidth="1"/>
    <col min="14082" max="14082" width="40.125" style="292" customWidth="1"/>
    <col min="14083" max="14083" width="13.375" style="292" bestFit="1" customWidth="1"/>
    <col min="14084" max="14084" width="1.625" style="292" customWidth="1"/>
    <col min="14085" max="14085" width="11.875" style="292" customWidth="1"/>
    <col min="14086" max="14086" width="1.625" style="292" customWidth="1"/>
    <col min="14087" max="14087" width="16.375" style="292" customWidth="1"/>
    <col min="14088" max="14335" width="9" style="292"/>
    <col min="14336" max="14336" width="4.125" style="292" customWidth="1"/>
    <col min="14337" max="14337" width="3.625" style="292" customWidth="1"/>
    <col min="14338" max="14338" width="40.125" style="292" customWidth="1"/>
    <col min="14339" max="14339" width="13.375" style="292" bestFit="1" customWidth="1"/>
    <col min="14340" max="14340" width="1.625" style="292" customWidth="1"/>
    <col min="14341" max="14341" width="11.875" style="292" customWidth="1"/>
    <col min="14342" max="14342" width="1.625" style="292" customWidth="1"/>
    <col min="14343" max="14343" width="16.375" style="292" customWidth="1"/>
    <col min="14344" max="14591" width="9" style="292"/>
    <col min="14592" max="14592" width="4.125" style="292" customWidth="1"/>
    <col min="14593" max="14593" width="3.625" style="292" customWidth="1"/>
    <col min="14594" max="14594" width="40.125" style="292" customWidth="1"/>
    <col min="14595" max="14595" width="13.375" style="292" bestFit="1" customWidth="1"/>
    <col min="14596" max="14596" width="1.625" style="292" customWidth="1"/>
    <col min="14597" max="14597" width="11.875" style="292" customWidth="1"/>
    <col min="14598" max="14598" width="1.625" style="292" customWidth="1"/>
    <col min="14599" max="14599" width="16.375" style="292" customWidth="1"/>
    <col min="14600" max="14847" width="9" style="292"/>
    <col min="14848" max="14848" width="4.125" style="292" customWidth="1"/>
    <col min="14849" max="14849" width="3.625" style="292" customWidth="1"/>
    <col min="14850" max="14850" width="40.125" style="292" customWidth="1"/>
    <col min="14851" max="14851" width="13.375" style="292" bestFit="1" customWidth="1"/>
    <col min="14852" max="14852" width="1.625" style="292" customWidth="1"/>
    <col min="14853" max="14853" width="11.875" style="292" customWidth="1"/>
    <col min="14854" max="14854" width="1.625" style="292" customWidth="1"/>
    <col min="14855" max="14855" width="16.375" style="292" customWidth="1"/>
    <col min="14856" max="15103" width="9" style="292"/>
    <col min="15104" max="15104" width="4.125" style="292" customWidth="1"/>
    <col min="15105" max="15105" width="3.625" style="292" customWidth="1"/>
    <col min="15106" max="15106" width="40.125" style="292" customWidth="1"/>
    <col min="15107" max="15107" width="13.375" style="292" bestFit="1" customWidth="1"/>
    <col min="15108" max="15108" width="1.625" style="292" customWidth="1"/>
    <col min="15109" max="15109" width="11.875" style="292" customWidth="1"/>
    <col min="15110" max="15110" width="1.625" style="292" customWidth="1"/>
    <col min="15111" max="15111" width="16.375" style="292" customWidth="1"/>
    <col min="15112" max="15359" width="9" style="292"/>
    <col min="15360" max="15360" width="4.125" style="292" customWidth="1"/>
    <col min="15361" max="15361" width="3.625" style="292" customWidth="1"/>
    <col min="15362" max="15362" width="40.125" style="292" customWidth="1"/>
    <col min="15363" max="15363" width="13.375" style="292" bestFit="1" customWidth="1"/>
    <col min="15364" max="15364" width="1.625" style="292" customWidth="1"/>
    <col min="15365" max="15365" width="11.875" style="292" customWidth="1"/>
    <col min="15366" max="15366" width="1.625" style="292" customWidth="1"/>
    <col min="15367" max="15367" width="16.375" style="292" customWidth="1"/>
    <col min="15368" max="15615" width="9" style="292"/>
    <col min="15616" max="15616" width="4.125" style="292" customWidth="1"/>
    <col min="15617" max="15617" width="3.625" style="292" customWidth="1"/>
    <col min="15618" max="15618" width="40.125" style="292" customWidth="1"/>
    <col min="15619" max="15619" width="13.375" style="292" bestFit="1" customWidth="1"/>
    <col min="15620" max="15620" width="1.625" style="292" customWidth="1"/>
    <col min="15621" max="15621" width="11.875" style="292" customWidth="1"/>
    <col min="15622" max="15622" width="1.625" style="292" customWidth="1"/>
    <col min="15623" max="15623" width="16.375" style="292" customWidth="1"/>
    <col min="15624" max="15871" width="9" style="292"/>
    <col min="15872" max="15872" width="4.125" style="292" customWidth="1"/>
    <col min="15873" max="15873" width="3.625" style="292" customWidth="1"/>
    <col min="15874" max="15874" width="40.125" style="292" customWidth="1"/>
    <col min="15875" max="15875" width="13.375" style="292" bestFit="1" customWidth="1"/>
    <col min="15876" max="15876" width="1.625" style="292" customWidth="1"/>
    <col min="15877" max="15877" width="11.875" style="292" customWidth="1"/>
    <col min="15878" max="15878" width="1.625" style="292" customWidth="1"/>
    <col min="15879" max="15879" width="16.375" style="292" customWidth="1"/>
    <col min="15880" max="16127" width="9" style="292"/>
    <col min="16128" max="16128" width="4.125" style="292" customWidth="1"/>
    <col min="16129" max="16129" width="3.625" style="292" customWidth="1"/>
    <col min="16130" max="16130" width="40.125" style="292" customWidth="1"/>
    <col min="16131" max="16131" width="13.375" style="292" bestFit="1" customWidth="1"/>
    <col min="16132" max="16132" width="1.625" style="292" customWidth="1"/>
    <col min="16133" max="16133" width="11.875" style="292" customWidth="1"/>
    <col min="16134" max="16134" width="1.625" style="292" customWidth="1"/>
    <col min="16135" max="16135" width="16.375" style="292" customWidth="1"/>
    <col min="16136" max="16383" width="9" style="292"/>
    <col min="16384" max="16384" width="9" style="292" customWidth="1"/>
  </cols>
  <sheetData>
    <row r="1" spans="1:18">
      <c r="A1" s="455" t="str">
        <f>+Control!D2</f>
        <v>MOP ENTERTAINMENT LIMITED</v>
      </c>
      <c r="B1" s="455"/>
      <c r="C1" s="455"/>
      <c r="D1" s="455"/>
      <c r="E1" s="455"/>
      <c r="F1" s="455"/>
      <c r="G1" s="455"/>
      <c r="H1" s="455"/>
      <c r="J1" s="313" t="s">
        <v>1</v>
      </c>
    </row>
    <row r="2" spans="1:18">
      <c r="J2" s="314" t="str">
        <f>+CONCATENATE(UPPER(Control!D9))</f>
        <v>PERIOD</v>
      </c>
    </row>
    <row r="3" spans="1:18">
      <c r="A3" s="399" t="s">
        <v>510</v>
      </c>
      <c r="B3" s="399"/>
      <c r="C3" s="399"/>
      <c r="D3" s="399"/>
      <c r="E3" s="399"/>
      <c r="F3" s="399"/>
      <c r="G3" s="399"/>
      <c r="H3" s="399"/>
      <c r="J3" s="313" t="s">
        <v>89</v>
      </c>
    </row>
    <row r="4" spans="1:18">
      <c r="A4" s="456" t="str">
        <f>+CONCATENATE(J1,J2," ",J3,J4)</f>
        <v>FOR THE PERIOD ENDED 30 NOVEMBER, 2017</v>
      </c>
      <c r="B4" s="456"/>
      <c r="C4" s="456"/>
      <c r="D4" s="456"/>
      <c r="E4" s="456"/>
      <c r="F4" s="456"/>
      <c r="G4" s="456"/>
      <c r="H4" s="456"/>
      <c r="J4" s="315" t="str">
        <f>+[1]Control!D7</f>
        <v>30 NOVEMBER, 2017</v>
      </c>
    </row>
    <row r="5" spans="1:18" s="296" customFormat="1" ht="25.5">
      <c r="D5" s="297" t="s">
        <v>200</v>
      </c>
      <c r="E5" s="298"/>
      <c r="F5" s="297" t="s">
        <v>201</v>
      </c>
      <c r="G5" s="298"/>
      <c r="H5" s="327" t="str">
        <f>+CONCATENATE(J6,J7)</f>
        <v xml:space="preserve"> Increase/
(decrease) in Loss</v>
      </c>
      <c r="I5" s="316"/>
      <c r="J5" s="317"/>
      <c r="K5" s="316"/>
      <c r="L5" s="316"/>
      <c r="M5" s="316"/>
      <c r="N5" s="316"/>
      <c r="O5" s="316"/>
      <c r="P5" s="316"/>
      <c r="Q5" s="316"/>
      <c r="R5" s="316"/>
    </row>
    <row r="6" spans="1:18" s="299" customFormat="1" ht="38.25">
      <c r="D6" s="300" t="s">
        <v>290</v>
      </c>
      <c r="E6" s="301"/>
      <c r="F6" s="300" t="s">
        <v>290</v>
      </c>
      <c r="G6" s="301"/>
      <c r="I6" s="318"/>
      <c r="J6" s="319" t="s">
        <v>511</v>
      </c>
      <c r="K6" s="318"/>
      <c r="L6" s="318"/>
      <c r="M6" s="318"/>
      <c r="N6" s="318"/>
      <c r="O6" s="318"/>
      <c r="P6" s="318"/>
      <c r="Q6" s="318"/>
      <c r="R6" s="318"/>
    </row>
    <row r="7" spans="1:18" s="302" customFormat="1" ht="12.75">
      <c r="A7" s="320" t="str">
        <f>+CONCATENATE(J10,J11)</f>
        <v>Loss as per client's management accounts</v>
      </c>
      <c r="D7" s="303"/>
      <c r="E7" s="304"/>
      <c r="F7" s="303"/>
      <c r="G7" s="304"/>
      <c r="H7" s="187">
        <v>-1537691</v>
      </c>
      <c r="I7" s="320"/>
      <c r="J7" s="321" t="str">
        <f>+IF(H7&gt;=0,"Profit","Loss")</f>
        <v>Loss</v>
      </c>
      <c r="K7" s="320"/>
      <c r="L7" s="320"/>
      <c r="M7" s="320"/>
      <c r="N7" s="320"/>
      <c r="O7" s="320"/>
      <c r="P7" s="320"/>
      <c r="Q7" s="320"/>
      <c r="R7" s="320"/>
    </row>
    <row r="8" spans="1:18" s="293" customFormat="1" ht="12.75">
      <c r="A8" s="305"/>
      <c r="D8" s="294"/>
      <c r="E8" s="295"/>
      <c r="F8" s="294"/>
      <c r="G8" s="295"/>
      <c r="I8" s="322"/>
      <c r="J8" s="323"/>
      <c r="K8" s="322"/>
      <c r="L8" s="322"/>
      <c r="M8" s="322"/>
      <c r="N8" s="322"/>
      <c r="O8" s="322"/>
      <c r="P8" s="322"/>
      <c r="Q8" s="322"/>
      <c r="R8" s="322"/>
    </row>
    <row r="9" spans="1:18" s="293" customFormat="1" ht="12.75">
      <c r="A9" s="305"/>
      <c r="D9" s="294"/>
      <c r="E9" s="295"/>
      <c r="F9" s="294"/>
      <c r="G9" s="295"/>
      <c r="I9" s="322"/>
      <c r="J9" s="323"/>
      <c r="K9" s="322"/>
      <c r="L9" s="322"/>
      <c r="M9" s="322"/>
      <c r="N9" s="322"/>
      <c r="O9" s="322"/>
      <c r="P9" s="322"/>
      <c r="Q9" s="322"/>
      <c r="R9" s="322"/>
    </row>
    <row r="10" spans="1:18" s="293" customFormat="1" ht="12.75">
      <c r="A10" s="305" t="s">
        <v>107</v>
      </c>
      <c r="B10" s="188" t="s">
        <v>202</v>
      </c>
      <c r="C10" s="188"/>
      <c r="D10" s="189">
        <v>0</v>
      </c>
      <c r="E10" s="295"/>
      <c r="F10" s="294"/>
      <c r="G10" s="295"/>
      <c r="H10" s="190">
        <v>0</v>
      </c>
      <c r="I10" s="322"/>
      <c r="J10" s="323" t="str">
        <f>+IF(H7&gt;=0,"Profit ","Loss ")</f>
        <v xml:space="preserve">Loss </v>
      </c>
      <c r="K10" s="322"/>
      <c r="L10" s="322"/>
      <c r="M10" s="322"/>
      <c r="N10" s="322"/>
      <c r="O10" s="322"/>
      <c r="P10" s="322"/>
      <c r="Q10" s="322"/>
      <c r="R10" s="322"/>
    </row>
    <row r="11" spans="1:18" s="293" customFormat="1" ht="12.75">
      <c r="A11" s="305"/>
      <c r="B11" s="188"/>
      <c r="C11" s="188" t="s">
        <v>203</v>
      </c>
      <c r="D11" s="294"/>
      <c r="E11" s="295"/>
      <c r="F11" s="189">
        <v>0</v>
      </c>
      <c r="G11" s="295"/>
      <c r="H11" s="306"/>
      <c r="I11" s="322"/>
      <c r="J11" s="323" t="s">
        <v>512</v>
      </c>
      <c r="K11" s="322"/>
      <c r="L11" s="322"/>
      <c r="M11" s="322"/>
      <c r="N11" s="322"/>
      <c r="O11" s="322"/>
      <c r="P11" s="322"/>
      <c r="Q11" s="322"/>
      <c r="R11" s="322"/>
    </row>
    <row r="12" spans="1:18" s="307" customFormat="1" ht="12.75">
      <c r="D12" s="308"/>
      <c r="E12" s="309"/>
      <c r="F12" s="308"/>
      <c r="G12" s="309"/>
      <c r="H12" s="293"/>
      <c r="I12" s="324"/>
      <c r="J12" s="325"/>
      <c r="K12" s="324"/>
      <c r="L12" s="324"/>
      <c r="M12" s="324"/>
      <c r="N12" s="324"/>
      <c r="O12" s="324"/>
      <c r="P12" s="324"/>
      <c r="Q12" s="324"/>
      <c r="R12" s="324"/>
    </row>
    <row r="13" spans="1:18" s="307" customFormat="1" ht="12.75">
      <c r="B13" s="307" t="s">
        <v>390</v>
      </c>
      <c r="D13" s="308"/>
      <c r="E13" s="309"/>
      <c r="F13" s="308"/>
      <c r="G13" s="309"/>
      <c r="H13" s="293"/>
      <c r="I13" s="324"/>
      <c r="J13" s="325"/>
      <c r="K13" s="324"/>
      <c r="L13" s="324"/>
      <c r="M13" s="324"/>
      <c r="N13" s="324"/>
      <c r="O13" s="324"/>
      <c r="P13" s="324"/>
      <c r="Q13" s="324"/>
      <c r="R13" s="324"/>
    </row>
    <row r="14" spans="1:18" s="307" customFormat="1" ht="12.75">
      <c r="D14" s="308"/>
      <c r="E14" s="309"/>
      <c r="F14" s="308"/>
      <c r="G14" s="309"/>
      <c r="H14" s="293"/>
      <c r="I14" s="324"/>
      <c r="J14" s="325"/>
      <c r="K14" s="324"/>
      <c r="L14" s="324"/>
      <c r="M14" s="324"/>
      <c r="N14" s="324"/>
      <c r="O14" s="324"/>
      <c r="P14" s="324"/>
      <c r="Q14" s="324"/>
      <c r="R14" s="324"/>
    </row>
    <row r="15" spans="1:18" s="307" customFormat="1" ht="12.75">
      <c r="D15" s="308"/>
      <c r="E15" s="309"/>
      <c r="F15" s="308"/>
      <c r="G15" s="309"/>
      <c r="H15" s="293"/>
      <c r="I15" s="324"/>
      <c r="J15" s="325"/>
      <c r="K15" s="324"/>
      <c r="L15" s="324"/>
      <c r="M15" s="324"/>
      <c r="N15" s="324"/>
      <c r="O15" s="324"/>
      <c r="P15" s="324"/>
      <c r="Q15" s="324"/>
      <c r="R15" s="324"/>
    </row>
    <row r="16" spans="1:18" s="307" customFormat="1" ht="12.75">
      <c r="C16" s="293"/>
      <c r="D16" s="308"/>
      <c r="E16" s="309"/>
      <c r="F16" s="308"/>
      <c r="G16" s="309"/>
      <c r="H16" s="293"/>
      <c r="I16" s="324"/>
      <c r="J16" s="325"/>
      <c r="K16" s="324"/>
      <c r="L16" s="324"/>
      <c r="M16" s="324"/>
      <c r="N16" s="324"/>
      <c r="O16" s="324"/>
      <c r="P16" s="324"/>
      <c r="Q16" s="324"/>
      <c r="R16" s="324"/>
    </row>
    <row r="17" spans="1:18" s="302" customFormat="1" ht="13.5" thickBot="1">
      <c r="A17" s="320" t="str">
        <f>+CONCATENATE(J17,J18)</f>
        <v>Loss as per audit account</v>
      </c>
      <c r="D17" s="303"/>
      <c r="E17" s="304"/>
      <c r="F17" s="303"/>
      <c r="G17" s="304"/>
      <c r="H17" s="310">
        <f>SUM(H7:H16)</f>
        <v>-1537691</v>
      </c>
      <c r="I17" s="320"/>
      <c r="J17" s="321" t="str">
        <f>+IF(H17&gt;=0,"Profit ","Loss ")</f>
        <v xml:space="preserve">Loss </v>
      </c>
      <c r="K17" s="320"/>
      <c r="L17" s="320"/>
      <c r="M17" s="320"/>
      <c r="N17" s="320"/>
      <c r="O17" s="320"/>
      <c r="P17" s="320"/>
      <c r="Q17" s="320"/>
      <c r="R17" s="320"/>
    </row>
    <row r="18" spans="1:18" s="302" customFormat="1" ht="13.5" thickTop="1">
      <c r="D18" s="303"/>
      <c r="E18" s="304"/>
      <c r="F18" s="303"/>
      <c r="G18" s="304"/>
      <c r="H18" s="311"/>
      <c r="I18" s="320"/>
      <c r="J18" s="321" t="s">
        <v>513</v>
      </c>
      <c r="K18" s="320"/>
      <c r="L18" s="320"/>
      <c r="M18" s="320"/>
      <c r="N18" s="320"/>
      <c r="O18" s="320"/>
      <c r="P18" s="320"/>
      <c r="Q18" s="320"/>
      <c r="R18" s="320"/>
    </row>
    <row r="19" spans="1:18" s="307" customFormat="1" ht="12.75">
      <c r="D19" s="308"/>
      <c r="E19" s="309"/>
      <c r="F19" s="308"/>
      <c r="G19" s="309"/>
      <c r="H19" s="293"/>
      <c r="I19" s="324"/>
      <c r="J19" s="325"/>
      <c r="K19" s="324"/>
      <c r="L19" s="324"/>
      <c r="M19" s="324"/>
      <c r="N19" s="324"/>
      <c r="O19" s="324"/>
      <c r="P19" s="324"/>
      <c r="Q19" s="324"/>
      <c r="R19" s="324"/>
    </row>
    <row r="20" spans="1:18">
      <c r="J20" s="326" t="s">
        <v>514</v>
      </c>
    </row>
    <row r="21" spans="1:18">
      <c r="J21" s="326" t="str">
        <f>+LOWER(J2)</f>
        <v>period</v>
      </c>
    </row>
  </sheetData>
  <mergeCells count="3">
    <mergeCell ref="A1:H1"/>
    <mergeCell ref="A3:H3"/>
    <mergeCell ref="A4:H4"/>
  </mergeCells>
  <phoneticPr fontId="1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7"/>
  <dimension ref="A1:DE38"/>
  <sheetViews>
    <sheetView topLeftCell="A8" zoomScale="85" zoomScaleNormal="85" workbookViewId="0">
      <selection activeCell="L22" sqref="L22"/>
    </sheetView>
  </sheetViews>
  <sheetFormatPr defaultRowHeight="15.75"/>
  <cols>
    <col min="1" max="1" width="53.125" customWidth="1"/>
    <col min="2" max="2" width="8.125" customWidth="1"/>
    <col min="3" max="3" width="18.125" customWidth="1"/>
    <col min="4" max="4" width="4.125" customWidth="1"/>
    <col min="5" max="5" width="20.125" customWidth="1"/>
  </cols>
  <sheetData>
    <row r="1" spans="1:109" s="342" customFormat="1" hidden="1"/>
    <row r="2" spans="1:109" s="342" customFormat="1" hidden="1"/>
    <row r="3" spans="1:109" s="342" customFormat="1" hidden="1"/>
    <row r="4" spans="1:109" s="342" customFormat="1" hidden="1"/>
    <row r="5" spans="1:109" s="342" customFormat="1" hidden="1"/>
    <row r="6" spans="1:109" s="342" customFormat="1" hidden="1"/>
    <row r="7" spans="1:109" s="342" customFormat="1" hidden="1"/>
    <row r="8" spans="1:109">
      <c r="B8" s="204"/>
      <c r="C8" s="204"/>
      <c r="D8" s="204"/>
      <c r="E8" s="228" t="s">
        <v>488</v>
      </c>
    </row>
    <row r="9" spans="1:109">
      <c r="A9" s="37"/>
      <c r="C9" s="92" t="s">
        <v>388</v>
      </c>
      <c r="E9" s="92" t="s">
        <v>389</v>
      </c>
    </row>
    <row r="10" spans="1:109" s="78" customFormat="1" ht="15">
      <c r="B10" s="121" t="s">
        <v>204</v>
      </c>
      <c r="C10" s="119" t="str">
        <f>IF(Control!D37=0,TEXT(Control!D12,"dd.mm.yyyy"),"")</f>
        <v>31.07.2016</v>
      </c>
      <c r="E10" s="119"/>
    </row>
    <row r="11" spans="1:109" s="78" customFormat="1" ht="15">
      <c r="B11" s="79"/>
      <c r="C11" s="95"/>
      <c r="D11" s="96"/>
      <c r="E11" s="95"/>
    </row>
    <row r="12" spans="1:109" s="78" customFormat="1" ht="24.95" customHeight="1">
      <c r="A12" s="246" t="s">
        <v>205</v>
      </c>
      <c r="B12" s="79"/>
      <c r="C12" s="223">
        <v>0</v>
      </c>
      <c r="D12" s="243"/>
      <c r="E12" s="223">
        <v>1941632</v>
      </c>
    </row>
    <row r="13" spans="1:109" s="78" customFormat="1" ht="24.95" customHeight="1">
      <c r="A13" s="246" t="s">
        <v>206</v>
      </c>
      <c r="B13" s="81"/>
      <c r="C13" s="224">
        <v>0</v>
      </c>
      <c r="D13" s="244"/>
      <c r="E13" s="224">
        <v>-962981</v>
      </c>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row>
    <row r="14" spans="1:109" s="78" customFormat="1" ht="24.95" customHeight="1">
      <c r="A14" s="246" t="s">
        <v>207</v>
      </c>
      <c r="B14" s="81"/>
      <c r="C14" s="366">
        <f>+C12+C13</f>
        <v>0</v>
      </c>
      <c r="D14" s="81"/>
      <c r="E14" s="366">
        <f>+E12+E13</f>
        <v>978651</v>
      </c>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row>
    <row r="15" spans="1:109" s="78" customFormat="1" ht="24.95" customHeight="1">
      <c r="A15" s="246" t="s">
        <v>208</v>
      </c>
      <c r="B15" s="79"/>
      <c r="C15" s="223">
        <v>0</v>
      </c>
      <c r="D15" s="243"/>
      <c r="E15" s="223">
        <f>9+4596</f>
        <v>4605</v>
      </c>
    </row>
    <row r="16" spans="1:109" s="78" customFormat="1" ht="24.95" customHeight="1">
      <c r="A16" s="246" t="s">
        <v>209</v>
      </c>
      <c r="B16" s="79"/>
      <c r="C16" s="225">
        <v>0</v>
      </c>
      <c r="D16" s="245"/>
      <c r="E16" s="225">
        <f>-2513351-3000-4596</f>
        <v>-2520947</v>
      </c>
    </row>
    <row r="17" spans="1:5" s="78" customFormat="1" ht="24.95" customHeight="1">
      <c r="A17" s="246" t="s">
        <v>387</v>
      </c>
      <c r="B17" s="79"/>
      <c r="C17" s="225">
        <v>0</v>
      </c>
      <c r="D17" s="245"/>
      <c r="E17" s="225">
        <v>0</v>
      </c>
    </row>
    <row r="18" spans="1:5" s="78" customFormat="1" ht="24.95" customHeight="1">
      <c r="A18" s="246" t="s">
        <v>273</v>
      </c>
      <c r="B18" s="79"/>
      <c r="C18" s="225">
        <v>0</v>
      </c>
      <c r="D18" s="245"/>
      <c r="E18" s="225">
        <v>0</v>
      </c>
    </row>
    <row r="19" spans="1:5" s="78" customFormat="1" ht="24.95" customHeight="1">
      <c r="A19" s="246"/>
      <c r="B19" s="79"/>
      <c r="C19" s="97"/>
      <c r="D19" s="98"/>
      <c r="E19" s="97"/>
    </row>
    <row r="20" spans="1:5" s="78" customFormat="1" ht="24.95" customHeight="1">
      <c r="A20" s="246" t="s">
        <v>369</v>
      </c>
      <c r="B20" s="79"/>
      <c r="C20" s="366">
        <f>SUM(C14:C19)</f>
        <v>0</v>
      </c>
      <c r="D20" s="96"/>
      <c r="E20" s="366">
        <f>SUM(E14:E19)</f>
        <v>-1537691</v>
      </c>
    </row>
    <row r="21" spans="1:5" s="78" customFormat="1" ht="23.25" customHeight="1">
      <c r="A21" s="246" t="s">
        <v>210</v>
      </c>
      <c r="B21" s="79"/>
      <c r="C21" s="224">
        <v>0</v>
      </c>
      <c r="D21" s="243"/>
      <c r="E21" s="225">
        <v>0</v>
      </c>
    </row>
    <row r="22" spans="1:5" s="78" customFormat="1" ht="24.95" customHeight="1" thickBot="1">
      <c r="A22" s="246" t="s">
        <v>386</v>
      </c>
      <c r="B22" s="79"/>
      <c r="C22" s="367">
        <f>+C20+C21</f>
        <v>0</v>
      </c>
      <c r="D22" s="96"/>
      <c r="E22" s="367">
        <f>+E20+E21</f>
        <v>-1537691</v>
      </c>
    </row>
    <row r="23" spans="1:5" s="78" customFormat="1" thickTop="1">
      <c r="B23" s="79"/>
      <c r="C23" s="80"/>
      <c r="E23" s="80"/>
    </row>
    <row r="33" spans="1:1">
      <c r="A33" s="226" t="s">
        <v>211</v>
      </c>
    </row>
    <row r="34" spans="1:1">
      <c r="A34" s="227"/>
    </row>
    <row r="35" spans="1:1">
      <c r="A35" s="226" t="e">
        <f>+CONCATENATE("  ",#REF!,#REF!,#REF!,#REF!,#REF!)</f>
        <v>#REF!</v>
      </c>
    </row>
    <row r="36" spans="1:1">
      <c r="A36" s="38"/>
    </row>
    <row r="37" spans="1:1">
      <c r="A37" s="38"/>
    </row>
    <row r="38" spans="1:1">
      <c r="A38" s="38"/>
    </row>
  </sheetData>
  <phoneticPr fontId="11" type="noConversion"/>
  <pageMargins left="0.9055118110236221" right="0.9055118110236221" top="0.74803149606299213" bottom="0.74803149606299213" header="0.31496062992125984" footer="0.31496062992125984"/>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29"/>
  <dimension ref="A1:P71"/>
  <sheetViews>
    <sheetView tabSelected="1" topLeftCell="A7" zoomScale="85" zoomScaleNormal="85" workbookViewId="0">
      <selection activeCell="C14" sqref="C14"/>
    </sheetView>
  </sheetViews>
  <sheetFormatPr defaultColWidth="8.75" defaultRowHeight="15.75"/>
  <cols>
    <col min="1" max="1" width="34.875" style="43" customWidth="1"/>
    <col min="2" max="2" width="8.125" style="186" customWidth="1"/>
    <col min="3" max="3" width="13" style="43" customWidth="1"/>
    <col min="4" max="4" width="5.125" style="43" customWidth="1"/>
    <col min="5" max="5" width="13.125" style="43" customWidth="1"/>
    <col min="6" max="6" width="24.75" style="234" customWidth="1"/>
    <col min="7" max="7" width="8.75" style="247"/>
    <col min="8" max="8" width="14.375" style="247" customWidth="1"/>
    <col min="9" max="16" width="8.75" style="247"/>
    <col min="17" max="16384" width="8.75" style="43"/>
  </cols>
  <sheetData>
    <row r="1" spans="1:16" s="234" customFormat="1" hidden="1">
      <c r="B1" s="343"/>
      <c r="G1" s="247"/>
      <c r="H1" s="247"/>
      <c r="I1" s="247"/>
      <c r="J1" s="247"/>
      <c r="K1" s="247"/>
      <c r="L1" s="247"/>
      <c r="M1" s="247"/>
      <c r="N1" s="247"/>
      <c r="O1" s="247"/>
      <c r="P1" s="247"/>
    </row>
    <row r="2" spans="1:16" s="234" customFormat="1" hidden="1">
      <c r="B2" s="343"/>
      <c r="G2" s="247"/>
      <c r="H2" s="247"/>
      <c r="I2" s="247"/>
      <c r="J2" s="247"/>
      <c r="K2" s="247"/>
      <c r="L2" s="247"/>
      <c r="M2" s="247"/>
      <c r="N2" s="247"/>
      <c r="O2" s="247"/>
      <c r="P2" s="247"/>
    </row>
    <row r="3" spans="1:16" s="234" customFormat="1" hidden="1">
      <c r="B3" s="343"/>
      <c r="G3" s="247"/>
      <c r="H3" s="247"/>
      <c r="I3" s="247"/>
      <c r="J3" s="247"/>
      <c r="K3" s="247"/>
      <c r="L3" s="247"/>
      <c r="M3" s="247"/>
      <c r="N3" s="247"/>
      <c r="O3" s="247"/>
      <c r="P3" s="247"/>
    </row>
    <row r="4" spans="1:16" s="234" customFormat="1" hidden="1">
      <c r="B4" s="343"/>
      <c r="G4" s="247"/>
      <c r="H4" s="247"/>
      <c r="I4" s="247"/>
      <c r="J4" s="247"/>
      <c r="K4" s="247"/>
      <c r="L4" s="247"/>
      <c r="M4" s="247"/>
      <c r="N4" s="247"/>
      <c r="O4" s="247"/>
      <c r="P4" s="247"/>
    </row>
    <row r="5" spans="1:16" s="234" customFormat="1" hidden="1">
      <c r="B5" s="343"/>
      <c r="G5" s="247"/>
      <c r="H5" s="247"/>
      <c r="I5" s="247"/>
      <c r="J5" s="247"/>
      <c r="K5" s="247"/>
      <c r="L5" s="247"/>
      <c r="M5" s="247"/>
      <c r="N5" s="247"/>
      <c r="O5" s="247"/>
      <c r="P5" s="247"/>
    </row>
    <row r="6" spans="1:16" s="234" customFormat="1" hidden="1">
      <c r="B6" s="343"/>
      <c r="G6" s="247"/>
      <c r="H6" s="247"/>
      <c r="I6" s="247"/>
      <c r="J6" s="247"/>
      <c r="K6" s="247"/>
      <c r="L6" s="247"/>
      <c r="M6" s="247"/>
      <c r="N6" s="247"/>
      <c r="O6" s="247"/>
      <c r="P6" s="247"/>
    </row>
    <row r="7" spans="1:16">
      <c r="A7" s="204"/>
      <c r="B7" s="233"/>
      <c r="C7" s="204"/>
      <c r="D7" s="204"/>
      <c r="E7" s="228" t="s">
        <v>488</v>
      </c>
    </row>
    <row r="8" spans="1:16" s="85" customFormat="1" ht="15" customHeight="1">
      <c r="B8" s="82" t="s">
        <v>204</v>
      </c>
      <c r="C8" s="120" t="s">
        <v>381</v>
      </c>
      <c r="E8" s="120" t="s">
        <v>380</v>
      </c>
      <c r="F8" s="232"/>
      <c r="G8" s="248"/>
      <c r="H8" s="248"/>
      <c r="I8" s="248"/>
      <c r="J8" s="248"/>
      <c r="K8" s="248"/>
      <c r="L8" s="248"/>
      <c r="M8" s="248"/>
      <c r="N8" s="248"/>
      <c r="O8" s="248"/>
      <c r="P8" s="248"/>
    </row>
    <row r="9" spans="1:16" s="85" customFormat="1" ht="15" customHeight="1">
      <c r="B9" s="83"/>
      <c r="C9" s="84"/>
      <c r="E9" s="84"/>
      <c r="F9" s="232"/>
      <c r="G9" s="248"/>
      <c r="H9" s="248"/>
      <c r="I9" s="248"/>
      <c r="J9" s="248"/>
      <c r="K9" s="248"/>
      <c r="L9" s="248"/>
      <c r="M9" s="248"/>
      <c r="N9" s="248"/>
      <c r="O9" s="248"/>
      <c r="P9" s="248"/>
    </row>
    <row r="10" spans="1:16" s="85" customFormat="1" ht="15" customHeight="1">
      <c r="A10" s="125" t="s">
        <v>340</v>
      </c>
      <c r="B10" s="83"/>
      <c r="C10" s="99"/>
      <c r="D10" s="185"/>
      <c r="E10" s="99"/>
      <c r="F10" s="232"/>
      <c r="G10" s="248"/>
      <c r="H10" s="248"/>
      <c r="I10" s="248"/>
      <c r="J10" s="248"/>
      <c r="K10" s="248"/>
      <c r="L10" s="248"/>
      <c r="M10" s="248"/>
      <c r="N10" s="248"/>
      <c r="O10" s="248"/>
      <c r="P10" s="248"/>
    </row>
    <row r="11" spans="1:16" s="85" customFormat="1" ht="15" customHeight="1">
      <c r="A11" s="368" t="s">
        <v>212</v>
      </c>
      <c r="B11" s="83"/>
      <c r="C11" s="370">
        <f>IF(Control!D37=1,0,Section6!W343)</f>
        <v>1540797</v>
      </c>
      <c r="D11" s="185"/>
      <c r="E11" s="370">
        <f>IF(Control!D37=1,Section6!W343,Section6!W345)</f>
        <v>0</v>
      </c>
      <c r="F11" s="232"/>
      <c r="G11" s="248"/>
      <c r="H11" s="248"/>
      <c r="I11" s="248"/>
      <c r="J11" s="248"/>
      <c r="K11" s="248"/>
      <c r="L11" s="248"/>
      <c r="M11" s="248"/>
      <c r="N11" s="248"/>
      <c r="O11" s="248"/>
      <c r="P11" s="248"/>
    </row>
    <row r="12" spans="1:16" s="85" customFormat="1" ht="15" customHeight="1">
      <c r="A12" s="369" t="s">
        <v>409</v>
      </c>
      <c r="B12" s="83"/>
      <c r="C12" s="223">
        <v>0</v>
      </c>
      <c r="D12" s="185"/>
      <c r="E12" s="223">
        <v>0</v>
      </c>
      <c r="F12" s="232"/>
      <c r="G12" s="248"/>
      <c r="H12" s="248"/>
      <c r="I12" s="248"/>
      <c r="J12" s="248"/>
      <c r="K12" s="248"/>
      <c r="L12" s="248"/>
      <c r="M12" s="248"/>
      <c r="N12" s="248"/>
      <c r="O12" s="248"/>
      <c r="P12" s="248"/>
    </row>
    <row r="13" spans="1:16" s="85" customFormat="1" ht="15" customHeight="1">
      <c r="A13" s="252" t="s">
        <v>497</v>
      </c>
      <c r="B13" s="83"/>
      <c r="C13" s="223">
        <v>1</v>
      </c>
      <c r="D13" s="185"/>
      <c r="E13" s="223">
        <v>0</v>
      </c>
      <c r="F13" s="232"/>
      <c r="G13" s="248"/>
      <c r="H13" s="248"/>
      <c r="I13" s="248"/>
      <c r="J13" s="248"/>
      <c r="K13" s="248"/>
      <c r="L13" s="248"/>
      <c r="M13" s="248"/>
      <c r="N13" s="248"/>
      <c r="O13" s="248"/>
      <c r="P13" s="248"/>
    </row>
    <row r="14" spans="1:16" s="85" customFormat="1" ht="15" customHeight="1">
      <c r="A14" s="368" t="s">
        <v>282</v>
      </c>
      <c r="B14" s="83"/>
      <c r="C14" s="223">
        <v>0</v>
      </c>
      <c r="D14" s="185"/>
      <c r="E14" s="223">
        <v>0</v>
      </c>
      <c r="F14" s="232"/>
      <c r="G14" s="248"/>
      <c r="H14" s="248"/>
      <c r="I14" s="248"/>
      <c r="J14" s="248"/>
      <c r="K14" s="248"/>
      <c r="L14" s="248"/>
      <c r="M14" s="248"/>
      <c r="N14" s="248"/>
      <c r="O14" s="248"/>
      <c r="P14" s="248"/>
    </row>
    <row r="15" spans="1:16" s="85" customFormat="1" ht="15" customHeight="1">
      <c r="A15" s="368" t="s">
        <v>286</v>
      </c>
      <c r="B15" s="83"/>
      <c r="C15" s="223">
        <v>0</v>
      </c>
      <c r="D15" s="185"/>
      <c r="E15" s="223">
        <v>0</v>
      </c>
      <c r="F15" s="232"/>
      <c r="G15" s="248"/>
      <c r="H15" s="248"/>
      <c r="I15" s="248"/>
      <c r="J15" s="248"/>
      <c r="K15" s="248"/>
      <c r="L15" s="248"/>
      <c r="M15" s="248"/>
      <c r="N15" s="248"/>
      <c r="O15" s="248"/>
      <c r="P15" s="248"/>
    </row>
    <row r="16" spans="1:16" s="232" customFormat="1" ht="15" customHeight="1">
      <c r="A16" s="265"/>
      <c r="B16" s="344"/>
      <c r="C16" s="387"/>
      <c r="D16" s="345"/>
      <c r="E16" s="387"/>
      <c r="G16" s="248"/>
      <c r="H16" s="248"/>
      <c r="I16" s="248"/>
      <c r="J16" s="248"/>
      <c r="K16" s="248"/>
      <c r="L16" s="248"/>
      <c r="M16" s="248"/>
      <c r="N16" s="248"/>
      <c r="O16" s="248"/>
      <c r="P16" s="248"/>
    </row>
    <row r="17" spans="1:16" s="85" customFormat="1" ht="15" customHeight="1">
      <c r="A17" s="124"/>
      <c r="B17" s="83"/>
      <c r="C17" s="371">
        <f>SUM(C11:C15)</f>
        <v>1540798</v>
      </c>
      <c r="D17" s="185"/>
      <c r="E17" s="372">
        <f>SUM(E11:E15)</f>
        <v>0</v>
      </c>
      <c r="F17" s="232"/>
      <c r="G17" s="248"/>
      <c r="H17" s="248"/>
      <c r="I17" s="248"/>
      <c r="J17" s="248"/>
      <c r="K17" s="248"/>
      <c r="L17" s="248"/>
      <c r="M17" s="248"/>
      <c r="N17" s="248"/>
      <c r="O17" s="248"/>
      <c r="P17" s="248"/>
    </row>
    <row r="18" spans="1:16" s="85" customFormat="1" ht="15" customHeight="1">
      <c r="B18" s="83"/>
      <c r="C18" s="100"/>
      <c r="D18" s="101"/>
      <c r="E18" s="100"/>
      <c r="F18" s="232"/>
      <c r="G18" s="248"/>
      <c r="H18" s="248"/>
      <c r="I18" s="248"/>
      <c r="J18" s="248"/>
      <c r="K18" s="248"/>
      <c r="L18" s="248"/>
      <c r="M18" s="248"/>
      <c r="N18" s="248"/>
      <c r="O18" s="248"/>
      <c r="P18" s="248"/>
    </row>
    <row r="19" spans="1:16" s="85" customFormat="1" ht="15" customHeight="1">
      <c r="A19" s="125" t="s">
        <v>213</v>
      </c>
      <c r="B19" s="83"/>
      <c r="C19" s="99"/>
      <c r="D19" s="185"/>
      <c r="E19" s="99"/>
      <c r="F19" s="232"/>
      <c r="G19" s="248"/>
      <c r="H19" s="248"/>
      <c r="I19" s="248"/>
      <c r="J19" s="248"/>
      <c r="K19" s="248"/>
      <c r="L19" s="248"/>
      <c r="M19" s="248"/>
      <c r="N19" s="248"/>
      <c r="O19" s="248"/>
      <c r="P19" s="248"/>
    </row>
    <row r="20" spans="1:16" s="85" customFormat="1" ht="15" customHeight="1">
      <c r="A20" s="252" t="s">
        <v>382</v>
      </c>
      <c r="B20" s="83"/>
      <c r="C20" s="223">
        <v>0</v>
      </c>
      <c r="D20" s="254"/>
      <c r="E20" s="223">
        <v>0</v>
      </c>
      <c r="F20" s="232"/>
      <c r="G20" s="248"/>
      <c r="H20" s="248"/>
      <c r="I20" s="248"/>
      <c r="J20" s="248"/>
      <c r="K20" s="248"/>
      <c r="L20" s="248"/>
      <c r="M20" s="248"/>
      <c r="N20" s="248"/>
      <c r="O20" s="248"/>
      <c r="P20" s="248"/>
    </row>
    <row r="21" spans="1:16" s="85" customFormat="1" ht="15" customHeight="1">
      <c r="A21" s="368" t="s">
        <v>451</v>
      </c>
      <c r="B21" s="83"/>
      <c r="C21" s="223">
        <v>0</v>
      </c>
      <c r="D21" s="254"/>
      <c r="E21" s="223">
        <v>0</v>
      </c>
      <c r="F21" s="232"/>
      <c r="G21" s="248"/>
      <c r="H21" s="248"/>
      <c r="I21" s="248"/>
      <c r="J21" s="248"/>
      <c r="K21" s="248"/>
      <c r="L21" s="248"/>
      <c r="M21" s="248"/>
      <c r="N21" s="248"/>
      <c r="O21" s="248"/>
      <c r="P21" s="248"/>
    </row>
    <row r="22" spans="1:16" s="85" customFormat="1" ht="15" customHeight="1">
      <c r="A22" s="252" t="s">
        <v>452</v>
      </c>
      <c r="B22" s="83"/>
      <c r="C22" s="223">
        <v>0</v>
      </c>
      <c r="D22" s="254"/>
      <c r="E22" s="223">
        <v>0</v>
      </c>
      <c r="F22" s="232"/>
      <c r="G22" s="248"/>
      <c r="H22" s="248"/>
      <c r="I22" s="248"/>
      <c r="J22" s="248"/>
      <c r="K22" s="248"/>
      <c r="L22" s="248"/>
      <c r="M22" s="248"/>
      <c r="N22" s="248"/>
      <c r="O22" s="248"/>
      <c r="P22" s="248"/>
    </row>
    <row r="23" spans="1:16" s="85" customFormat="1" ht="15" customHeight="1">
      <c r="A23" s="252" t="s">
        <v>453</v>
      </c>
      <c r="B23" s="83"/>
      <c r="C23" s="223">
        <v>0</v>
      </c>
      <c r="D23" s="254"/>
      <c r="E23" s="223">
        <v>0</v>
      </c>
      <c r="F23" s="232"/>
      <c r="G23" s="248"/>
      <c r="H23" s="248"/>
      <c r="I23" s="248"/>
      <c r="J23" s="248"/>
      <c r="K23" s="248"/>
      <c r="L23" s="248"/>
      <c r="M23" s="248"/>
      <c r="N23" s="248"/>
      <c r="O23" s="248"/>
      <c r="P23" s="248"/>
    </row>
    <row r="24" spans="1:16" s="85" customFormat="1" ht="15" customHeight="1">
      <c r="A24" s="252" t="s">
        <v>524</v>
      </c>
      <c r="B24" s="83"/>
      <c r="C24" s="223">
        <v>0</v>
      </c>
      <c r="D24" s="254"/>
      <c r="E24" s="223">
        <v>0</v>
      </c>
      <c r="F24" s="232"/>
      <c r="G24" s="248"/>
      <c r="H24" s="248"/>
      <c r="I24" s="248"/>
      <c r="J24" s="248"/>
      <c r="K24" s="248"/>
      <c r="L24" s="248"/>
      <c r="M24" s="248"/>
      <c r="N24" s="248"/>
      <c r="O24" s="248"/>
      <c r="P24" s="248"/>
    </row>
    <row r="25" spans="1:16" s="85" customFormat="1" ht="15" customHeight="1">
      <c r="A25" s="252" t="s">
        <v>454</v>
      </c>
      <c r="B25" s="83"/>
      <c r="C25" s="223">
        <v>0</v>
      </c>
      <c r="D25" s="254"/>
      <c r="E25" s="223">
        <v>0</v>
      </c>
      <c r="F25" s="232"/>
      <c r="G25" s="248"/>
      <c r="H25" s="248"/>
      <c r="I25" s="248"/>
      <c r="J25" s="248"/>
      <c r="K25" s="248"/>
      <c r="L25" s="248"/>
      <c r="M25" s="248"/>
      <c r="N25" s="248"/>
      <c r="O25" s="248"/>
      <c r="P25" s="248"/>
    </row>
    <row r="26" spans="1:16" s="85" customFormat="1" ht="15" customHeight="1">
      <c r="A26" s="252" t="s">
        <v>455</v>
      </c>
      <c r="B26" s="154"/>
      <c r="C26" s="223">
        <v>0</v>
      </c>
      <c r="D26" s="254"/>
      <c r="E26" s="223">
        <v>0</v>
      </c>
      <c r="F26" s="232"/>
      <c r="G26" s="248"/>
      <c r="H26" s="248"/>
      <c r="I26" s="248"/>
      <c r="J26" s="248"/>
      <c r="K26" s="248"/>
      <c r="L26" s="248"/>
      <c r="M26" s="248"/>
      <c r="N26" s="248"/>
      <c r="O26" s="248"/>
      <c r="P26" s="248"/>
    </row>
    <row r="27" spans="1:16" s="85" customFormat="1" ht="15" customHeight="1">
      <c r="A27" s="85" t="str">
        <f>+IF('Dir info'!K19&gt;1,Section4!K27,Section4!H27)</f>
        <v>Account due from a director</v>
      </c>
      <c r="B27" s="154"/>
      <c r="C27" s="370">
        <f>IF(Control!D37=1,0,'Dir info'!K17)</f>
        <v>20000</v>
      </c>
      <c r="D27" s="185"/>
      <c r="E27" s="223">
        <f>'Dir info'!K17</f>
        <v>20000</v>
      </c>
      <c r="F27" s="232" t="str">
        <f>+IF(Control!D37=0,"",IF(Section4!I33=1,"","Not per Dir info!"))</f>
        <v/>
      </c>
      <c r="G27" s="249">
        <f>+E27-'Dir info'!K17</f>
        <v>0</v>
      </c>
      <c r="H27" s="248" t="s">
        <v>491</v>
      </c>
      <c r="I27" s="248"/>
      <c r="J27" s="248"/>
      <c r="K27" s="248" t="s">
        <v>492</v>
      </c>
      <c r="L27" s="248"/>
      <c r="M27" s="248"/>
      <c r="N27" s="248"/>
      <c r="O27" s="248"/>
      <c r="P27" s="248"/>
    </row>
    <row r="28" spans="1:16" s="85" customFormat="1" ht="15" customHeight="1">
      <c r="A28" s="253" t="s">
        <v>456</v>
      </c>
      <c r="B28" s="154"/>
      <c r="C28" s="223">
        <v>0</v>
      </c>
      <c r="D28" s="254"/>
      <c r="E28" s="223">
        <v>0</v>
      </c>
      <c r="F28" s="232"/>
      <c r="G28" s="248" t="s">
        <v>498</v>
      </c>
      <c r="H28" s="248"/>
      <c r="I28" s="248" t="str">
        <f>IF(Control!D37=1,"Yes","No")</f>
        <v>No</v>
      </c>
      <c r="J28" s="248"/>
      <c r="K28" s="248"/>
      <c r="L28" s="248"/>
      <c r="M28" s="248"/>
      <c r="N28" s="248"/>
      <c r="O28" s="248"/>
      <c r="P28" s="248"/>
    </row>
    <row r="29" spans="1:16" s="338" customFormat="1" ht="15" customHeight="1">
      <c r="A29" s="253" t="s">
        <v>525</v>
      </c>
      <c r="B29" s="336"/>
      <c r="C29" s="223">
        <v>0</v>
      </c>
      <c r="D29" s="337"/>
      <c r="E29" s="223">
        <v>0</v>
      </c>
      <c r="G29" s="339"/>
      <c r="H29" s="339"/>
      <c r="I29" s="339"/>
      <c r="J29" s="339"/>
      <c r="K29" s="339"/>
      <c r="L29" s="339"/>
      <c r="M29" s="339"/>
      <c r="N29" s="339"/>
      <c r="O29" s="339"/>
      <c r="P29" s="339"/>
    </row>
    <row r="30" spans="1:16" s="338" customFormat="1" ht="15" customHeight="1">
      <c r="A30" s="253" t="s">
        <v>526</v>
      </c>
      <c r="B30" s="336"/>
      <c r="C30" s="223">
        <v>0</v>
      </c>
      <c r="D30" s="337"/>
      <c r="E30" s="223">
        <v>0</v>
      </c>
      <c r="G30" s="339"/>
      <c r="H30" s="339"/>
      <c r="I30" s="339"/>
      <c r="J30" s="339"/>
      <c r="K30" s="339"/>
      <c r="L30" s="339"/>
      <c r="M30" s="339"/>
      <c r="N30" s="339"/>
      <c r="O30" s="339"/>
      <c r="P30" s="339"/>
    </row>
    <row r="31" spans="1:16" s="338" customFormat="1" ht="15" customHeight="1">
      <c r="A31" s="253" t="s">
        <v>527</v>
      </c>
      <c r="B31" s="336"/>
      <c r="C31" s="223">
        <v>0</v>
      </c>
      <c r="D31" s="337"/>
      <c r="E31" s="223">
        <v>0</v>
      </c>
      <c r="G31" s="339"/>
      <c r="H31" s="339"/>
      <c r="I31" s="339"/>
      <c r="J31" s="339"/>
      <c r="K31" s="339"/>
      <c r="L31" s="339"/>
      <c r="M31" s="339"/>
      <c r="N31" s="339"/>
      <c r="O31" s="339"/>
      <c r="P31" s="339"/>
    </row>
    <row r="32" spans="1:16" s="85" customFormat="1" ht="15" customHeight="1">
      <c r="A32" s="368" t="s">
        <v>457</v>
      </c>
      <c r="B32" s="83"/>
      <c r="C32" s="223">
        <v>0</v>
      </c>
      <c r="D32" s="254"/>
      <c r="E32" s="223">
        <v>0</v>
      </c>
      <c r="F32" s="232"/>
      <c r="G32" s="248" t="s">
        <v>499</v>
      </c>
      <c r="H32" s="248"/>
      <c r="I32" s="248" t="str">
        <f>+IF(G27=0,"Yes","No")</f>
        <v>Yes</v>
      </c>
      <c r="J32" s="248"/>
      <c r="K32" s="248"/>
      <c r="L32" s="248"/>
      <c r="M32" s="248"/>
      <c r="N32" s="248"/>
      <c r="O32" s="248"/>
      <c r="P32" s="248"/>
    </row>
    <row r="33" spans="1:16" s="85" customFormat="1" ht="15" customHeight="1">
      <c r="A33" s="252" t="s">
        <v>458</v>
      </c>
      <c r="B33" s="83"/>
      <c r="C33" s="223">
        <v>0</v>
      </c>
      <c r="D33" s="254"/>
      <c r="E33" s="223">
        <v>147259</v>
      </c>
      <c r="F33" s="232"/>
      <c r="G33" s="248"/>
      <c r="H33" s="248"/>
      <c r="I33" s="248">
        <f>IF(AND(I28="Yes",I32="Yes"),1,0)</f>
        <v>0</v>
      </c>
      <c r="J33" s="248"/>
      <c r="K33" s="248"/>
      <c r="L33" s="248"/>
      <c r="M33" s="248"/>
      <c r="N33" s="248"/>
      <c r="O33" s="248"/>
      <c r="P33" s="248"/>
    </row>
    <row r="34" spans="1:16" s="232" customFormat="1" ht="15" customHeight="1">
      <c r="A34" s="265"/>
      <c r="B34" s="344"/>
      <c r="C34" s="387"/>
      <c r="D34" s="345"/>
      <c r="E34" s="387"/>
      <c r="G34" s="248"/>
      <c r="H34" s="248"/>
      <c r="I34" s="248"/>
      <c r="J34" s="248"/>
      <c r="K34" s="248"/>
      <c r="L34" s="248"/>
      <c r="M34" s="248"/>
      <c r="N34" s="248"/>
      <c r="O34" s="248"/>
      <c r="P34" s="248"/>
    </row>
    <row r="35" spans="1:16" s="85" customFormat="1" ht="15" customHeight="1">
      <c r="B35" s="83"/>
      <c r="C35" s="373">
        <f>SUM(C20:C33)</f>
        <v>20000</v>
      </c>
      <c r="D35" s="185"/>
      <c r="E35" s="373">
        <f>SUM(E20:E33)</f>
        <v>167259</v>
      </c>
      <c r="F35" s="232"/>
      <c r="G35" s="248"/>
      <c r="H35" s="248"/>
      <c r="I35" s="248">
        <f>+IF(F27="Not per Dir info!",1,0)</f>
        <v>0</v>
      </c>
      <c r="J35" s="248"/>
      <c r="K35" s="248"/>
      <c r="L35" s="248"/>
      <c r="M35" s="248"/>
      <c r="N35" s="248"/>
      <c r="O35" s="248"/>
      <c r="P35" s="248"/>
    </row>
    <row r="36" spans="1:16" s="85" customFormat="1" ht="15" customHeight="1">
      <c r="A36" s="125" t="s">
        <v>214</v>
      </c>
      <c r="B36" s="83"/>
      <c r="C36" s="99"/>
      <c r="D36" s="185"/>
      <c r="E36" s="99"/>
      <c r="F36" s="232"/>
      <c r="G36" s="248"/>
      <c r="H36" s="248"/>
      <c r="I36" s="248"/>
      <c r="J36" s="248"/>
      <c r="K36" s="248"/>
      <c r="L36" s="248"/>
      <c r="M36" s="248"/>
      <c r="N36" s="248"/>
      <c r="O36" s="248"/>
      <c r="P36" s="248"/>
    </row>
    <row r="37" spans="1:16" s="85" customFormat="1" ht="15" customHeight="1">
      <c r="A37" s="368" t="s">
        <v>442</v>
      </c>
      <c r="B37" s="83"/>
      <c r="C37" s="223">
        <v>0</v>
      </c>
      <c r="D37" s="254"/>
      <c r="E37" s="223">
        <v>0</v>
      </c>
      <c r="F37" s="232"/>
      <c r="G37" s="248"/>
      <c r="H37" s="248"/>
      <c r="I37" s="248"/>
      <c r="J37" s="248"/>
      <c r="K37" s="248"/>
      <c r="L37" s="248"/>
      <c r="M37" s="248"/>
      <c r="N37" s="248"/>
      <c r="O37" s="248"/>
      <c r="P37" s="248"/>
    </row>
    <row r="38" spans="1:16" s="85" customFormat="1" ht="15" customHeight="1">
      <c r="A38" s="252" t="s">
        <v>443</v>
      </c>
      <c r="B38" s="83"/>
      <c r="C38" s="223">
        <v>0</v>
      </c>
      <c r="D38" s="254"/>
      <c r="E38" s="223">
        <v>288153</v>
      </c>
      <c r="F38" s="232"/>
      <c r="G38" s="248"/>
      <c r="H38" s="248"/>
      <c r="I38" s="248"/>
      <c r="J38" s="248"/>
      <c r="K38" s="248"/>
      <c r="L38" s="248"/>
      <c r="M38" s="248"/>
      <c r="N38" s="248"/>
      <c r="O38" s="248"/>
      <c r="P38" s="248"/>
    </row>
    <row r="39" spans="1:16" s="85" customFormat="1" ht="15" customHeight="1">
      <c r="A39" s="252" t="s">
        <v>444</v>
      </c>
      <c r="B39" s="83"/>
      <c r="C39" s="223">
        <v>0</v>
      </c>
      <c r="D39" s="254"/>
      <c r="E39" s="223">
        <f>30306+3000</f>
        <v>33306</v>
      </c>
      <c r="F39" s="232"/>
      <c r="G39" s="248"/>
      <c r="H39" s="248"/>
      <c r="I39" s="248"/>
      <c r="J39" s="248"/>
      <c r="K39" s="248"/>
      <c r="L39" s="248"/>
      <c r="M39" s="248"/>
      <c r="N39" s="248"/>
      <c r="O39" s="248"/>
      <c r="P39" s="248"/>
    </row>
    <row r="40" spans="1:16" s="85" customFormat="1" ht="15" customHeight="1">
      <c r="A40" s="252" t="s">
        <v>445</v>
      </c>
      <c r="B40" s="83"/>
      <c r="C40" s="223">
        <v>0</v>
      </c>
      <c r="D40" s="254"/>
      <c r="E40" s="223">
        <v>0</v>
      </c>
      <c r="F40" s="232"/>
      <c r="G40" s="248"/>
      <c r="H40" s="248"/>
      <c r="I40" s="248"/>
      <c r="J40" s="248"/>
      <c r="K40" s="248"/>
      <c r="L40" s="248"/>
      <c r="M40" s="248"/>
      <c r="N40" s="248"/>
      <c r="O40" s="248"/>
      <c r="P40" s="248"/>
    </row>
    <row r="41" spans="1:16" s="85" customFormat="1" ht="15" customHeight="1">
      <c r="A41" s="252" t="s">
        <v>446</v>
      </c>
      <c r="B41" s="83"/>
      <c r="C41" s="223">
        <v>0</v>
      </c>
      <c r="D41" s="254"/>
      <c r="E41" s="223">
        <v>0</v>
      </c>
      <c r="F41" s="232"/>
      <c r="G41" s="248"/>
      <c r="H41" s="248"/>
      <c r="I41" s="248"/>
      <c r="J41" s="248"/>
      <c r="K41" s="248"/>
      <c r="L41" s="248"/>
      <c r="M41" s="248"/>
      <c r="N41" s="248"/>
      <c r="O41" s="248"/>
      <c r="P41" s="248"/>
    </row>
    <row r="42" spans="1:16" s="85" customFormat="1" ht="15" customHeight="1">
      <c r="A42" s="376" t="s">
        <v>495</v>
      </c>
      <c r="B42" s="154"/>
      <c r="C42" s="223">
        <v>0</v>
      </c>
      <c r="D42" s="254"/>
      <c r="E42" s="223">
        <v>0</v>
      </c>
      <c r="F42" s="232"/>
      <c r="G42" s="248"/>
      <c r="H42" s="248"/>
      <c r="I42" s="248"/>
      <c r="J42" s="248"/>
      <c r="K42" s="248"/>
      <c r="L42" s="248"/>
      <c r="M42" s="248"/>
      <c r="N42" s="248"/>
      <c r="O42" s="248"/>
      <c r="P42" s="248"/>
    </row>
    <row r="43" spans="1:16" s="85" customFormat="1" ht="15" customHeight="1">
      <c r="A43" s="376" t="s">
        <v>447</v>
      </c>
      <c r="B43" s="154"/>
      <c r="C43" s="223">
        <v>0</v>
      </c>
      <c r="D43" s="254"/>
      <c r="E43" s="223">
        <v>0</v>
      </c>
      <c r="F43" s="232"/>
      <c r="G43" s="248"/>
      <c r="H43" s="248"/>
      <c r="I43" s="248"/>
      <c r="J43" s="248"/>
      <c r="K43" s="248"/>
      <c r="L43" s="248"/>
      <c r="M43" s="248"/>
      <c r="N43" s="248"/>
      <c r="O43" s="248"/>
      <c r="P43" s="248"/>
    </row>
    <row r="44" spans="1:16" s="85" customFormat="1" ht="15" customHeight="1">
      <c r="A44" s="253" t="s">
        <v>448</v>
      </c>
      <c r="B44" s="154"/>
      <c r="C44" s="223">
        <v>0</v>
      </c>
      <c r="D44" s="254"/>
      <c r="E44" s="223">
        <v>0</v>
      </c>
      <c r="F44" s="232"/>
      <c r="G44" s="248"/>
      <c r="H44" s="248"/>
      <c r="I44" s="248"/>
      <c r="J44" s="248"/>
      <c r="K44" s="248"/>
      <c r="L44" s="248"/>
      <c r="M44" s="248"/>
      <c r="N44" s="248"/>
      <c r="O44" s="248"/>
      <c r="P44" s="248"/>
    </row>
    <row r="45" spans="1:16" s="85" customFormat="1" ht="15" customHeight="1">
      <c r="A45" s="253" t="s">
        <v>449</v>
      </c>
      <c r="B45" s="154"/>
      <c r="C45" s="223">
        <v>0</v>
      </c>
      <c r="D45" s="254"/>
      <c r="E45" s="223">
        <v>0</v>
      </c>
      <c r="F45" s="232"/>
      <c r="G45" s="248"/>
      <c r="H45" s="248"/>
      <c r="I45" s="248"/>
      <c r="J45" s="248"/>
      <c r="K45" s="248"/>
      <c r="L45" s="248"/>
      <c r="M45" s="248"/>
      <c r="N45" s="248"/>
      <c r="O45" s="248"/>
      <c r="P45" s="248"/>
    </row>
    <row r="46" spans="1:16" s="338" customFormat="1" ht="15" customHeight="1">
      <c r="A46" s="253" t="s">
        <v>528</v>
      </c>
      <c r="B46" s="336"/>
      <c r="C46" s="223">
        <v>0</v>
      </c>
      <c r="D46" s="337"/>
      <c r="E46" s="223">
        <v>0</v>
      </c>
      <c r="G46" s="339"/>
      <c r="H46" s="339"/>
      <c r="I46" s="339"/>
      <c r="J46" s="339"/>
      <c r="K46" s="339"/>
      <c r="L46" s="339"/>
      <c r="M46" s="339"/>
      <c r="N46" s="339"/>
      <c r="O46" s="339"/>
      <c r="P46" s="339"/>
    </row>
    <row r="47" spans="1:16" s="338" customFormat="1" ht="15" customHeight="1">
      <c r="A47" s="253" t="s">
        <v>529</v>
      </c>
      <c r="B47" s="336"/>
      <c r="C47" s="223">
        <v>0</v>
      </c>
      <c r="D47" s="337"/>
      <c r="E47" s="223">
        <v>0</v>
      </c>
      <c r="G47" s="339"/>
      <c r="H47" s="339"/>
      <c r="I47" s="339"/>
      <c r="J47" s="339"/>
      <c r="K47" s="339"/>
      <c r="L47" s="339"/>
      <c r="M47" s="339"/>
      <c r="N47" s="339"/>
      <c r="O47" s="339"/>
      <c r="P47" s="339"/>
    </row>
    <row r="48" spans="1:16" s="338" customFormat="1" ht="15" customHeight="1">
      <c r="A48" s="253" t="s">
        <v>530</v>
      </c>
      <c r="B48" s="336"/>
      <c r="C48" s="223">
        <v>0</v>
      </c>
      <c r="D48" s="337"/>
      <c r="E48" s="223">
        <v>0</v>
      </c>
      <c r="G48" s="339"/>
      <c r="H48" s="339"/>
      <c r="I48" s="339"/>
      <c r="J48" s="339"/>
      <c r="K48" s="339"/>
      <c r="L48" s="339"/>
      <c r="M48" s="339"/>
      <c r="N48" s="339"/>
      <c r="O48" s="339"/>
      <c r="P48" s="339"/>
    </row>
    <row r="49" spans="1:16" s="85" customFormat="1" ht="15" customHeight="1">
      <c r="A49" s="376" t="s">
        <v>450</v>
      </c>
      <c r="B49" s="154"/>
      <c r="C49" s="223">
        <v>0</v>
      </c>
      <c r="D49" s="254"/>
      <c r="E49" s="223">
        <v>0</v>
      </c>
      <c r="F49" s="232"/>
      <c r="G49" s="248"/>
      <c r="H49" s="248"/>
      <c r="I49" s="248"/>
      <c r="J49" s="248"/>
      <c r="K49" s="248"/>
      <c r="L49" s="248"/>
      <c r="M49" s="248"/>
      <c r="N49" s="248"/>
      <c r="O49" s="248"/>
      <c r="P49" s="248"/>
    </row>
    <row r="50" spans="1:16" s="85" customFormat="1" ht="15" customHeight="1">
      <c r="A50" s="85" t="str">
        <f>+IF('Dir info'!N19&gt;1,Section4!K50,Section4!H50)</f>
        <v>Amount due to a director</v>
      </c>
      <c r="B50" s="154"/>
      <c r="C50" s="388">
        <f>IF(Control!D37=1,0,-'Dir info'!N17)</f>
        <v>30000</v>
      </c>
      <c r="D50" s="101"/>
      <c r="E50" s="225">
        <f>-'Dir info'!N17</f>
        <v>30000</v>
      </c>
      <c r="F50" s="232" t="str">
        <f>+IF(Control!D37=0,"",IF(Section4!I54=1,"","Not per Dir info!"))</f>
        <v/>
      </c>
      <c r="G50" s="250">
        <f>-E50-'Dir info'!N17</f>
        <v>0</v>
      </c>
      <c r="H50" s="248" t="s">
        <v>493</v>
      </c>
      <c r="I50" s="248"/>
      <c r="J50" s="248"/>
      <c r="K50" s="248" t="s">
        <v>494</v>
      </c>
      <c r="L50" s="248"/>
      <c r="M50" s="248"/>
      <c r="N50" s="248"/>
      <c r="O50" s="248"/>
      <c r="P50" s="248"/>
    </row>
    <row r="51" spans="1:16" s="232" customFormat="1" ht="15" customHeight="1">
      <c r="B51" s="346"/>
      <c r="C51" s="288"/>
      <c r="D51" s="347"/>
      <c r="E51" s="288"/>
      <c r="G51" s="250"/>
      <c r="H51" s="248"/>
      <c r="I51" s="248"/>
      <c r="J51" s="248"/>
      <c r="K51" s="248"/>
      <c r="L51" s="248"/>
      <c r="M51" s="248"/>
      <c r="N51" s="248"/>
      <c r="O51" s="248"/>
      <c r="P51" s="248"/>
    </row>
    <row r="52" spans="1:16" s="85" customFormat="1" ht="15" customHeight="1">
      <c r="B52" s="83"/>
      <c r="C52" s="375">
        <f>SUM(C37:C50)</f>
        <v>30000</v>
      </c>
      <c r="D52" s="185"/>
      <c r="E52" s="375">
        <f>SUM(E37:E50)</f>
        <v>351459</v>
      </c>
      <c r="F52" s="232"/>
      <c r="G52" s="248" t="s">
        <v>498</v>
      </c>
      <c r="H52" s="248"/>
      <c r="I52" s="248" t="str">
        <f>+I28</f>
        <v>No</v>
      </c>
      <c r="J52" s="248"/>
      <c r="K52" s="248"/>
      <c r="L52" s="248"/>
      <c r="M52" s="248"/>
      <c r="N52" s="248"/>
      <c r="O52" s="248"/>
      <c r="P52" s="248"/>
    </row>
    <row r="53" spans="1:16" s="85" customFormat="1" ht="15" customHeight="1">
      <c r="B53" s="83"/>
      <c r="C53" s="100"/>
      <c r="D53" s="185"/>
      <c r="E53" s="100"/>
      <c r="F53" s="232"/>
      <c r="G53" s="248" t="s">
        <v>499</v>
      </c>
      <c r="H53" s="248"/>
      <c r="I53" s="248" t="str">
        <f>+IF(G50=0,"Yes","No")</f>
        <v>Yes</v>
      </c>
      <c r="J53" s="248"/>
      <c r="K53" s="248"/>
      <c r="L53" s="248"/>
      <c r="M53" s="248"/>
      <c r="N53" s="248"/>
      <c r="O53" s="248"/>
      <c r="P53" s="248"/>
    </row>
    <row r="54" spans="1:16" s="85" customFormat="1" ht="15" customHeight="1">
      <c r="A54" s="125" t="s">
        <v>383</v>
      </c>
      <c r="B54" s="83"/>
      <c r="C54" s="377">
        <f>+C35-C52</f>
        <v>-10000</v>
      </c>
      <c r="D54" s="185"/>
      <c r="E54" s="377">
        <f>+E35-E52</f>
        <v>-184200</v>
      </c>
      <c r="F54" s="232"/>
      <c r="G54" s="248"/>
      <c r="H54" s="248"/>
      <c r="I54" s="248">
        <f>IF(AND(I52="Yes",I53="Yes"),1,0)</f>
        <v>0</v>
      </c>
      <c r="J54" s="248"/>
      <c r="K54" s="248"/>
      <c r="L54" s="248"/>
      <c r="M54" s="248"/>
      <c r="N54" s="248"/>
      <c r="O54" s="248"/>
      <c r="P54" s="248"/>
    </row>
    <row r="55" spans="1:16" s="85" customFormat="1" ht="15">
      <c r="B55" s="83"/>
      <c r="C55" s="99"/>
      <c r="D55" s="185"/>
      <c r="E55" s="100"/>
      <c r="F55" s="232"/>
      <c r="G55" s="248"/>
      <c r="H55" s="248"/>
      <c r="I55" s="248">
        <f>+IF(F50="Not per Dir info!",1,0)</f>
        <v>0</v>
      </c>
      <c r="J55" s="248"/>
      <c r="K55" s="248"/>
      <c r="L55" s="248"/>
      <c r="M55" s="248"/>
      <c r="N55" s="248"/>
      <c r="O55" s="248"/>
      <c r="P55" s="248"/>
    </row>
    <row r="56" spans="1:16" s="85" customFormat="1" ht="15">
      <c r="A56" s="125" t="s">
        <v>439</v>
      </c>
      <c r="B56" s="83"/>
      <c r="C56" s="99"/>
      <c r="D56" s="185"/>
      <c r="E56" s="100"/>
      <c r="F56" s="232"/>
      <c r="G56" s="248"/>
      <c r="H56" s="248"/>
      <c r="I56" s="248"/>
      <c r="J56" s="248"/>
      <c r="K56" s="248"/>
      <c r="L56" s="248"/>
      <c r="M56" s="248"/>
      <c r="N56" s="248"/>
      <c r="O56" s="248"/>
      <c r="P56" s="248"/>
    </row>
    <row r="57" spans="1:16" s="85" customFormat="1" ht="15">
      <c r="A57" s="253" t="s">
        <v>496</v>
      </c>
      <c r="B57" s="83"/>
      <c r="C57" s="223">
        <v>0</v>
      </c>
      <c r="D57" s="254"/>
      <c r="E57" s="225">
        <v>0</v>
      </c>
      <c r="F57" s="232"/>
      <c r="G57" s="248"/>
      <c r="H57" s="248"/>
      <c r="I57" s="248"/>
      <c r="J57" s="248"/>
      <c r="K57" s="248"/>
      <c r="L57" s="248"/>
      <c r="M57" s="248"/>
      <c r="N57" s="248"/>
      <c r="O57" s="248"/>
      <c r="P57" s="248"/>
    </row>
    <row r="58" spans="1:16" s="85" customFormat="1" ht="15">
      <c r="A58" s="376" t="s">
        <v>440</v>
      </c>
      <c r="B58" s="83"/>
      <c r="C58" s="223">
        <v>0</v>
      </c>
      <c r="D58" s="254"/>
      <c r="E58" s="225">
        <v>0</v>
      </c>
      <c r="F58" s="232"/>
      <c r="G58" s="248"/>
      <c r="H58" s="248"/>
      <c r="I58" s="248"/>
      <c r="J58" s="248"/>
      <c r="K58" s="248"/>
      <c r="L58" s="248"/>
      <c r="M58" s="248"/>
      <c r="N58" s="248"/>
      <c r="O58" s="248"/>
      <c r="P58" s="248"/>
    </row>
    <row r="59" spans="1:16" s="85" customFormat="1" ht="15">
      <c r="A59" s="376" t="s">
        <v>495</v>
      </c>
      <c r="B59" s="83"/>
      <c r="C59" s="225">
        <v>0</v>
      </c>
      <c r="D59" s="389"/>
      <c r="E59" s="225">
        <v>0</v>
      </c>
      <c r="F59" s="232"/>
      <c r="G59" s="248"/>
      <c r="H59" s="248"/>
      <c r="I59" s="248"/>
      <c r="J59" s="248"/>
      <c r="K59" s="248"/>
      <c r="L59" s="248"/>
      <c r="M59" s="248"/>
      <c r="N59" s="248"/>
      <c r="O59" s="248"/>
      <c r="P59" s="248"/>
    </row>
    <row r="60" spans="1:16" s="232" customFormat="1" ht="15">
      <c r="B60" s="344"/>
      <c r="C60" s="348"/>
      <c r="D60" s="345"/>
      <c r="E60" s="348"/>
      <c r="G60" s="248"/>
      <c r="H60" s="248"/>
      <c r="I60" s="248"/>
      <c r="J60" s="248"/>
      <c r="K60" s="248"/>
      <c r="L60" s="248"/>
      <c r="M60" s="248"/>
      <c r="N60" s="248"/>
      <c r="O60" s="248"/>
      <c r="P60" s="248"/>
    </row>
    <row r="61" spans="1:16" s="85" customFormat="1" ht="15">
      <c r="B61" s="83"/>
      <c r="C61" s="366">
        <f>SUM(C57:C59)</f>
        <v>0</v>
      </c>
      <c r="D61" s="185"/>
      <c r="E61" s="366">
        <f>SUM(E57:E59)</f>
        <v>0</v>
      </c>
      <c r="F61" s="232"/>
      <c r="G61" s="248"/>
      <c r="H61" s="248"/>
      <c r="I61" s="248"/>
      <c r="J61" s="248"/>
      <c r="K61" s="248"/>
      <c r="L61" s="248"/>
      <c r="M61" s="248"/>
      <c r="N61" s="248"/>
      <c r="O61" s="248"/>
      <c r="P61" s="248"/>
    </row>
    <row r="62" spans="1:16" s="85" customFormat="1" ht="15">
      <c r="B62" s="83"/>
      <c r="C62" s="99"/>
      <c r="D62" s="185"/>
      <c r="E62" s="100"/>
      <c r="F62" s="232"/>
      <c r="G62" s="248"/>
      <c r="H62" s="248"/>
      <c r="I62" s="248"/>
      <c r="J62" s="248"/>
      <c r="K62" s="248"/>
      <c r="L62" s="248"/>
      <c r="M62" s="248"/>
      <c r="N62" s="248"/>
      <c r="O62" s="248"/>
      <c r="P62" s="248"/>
    </row>
    <row r="63" spans="1:16" s="85" customFormat="1" ht="15" customHeight="1" thickBot="1">
      <c r="A63" s="125" t="s">
        <v>384</v>
      </c>
      <c r="B63" s="83"/>
      <c r="C63" s="367">
        <f>+C54+C17-C61</f>
        <v>1530798</v>
      </c>
      <c r="D63" s="185"/>
      <c r="E63" s="367">
        <f>+E54+E17-E61</f>
        <v>-184200</v>
      </c>
      <c r="F63" s="232"/>
      <c r="G63" s="248"/>
      <c r="H63" s="248"/>
      <c r="I63" s="248"/>
      <c r="J63" s="248"/>
      <c r="K63" s="248"/>
      <c r="L63" s="248"/>
      <c r="M63" s="248"/>
      <c r="N63" s="248"/>
      <c r="O63" s="248"/>
      <c r="P63" s="248"/>
    </row>
    <row r="64" spans="1:16" s="85" customFormat="1" ht="15" customHeight="1" thickTop="1">
      <c r="B64" s="83"/>
      <c r="C64" s="99"/>
      <c r="D64" s="185"/>
      <c r="E64" s="99"/>
      <c r="F64" s="232"/>
      <c r="G64" s="248"/>
      <c r="H64" s="248"/>
      <c r="I64" s="248"/>
      <c r="J64" s="248"/>
      <c r="K64" s="248"/>
      <c r="L64" s="248"/>
      <c r="M64" s="248"/>
      <c r="N64" s="248"/>
      <c r="O64" s="248"/>
      <c r="P64" s="248"/>
    </row>
    <row r="65" spans="1:16" s="85" customFormat="1" ht="15" customHeight="1">
      <c r="A65" s="125" t="s">
        <v>215</v>
      </c>
      <c r="B65" s="83"/>
      <c r="C65" s="99"/>
      <c r="D65" s="185"/>
      <c r="E65" s="99"/>
      <c r="F65" s="232"/>
      <c r="G65" s="248"/>
      <c r="H65" s="248"/>
      <c r="I65" s="248"/>
      <c r="J65" s="248"/>
      <c r="K65" s="248"/>
      <c r="L65" s="248"/>
      <c r="M65" s="248"/>
      <c r="N65" s="248"/>
      <c r="O65" s="248"/>
      <c r="P65" s="248"/>
    </row>
    <row r="66" spans="1:16" s="85" customFormat="1" ht="15" customHeight="1">
      <c r="A66" s="368" t="s">
        <v>216</v>
      </c>
      <c r="B66" s="154"/>
      <c r="C66" s="223">
        <v>0</v>
      </c>
      <c r="D66" s="254"/>
      <c r="E66" s="223">
        <v>10000</v>
      </c>
      <c r="F66" s="232"/>
      <c r="G66" s="248"/>
      <c r="H66" s="248"/>
      <c r="I66" s="248"/>
      <c r="J66" s="248"/>
      <c r="K66" s="248"/>
      <c r="L66" s="248"/>
      <c r="M66" s="248"/>
      <c r="N66" s="248"/>
      <c r="O66" s="248"/>
      <c r="P66" s="248"/>
    </row>
    <row r="67" spans="1:16" s="85" customFormat="1" ht="15" customHeight="1">
      <c r="A67" s="252" t="s">
        <v>217</v>
      </c>
      <c r="B67" s="83"/>
      <c r="C67" s="223">
        <v>0</v>
      </c>
      <c r="D67" s="254"/>
      <c r="E67" s="223">
        <v>0</v>
      </c>
      <c r="F67" s="232"/>
      <c r="G67" s="248"/>
      <c r="H67" s="248"/>
      <c r="I67" s="248"/>
      <c r="J67" s="248"/>
      <c r="K67" s="248"/>
      <c r="L67" s="248"/>
      <c r="M67" s="248"/>
      <c r="N67" s="248"/>
      <c r="O67" s="248"/>
      <c r="P67" s="248"/>
    </row>
    <row r="68" spans="1:16" s="85" customFormat="1" ht="15" customHeight="1">
      <c r="A68" s="252" t="s">
        <v>385</v>
      </c>
      <c r="B68" s="83"/>
      <c r="C68" s="374">
        <f>IF(Control!D37=1,0,E68+Section3!C22-Control!D61)</f>
        <v>-1537691</v>
      </c>
      <c r="D68" s="185"/>
      <c r="E68" s="224">
        <f>Section3!E22-Control!D61</f>
        <v>-1537691</v>
      </c>
      <c r="F68" s="232"/>
      <c r="G68" s="248"/>
      <c r="H68" s="248"/>
      <c r="I68" s="248"/>
      <c r="J68" s="248"/>
      <c r="K68" s="248"/>
      <c r="L68" s="248"/>
      <c r="M68" s="248"/>
      <c r="N68" s="248"/>
      <c r="O68" s="248"/>
      <c r="P68" s="248"/>
    </row>
    <row r="69" spans="1:16" s="85" customFormat="1" ht="15" customHeight="1" thickBot="1">
      <c r="A69" s="125"/>
      <c r="B69" s="83"/>
      <c r="C69" s="367">
        <f>SUM(C66:C68)</f>
        <v>-1537691</v>
      </c>
      <c r="D69" s="185"/>
      <c r="E69" s="367">
        <f>SUM(E66:E68)</f>
        <v>-1527691</v>
      </c>
      <c r="F69" s="232"/>
      <c r="G69" s="248"/>
      <c r="H69" s="248"/>
      <c r="I69" s="248"/>
      <c r="J69" s="248"/>
      <c r="K69" s="248"/>
      <c r="L69" s="248"/>
      <c r="M69" s="248"/>
      <c r="N69" s="248"/>
      <c r="O69" s="248"/>
      <c r="P69" s="248"/>
    </row>
    <row r="70" spans="1:16" s="85" customFormat="1" thickTop="1">
      <c r="B70" s="83"/>
      <c r="C70" s="99"/>
      <c r="D70" s="185"/>
      <c r="E70" s="99"/>
      <c r="F70" s="232"/>
      <c r="G70" s="248"/>
      <c r="H70" s="248"/>
      <c r="I70" s="248"/>
      <c r="J70" s="248"/>
      <c r="K70" s="248"/>
      <c r="L70" s="248"/>
      <c r="M70" s="248"/>
      <c r="N70" s="248"/>
      <c r="O70" s="248"/>
      <c r="P70" s="248"/>
    </row>
    <row r="71" spans="1:16">
      <c r="C71" s="231" t="str">
        <f>IF(Control!D37=1,0,(IF(F71=0,0,"Not balanced!")))</f>
        <v>Not balanced!</v>
      </c>
      <c r="E71" s="231" t="str">
        <f>+IF(H71=0,0,"Not balanced!")</f>
        <v>Not balanced!</v>
      </c>
      <c r="F71" s="251">
        <f>+C63-C69</f>
        <v>3068489</v>
      </c>
      <c r="H71" s="251">
        <f>+E63-E69</f>
        <v>1343491</v>
      </c>
    </row>
  </sheetData>
  <phoneticPr fontId="11" type="noConversion"/>
  <conditionalFormatting sqref="E71">
    <cfRule type="cellIs" dxfId="4" priority="7" operator="notEqual">
      <formula>0</formula>
    </cfRule>
  </conditionalFormatting>
  <conditionalFormatting sqref="C71">
    <cfRule type="cellIs" dxfId="3" priority="6" operator="notEqual">
      <formula>0</formula>
    </cfRule>
  </conditionalFormatting>
  <conditionalFormatting sqref="F27">
    <cfRule type="containsText" dxfId="2" priority="3" operator="containsText" text="Not per Dir info!">
      <formula>NOT(ISERROR(SEARCH("Not per Dir info!",F27)))</formula>
    </cfRule>
  </conditionalFormatting>
  <conditionalFormatting sqref="F50:F51">
    <cfRule type="containsText" dxfId="1" priority="1" operator="containsText" text="Not per Dir info!">
      <formula>NOT(ISERROR(SEARCH("Not per Dir info!",F50)))</formula>
    </cfRule>
    <cfRule type="containsText" dxfId="0" priority="2" operator="containsText" text="Not per Dir info!">
      <formula>NOT(ISERROR(SEARCH("Not per Dir info!",F50)))</formula>
    </cfRule>
  </conditionalFormatting>
  <pageMargins left="0.9055118110236221" right="0.9055118110236221"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1:AE590"/>
  <sheetViews>
    <sheetView topLeftCell="H280" zoomScaleNormal="100" workbookViewId="0">
      <selection activeCell="W340" sqref="W340"/>
    </sheetView>
  </sheetViews>
  <sheetFormatPr defaultColWidth="8.125" defaultRowHeight="15"/>
  <cols>
    <col min="1" max="1" width="5.125" style="90" customWidth="1"/>
    <col min="2" max="2" width="26.5" style="90" customWidth="1"/>
    <col min="3" max="3" width="11.125" style="90" customWidth="1"/>
    <col min="4" max="4" width="3.375" style="90" customWidth="1"/>
    <col min="5" max="5" width="11.5" style="90" customWidth="1"/>
    <col min="6" max="6" width="4.875" style="90" customWidth="1"/>
    <col min="7" max="7" width="13.375" style="90" customWidth="1"/>
    <col min="8" max="8" width="3" style="90" customWidth="1"/>
    <col min="9" max="9" width="12.5" style="90" customWidth="1"/>
    <col min="10" max="10" width="3.125" style="90" customWidth="1"/>
    <col min="11" max="11" width="12.75" style="90" customWidth="1"/>
    <col min="12" max="12" width="2.625" style="90" customWidth="1"/>
    <col min="13" max="13" width="12.875" style="90" customWidth="1"/>
    <col min="14" max="14" width="3.125" style="90" customWidth="1"/>
    <col min="15" max="15" width="13.625" style="90" customWidth="1"/>
    <col min="16" max="16" width="2.875" style="90" customWidth="1"/>
    <col min="17" max="17" width="14.25" style="90" customWidth="1"/>
    <col min="18" max="18" width="3.125" style="90" customWidth="1"/>
    <col min="19" max="19" width="13.75" style="90" customWidth="1"/>
    <col min="20" max="20" width="2.75" style="90" customWidth="1"/>
    <col min="21" max="21" width="12.75" style="90" customWidth="1"/>
    <col min="22" max="22" width="3" style="90" customWidth="1"/>
    <col min="23" max="23" width="15" style="90" customWidth="1"/>
    <col min="24" max="24" width="10.875" style="89" bestFit="1" customWidth="1"/>
    <col min="25" max="16384" width="8.125" style="89"/>
  </cols>
  <sheetData>
    <row r="1" spans="1:23" s="262" customFormat="1" hidden="1">
      <c r="A1" s="236"/>
      <c r="B1" s="266"/>
      <c r="C1" s="236"/>
      <c r="D1" s="236"/>
      <c r="E1" s="236"/>
      <c r="F1" s="236"/>
      <c r="G1" s="236"/>
      <c r="H1" s="236"/>
      <c r="I1" s="236"/>
      <c r="J1" s="236"/>
      <c r="K1" s="236"/>
      <c r="L1" s="236"/>
      <c r="M1" s="236"/>
      <c r="N1" s="236"/>
      <c r="O1" s="236"/>
      <c r="P1" s="236"/>
      <c r="Q1" s="236"/>
      <c r="R1" s="236"/>
      <c r="S1" s="236"/>
      <c r="T1" s="236"/>
      <c r="U1" s="236"/>
      <c r="V1" s="236"/>
      <c r="W1" s="236"/>
    </row>
    <row r="2" spans="1:23" s="262" customFormat="1" hidden="1">
      <c r="A2" s="236"/>
      <c r="B2" s="236"/>
      <c r="C2" s="236"/>
      <c r="D2" s="236"/>
      <c r="E2" s="236"/>
      <c r="F2" s="236"/>
      <c r="G2" s="236"/>
      <c r="H2" s="236"/>
      <c r="I2" s="236"/>
      <c r="J2" s="236"/>
      <c r="K2" s="236"/>
      <c r="L2" s="236"/>
      <c r="M2" s="236"/>
      <c r="N2" s="236"/>
      <c r="O2" s="236"/>
      <c r="P2" s="236"/>
      <c r="Q2" s="236"/>
      <c r="R2" s="236"/>
      <c r="S2" s="236"/>
      <c r="T2" s="236"/>
      <c r="U2" s="236"/>
      <c r="V2" s="236"/>
      <c r="W2" s="236"/>
    </row>
    <row r="3" spans="1:23" s="262" customFormat="1" hidden="1">
      <c r="A3" s="236"/>
      <c r="B3" s="236"/>
      <c r="C3" s="236"/>
      <c r="D3" s="236"/>
      <c r="E3" s="236"/>
      <c r="F3" s="236"/>
      <c r="G3" s="236"/>
      <c r="H3" s="236"/>
      <c r="I3" s="236"/>
      <c r="J3" s="236"/>
      <c r="K3" s="236"/>
      <c r="L3" s="236"/>
      <c r="M3" s="236"/>
      <c r="N3" s="236"/>
      <c r="O3" s="236"/>
      <c r="P3" s="236"/>
      <c r="Q3" s="236"/>
      <c r="R3" s="236"/>
      <c r="S3" s="236"/>
      <c r="T3" s="236"/>
      <c r="U3" s="236"/>
      <c r="V3" s="236"/>
      <c r="W3" s="236"/>
    </row>
    <row r="4" spans="1:23" s="262" customFormat="1" hidden="1">
      <c r="A4" s="236"/>
      <c r="B4" s="236"/>
      <c r="C4" s="236"/>
      <c r="D4" s="236"/>
      <c r="E4" s="236"/>
      <c r="F4" s="236"/>
      <c r="G4" s="236"/>
      <c r="H4" s="236"/>
      <c r="I4" s="236"/>
      <c r="J4" s="236"/>
      <c r="K4" s="236"/>
      <c r="L4" s="236"/>
      <c r="M4" s="236"/>
      <c r="N4" s="236"/>
      <c r="O4" s="236"/>
      <c r="P4" s="236"/>
      <c r="Q4" s="236"/>
      <c r="R4" s="236"/>
      <c r="S4" s="236"/>
      <c r="T4" s="236"/>
      <c r="U4" s="236"/>
      <c r="V4" s="236"/>
      <c r="W4" s="236"/>
    </row>
    <row r="5" spans="1:23" s="262" customFormat="1" hidden="1">
      <c r="A5" s="236"/>
      <c r="B5" s="236"/>
      <c r="C5" s="236"/>
      <c r="D5" s="236"/>
      <c r="E5" s="236"/>
      <c r="F5" s="236"/>
      <c r="G5" s="236"/>
      <c r="H5" s="236"/>
      <c r="I5" s="236"/>
      <c r="J5" s="236"/>
      <c r="K5" s="236"/>
      <c r="L5" s="236"/>
      <c r="M5" s="236"/>
      <c r="N5" s="236"/>
      <c r="O5" s="236"/>
      <c r="P5" s="236"/>
      <c r="Q5" s="236"/>
      <c r="R5" s="236"/>
      <c r="S5" s="236"/>
      <c r="T5" s="236"/>
      <c r="U5" s="236"/>
      <c r="V5" s="236"/>
      <c r="W5" s="236"/>
    </row>
    <row r="6" spans="1:23" s="262" customFormat="1" hidden="1">
      <c r="A6" s="236"/>
      <c r="B6" s="236"/>
      <c r="C6" s="236"/>
      <c r="D6" s="236"/>
      <c r="E6" s="236"/>
      <c r="F6" s="236"/>
      <c r="G6" s="236"/>
      <c r="H6" s="236"/>
      <c r="I6" s="236"/>
      <c r="J6" s="236"/>
      <c r="K6" s="236"/>
      <c r="L6" s="236"/>
      <c r="M6" s="236"/>
      <c r="N6" s="236"/>
      <c r="O6" s="236"/>
      <c r="P6" s="236"/>
      <c r="Q6" s="236"/>
      <c r="R6" s="236"/>
      <c r="S6" s="236"/>
      <c r="T6" s="236"/>
      <c r="U6" s="236"/>
      <c r="V6" s="236"/>
      <c r="W6" s="236"/>
    </row>
    <row r="7" spans="1:23" s="262" customFormat="1" hidden="1">
      <c r="A7" s="236"/>
      <c r="B7" s="236"/>
      <c r="C7" s="236"/>
      <c r="D7" s="236"/>
      <c r="E7" s="236"/>
      <c r="F7" s="236"/>
      <c r="G7" s="236"/>
      <c r="H7" s="236"/>
      <c r="I7" s="236"/>
      <c r="J7" s="236"/>
      <c r="K7" s="236"/>
      <c r="L7" s="236"/>
      <c r="M7" s="236"/>
      <c r="N7" s="236"/>
      <c r="O7" s="236"/>
      <c r="P7" s="236"/>
      <c r="Q7" s="236"/>
      <c r="R7" s="236"/>
      <c r="S7" s="236"/>
      <c r="T7" s="236"/>
      <c r="U7" s="236"/>
      <c r="V7" s="236"/>
      <c r="W7" s="236"/>
    </row>
    <row r="8" spans="1:23" s="262" customFormat="1" hidden="1">
      <c r="A8" s="236"/>
      <c r="B8" s="236"/>
      <c r="C8" s="236"/>
      <c r="D8" s="236"/>
      <c r="E8" s="236"/>
      <c r="F8" s="236"/>
      <c r="G8" s="236"/>
      <c r="H8" s="236"/>
      <c r="I8" s="236"/>
      <c r="J8" s="236"/>
      <c r="K8" s="236"/>
      <c r="L8" s="236"/>
      <c r="M8" s="236"/>
      <c r="N8" s="236"/>
      <c r="O8" s="236"/>
      <c r="P8" s="236"/>
      <c r="Q8" s="236"/>
      <c r="R8" s="236"/>
      <c r="S8" s="236"/>
      <c r="T8" s="236"/>
      <c r="U8" s="236"/>
      <c r="V8" s="236"/>
      <c r="W8" s="236"/>
    </row>
    <row r="9" spans="1:23" s="262" customFormat="1" hidden="1">
      <c r="A9" s="236"/>
      <c r="B9" s="236"/>
      <c r="C9" s="236"/>
      <c r="D9" s="236"/>
      <c r="E9" s="236"/>
      <c r="F9" s="236"/>
      <c r="G9" s="236"/>
      <c r="H9" s="236"/>
      <c r="I9" s="236"/>
      <c r="J9" s="236"/>
      <c r="K9" s="236"/>
      <c r="L9" s="236"/>
      <c r="M9" s="236"/>
      <c r="N9" s="236"/>
      <c r="O9" s="236"/>
      <c r="P9" s="236"/>
      <c r="Q9" s="236"/>
      <c r="R9" s="236"/>
      <c r="S9" s="236"/>
      <c r="T9" s="236"/>
      <c r="U9" s="236"/>
      <c r="V9" s="236"/>
      <c r="W9" s="236"/>
    </row>
    <row r="10" spans="1:23" s="262" customFormat="1" hidden="1">
      <c r="A10" s="236"/>
      <c r="B10" s="236"/>
      <c r="C10" s="236"/>
      <c r="D10" s="236"/>
      <c r="E10" s="236"/>
      <c r="F10" s="236"/>
      <c r="G10" s="236"/>
      <c r="H10" s="236"/>
      <c r="I10" s="236"/>
      <c r="J10" s="236"/>
      <c r="K10" s="236"/>
      <c r="L10" s="236"/>
      <c r="M10" s="236"/>
      <c r="N10" s="236"/>
      <c r="O10" s="236"/>
      <c r="P10" s="236"/>
      <c r="Q10" s="236"/>
      <c r="R10" s="236"/>
      <c r="S10" s="236"/>
      <c r="T10" s="236"/>
      <c r="U10" s="236"/>
      <c r="V10" s="236"/>
      <c r="W10" s="236"/>
    </row>
    <row r="11" spans="1:23" s="262" customFormat="1" hidden="1">
      <c r="A11" s="236"/>
      <c r="B11" s="236"/>
      <c r="C11" s="236"/>
      <c r="D11" s="236"/>
      <c r="E11" s="236"/>
      <c r="F11" s="236"/>
      <c r="G11" s="236"/>
      <c r="H11" s="236"/>
      <c r="I11" s="236"/>
      <c r="J11" s="236"/>
      <c r="K11" s="236"/>
      <c r="L11" s="236"/>
      <c r="M11" s="236"/>
      <c r="N11" s="236"/>
      <c r="O11" s="236"/>
      <c r="P11" s="236"/>
      <c r="Q11" s="236"/>
      <c r="R11" s="236"/>
      <c r="S11" s="236"/>
      <c r="T11" s="236"/>
      <c r="U11" s="236"/>
      <c r="V11" s="236"/>
      <c r="W11" s="236"/>
    </row>
    <row r="12" spans="1:23" s="262" customFormat="1" hidden="1">
      <c r="A12" s="236"/>
      <c r="B12" s="236"/>
      <c r="C12" s="236"/>
      <c r="D12" s="236"/>
      <c r="E12" s="236"/>
      <c r="F12" s="236"/>
      <c r="G12" s="236"/>
      <c r="H12" s="236"/>
      <c r="I12" s="236"/>
      <c r="J12" s="236"/>
      <c r="K12" s="236"/>
      <c r="L12" s="236"/>
      <c r="M12" s="236"/>
      <c r="N12" s="236"/>
      <c r="O12" s="236"/>
      <c r="P12" s="236"/>
      <c r="Q12" s="236"/>
      <c r="R12" s="236"/>
      <c r="S12" s="236"/>
      <c r="T12" s="236"/>
      <c r="U12" s="236"/>
      <c r="V12" s="236"/>
      <c r="W12" s="236"/>
    </row>
    <row r="13" spans="1:23" s="262" customFormat="1" hidden="1">
      <c r="A13" s="236"/>
      <c r="B13" s="236"/>
      <c r="C13" s="236"/>
      <c r="D13" s="236"/>
      <c r="E13" s="236"/>
      <c r="F13" s="236"/>
      <c r="G13" s="236"/>
      <c r="H13" s="236"/>
      <c r="I13" s="236"/>
      <c r="J13" s="236"/>
      <c r="K13" s="236"/>
      <c r="L13" s="236"/>
      <c r="M13" s="236"/>
      <c r="N13" s="236"/>
      <c r="O13" s="236"/>
      <c r="P13" s="236"/>
      <c r="Q13" s="236"/>
      <c r="R13" s="236"/>
      <c r="S13" s="236"/>
      <c r="T13" s="236"/>
      <c r="U13" s="236"/>
      <c r="V13" s="236"/>
      <c r="W13" s="236"/>
    </row>
    <row r="14" spans="1:23" s="262" customFormat="1" hidden="1">
      <c r="A14" s="236"/>
      <c r="B14" s="236"/>
      <c r="C14" s="236"/>
      <c r="D14" s="236"/>
      <c r="E14" s="236"/>
      <c r="F14" s="236"/>
      <c r="G14" s="236"/>
      <c r="H14" s="236"/>
      <c r="I14" s="236"/>
      <c r="J14" s="236"/>
      <c r="K14" s="236"/>
      <c r="L14" s="236"/>
      <c r="M14" s="236"/>
      <c r="N14" s="236"/>
      <c r="O14" s="236"/>
      <c r="P14" s="236"/>
      <c r="Q14" s="236"/>
      <c r="R14" s="236"/>
      <c r="S14" s="236"/>
      <c r="T14" s="236"/>
      <c r="U14" s="236"/>
      <c r="V14" s="236"/>
      <c r="W14" s="236"/>
    </row>
    <row r="15" spans="1:23" s="262" customFormat="1" hidden="1">
      <c r="A15" s="236"/>
      <c r="B15" s="236"/>
      <c r="C15" s="236"/>
      <c r="D15" s="236"/>
      <c r="E15" s="236"/>
      <c r="F15" s="236"/>
      <c r="G15" s="236"/>
      <c r="H15" s="236"/>
      <c r="I15" s="236"/>
      <c r="J15" s="236"/>
      <c r="K15" s="236"/>
      <c r="L15" s="236"/>
      <c r="M15" s="236"/>
      <c r="N15" s="236"/>
      <c r="O15" s="236"/>
      <c r="P15" s="236"/>
      <c r="Q15" s="236"/>
      <c r="R15" s="236"/>
      <c r="S15" s="236"/>
      <c r="T15" s="236"/>
      <c r="U15" s="236"/>
      <c r="V15" s="236"/>
      <c r="W15" s="236"/>
    </row>
    <row r="16" spans="1:23" s="262" customFormat="1" hidden="1">
      <c r="A16" s="236"/>
      <c r="B16" s="236"/>
      <c r="C16" s="236"/>
      <c r="D16" s="236"/>
      <c r="E16" s="236"/>
      <c r="F16" s="236"/>
      <c r="G16" s="236"/>
      <c r="H16" s="236"/>
      <c r="I16" s="236"/>
      <c r="J16" s="236"/>
      <c r="K16" s="236"/>
      <c r="L16" s="236"/>
      <c r="M16" s="236"/>
      <c r="N16" s="236"/>
      <c r="O16" s="236"/>
      <c r="P16" s="236"/>
      <c r="Q16" s="236"/>
      <c r="R16" s="236"/>
      <c r="S16" s="236"/>
      <c r="T16" s="236"/>
      <c r="U16" s="236"/>
      <c r="V16" s="236"/>
      <c r="W16" s="236"/>
    </row>
    <row r="17" spans="1:23" s="262" customFormat="1" hidden="1">
      <c r="A17" s="236"/>
      <c r="B17" s="236"/>
      <c r="C17" s="236"/>
      <c r="D17" s="236"/>
      <c r="E17" s="236"/>
      <c r="F17" s="236"/>
      <c r="G17" s="236"/>
      <c r="H17" s="236"/>
      <c r="I17" s="236"/>
      <c r="J17" s="236"/>
      <c r="K17" s="236"/>
      <c r="L17" s="236"/>
      <c r="M17" s="236"/>
      <c r="N17" s="236"/>
      <c r="O17" s="236"/>
      <c r="P17" s="236"/>
      <c r="Q17" s="236"/>
      <c r="R17" s="236"/>
      <c r="S17" s="236"/>
      <c r="T17" s="236"/>
      <c r="U17" s="236"/>
      <c r="V17" s="236"/>
      <c r="W17" s="236"/>
    </row>
    <row r="18" spans="1:23" s="262" customFormat="1" hidden="1">
      <c r="A18" s="236"/>
      <c r="B18" s="236"/>
      <c r="C18" s="236"/>
      <c r="D18" s="236"/>
      <c r="E18" s="236"/>
      <c r="F18" s="236"/>
      <c r="G18" s="236"/>
      <c r="H18" s="236"/>
      <c r="I18" s="236"/>
      <c r="J18" s="236"/>
      <c r="K18" s="236"/>
      <c r="L18" s="236"/>
      <c r="M18" s="236"/>
      <c r="N18" s="236"/>
      <c r="O18" s="236"/>
      <c r="P18" s="236"/>
      <c r="Q18" s="236"/>
      <c r="R18" s="236"/>
      <c r="S18" s="236"/>
      <c r="T18" s="236"/>
      <c r="U18" s="236"/>
      <c r="V18" s="236"/>
      <c r="W18" s="236"/>
    </row>
    <row r="19" spans="1:23" s="262" customFormat="1" hidden="1">
      <c r="A19" s="236"/>
      <c r="B19" s="236"/>
      <c r="C19" s="236"/>
      <c r="D19" s="236"/>
      <c r="E19" s="236"/>
      <c r="F19" s="236"/>
      <c r="G19" s="236"/>
      <c r="H19" s="236"/>
      <c r="I19" s="236"/>
      <c r="J19" s="236"/>
      <c r="K19" s="236"/>
      <c r="L19" s="236"/>
      <c r="M19" s="236"/>
      <c r="N19" s="236"/>
      <c r="O19" s="236"/>
      <c r="P19" s="236"/>
      <c r="Q19" s="236"/>
      <c r="R19" s="236"/>
      <c r="S19" s="236"/>
      <c r="T19" s="236"/>
      <c r="U19" s="236"/>
      <c r="V19" s="236"/>
      <c r="W19" s="236"/>
    </row>
    <row r="20" spans="1:23" s="262" customFormat="1" hidden="1">
      <c r="A20" s="236"/>
      <c r="B20" s="236"/>
      <c r="C20" s="236"/>
      <c r="D20" s="236"/>
      <c r="E20" s="236"/>
      <c r="F20" s="236"/>
      <c r="G20" s="236"/>
      <c r="H20" s="236"/>
      <c r="I20" s="236"/>
      <c r="J20" s="236"/>
      <c r="K20" s="236"/>
      <c r="L20" s="236"/>
      <c r="M20" s="236"/>
      <c r="N20" s="236"/>
      <c r="O20" s="236"/>
      <c r="P20" s="236"/>
      <c r="Q20" s="236"/>
      <c r="R20" s="236"/>
      <c r="S20" s="236"/>
      <c r="T20" s="236"/>
      <c r="U20" s="236"/>
      <c r="V20" s="236"/>
      <c r="W20" s="236"/>
    </row>
    <row r="21" spans="1:23" s="262" customFormat="1" hidden="1">
      <c r="A21" s="236"/>
      <c r="B21" s="236"/>
      <c r="C21" s="236"/>
      <c r="D21" s="236"/>
      <c r="E21" s="236"/>
      <c r="F21" s="236"/>
      <c r="G21" s="236"/>
      <c r="H21" s="236"/>
      <c r="I21" s="236"/>
      <c r="J21" s="236"/>
      <c r="K21" s="236"/>
      <c r="L21" s="236"/>
      <c r="M21" s="236"/>
      <c r="N21" s="236"/>
      <c r="O21" s="236"/>
      <c r="P21" s="236"/>
      <c r="Q21" s="236"/>
      <c r="R21" s="236"/>
      <c r="S21" s="236"/>
      <c r="T21" s="236"/>
      <c r="U21" s="236"/>
      <c r="V21" s="236"/>
      <c r="W21" s="236"/>
    </row>
    <row r="22" spans="1:23" s="262" customFormat="1" hidden="1">
      <c r="A22" s="236"/>
      <c r="B22" s="236"/>
      <c r="C22" s="236"/>
      <c r="D22" s="236"/>
      <c r="E22" s="236"/>
      <c r="F22" s="236"/>
      <c r="G22" s="236"/>
      <c r="H22" s="236"/>
      <c r="I22" s="236"/>
      <c r="J22" s="236"/>
      <c r="K22" s="236"/>
      <c r="L22" s="236"/>
      <c r="M22" s="236"/>
      <c r="N22" s="236"/>
      <c r="O22" s="236"/>
      <c r="P22" s="236"/>
      <c r="Q22" s="236"/>
      <c r="R22" s="236"/>
      <c r="S22" s="236"/>
      <c r="T22" s="236"/>
      <c r="U22" s="236"/>
      <c r="V22" s="236"/>
      <c r="W22" s="236"/>
    </row>
    <row r="23" spans="1:23" s="262" customFormat="1" hidden="1">
      <c r="A23" s="236"/>
      <c r="B23" s="236"/>
      <c r="C23" s="236"/>
      <c r="D23" s="236"/>
      <c r="E23" s="236"/>
      <c r="F23" s="236"/>
      <c r="G23" s="236"/>
      <c r="H23" s="236"/>
      <c r="I23" s="236"/>
      <c r="J23" s="236"/>
      <c r="K23" s="236"/>
      <c r="L23" s="236"/>
      <c r="M23" s="236"/>
      <c r="N23" s="236"/>
      <c r="O23" s="236"/>
      <c r="P23" s="236"/>
      <c r="Q23" s="236"/>
      <c r="R23" s="236"/>
      <c r="S23" s="236"/>
      <c r="T23" s="236"/>
      <c r="U23" s="236"/>
      <c r="V23" s="236"/>
      <c r="W23" s="236"/>
    </row>
    <row r="24" spans="1:23" s="262" customFormat="1" hidden="1">
      <c r="A24" s="236"/>
      <c r="B24" s="236"/>
      <c r="C24" s="236"/>
      <c r="D24" s="236"/>
      <c r="E24" s="236"/>
      <c r="F24" s="236"/>
      <c r="G24" s="236"/>
      <c r="H24" s="236"/>
      <c r="I24" s="236"/>
      <c r="J24" s="236"/>
      <c r="K24" s="236"/>
      <c r="L24" s="236"/>
      <c r="M24" s="236"/>
      <c r="N24" s="236"/>
      <c r="O24" s="236"/>
      <c r="P24" s="236"/>
      <c r="Q24" s="236"/>
      <c r="R24" s="236"/>
      <c r="S24" s="236"/>
      <c r="T24" s="236"/>
      <c r="U24" s="236"/>
      <c r="V24" s="236"/>
      <c r="W24" s="236"/>
    </row>
    <row r="25" spans="1:23" s="262" customFormat="1" hidden="1">
      <c r="A25" s="236"/>
      <c r="B25" s="236"/>
      <c r="C25" s="236"/>
      <c r="D25" s="236"/>
      <c r="E25" s="236"/>
      <c r="F25" s="236"/>
      <c r="G25" s="236"/>
      <c r="H25" s="236"/>
      <c r="I25" s="236"/>
      <c r="J25" s="236"/>
      <c r="K25" s="236"/>
      <c r="L25" s="236"/>
      <c r="M25" s="236"/>
      <c r="N25" s="236"/>
      <c r="O25" s="236"/>
      <c r="P25" s="236"/>
      <c r="Q25" s="236"/>
      <c r="R25" s="236"/>
      <c r="S25" s="236"/>
      <c r="T25" s="236"/>
      <c r="U25" s="236"/>
      <c r="V25" s="236"/>
      <c r="W25" s="236"/>
    </row>
    <row r="26" spans="1:23" s="262" customFormat="1" hidden="1">
      <c r="A26" s="236"/>
      <c r="B26" s="236"/>
      <c r="C26" s="236"/>
      <c r="D26" s="236"/>
      <c r="E26" s="236"/>
      <c r="F26" s="236"/>
      <c r="G26" s="236"/>
      <c r="H26" s="236"/>
      <c r="I26" s="236"/>
      <c r="J26" s="236"/>
      <c r="K26" s="236"/>
      <c r="L26" s="236"/>
      <c r="M26" s="236"/>
      <c r="N26" s="236"/>
      <c r="O26" s="236"/>
      <c r="P26" s="236"/>
      <c r="Q26" s="236"/>
      <c r="R26" s="236"/>
      <c r="S26" s="236"/>
      <c r="T26" s="236"/>
      <c r="U26" s="236"/>
      <c r="V26" s="236"/>
      <c r="W26" s="236"/>
    </row>
    <row r="27" spans="1:23" s="262" customFormat="1" hidden="1">
      <c r="A27" s="236"/>
      <c r="B27" s="236"/>
      <c r="C27" s="236"/>
      <c r="D27" s="236"/>
      <c r="E27" s="236"/>
      <c r="F27" s="236"/>
      <c r="G27" s="236"/>
      <c r="H27" s="236"/>
      <c r="I27" s="236"/>
      <c r="J27" s="236"/>
      <c r="K27" s="236"/>
      <c r="L27" s="236"/>
      <c r="M27" s="236"/>
      <c r="N27" s="236"/>
      <c r="O27" s="236"/>
      <c r="P27" s="236"/>
      <c r="Q27" s="236"/>
      <c r="R27" s="236"/>
      <c r="S27" s="236"/>
      <c r="T27" s="236"/>
      <c r="U27" s="236"/>
      <c r="V27" s="236"/>
      <c r="W27" s="236"/>
    </row>
    <row r="28" spans="1:23" s="262" customFormat="1" hidden="1">
      <c r="A28" s="236"/>
      <c r="B28" s="236"/>
      <c r="C28" s="236"/>
      <c r="D28" s="236"/>
      <c r="E28" s="236"/>
      <c r="F28" s="236"/>
      <c r="G28" s="236"/>
      <c r="H28" s="236"/>
      <c r="I28" s="236"/>
      <c r="J28" s="236"/>
      <c r="K28" s="236"/>
      <c r="L28" s="236"/>
      <c r="M28" s="236"/>
      <c r="N28" s="236"/>
      <c r="O28" s="236"/>
      <c r="P28" s="236"/>
      <c r="Q28" s="236"/>
      <c r="R28" s="236"/>
      <c r="S28" s="236"/>
      <c r="T28" s="236"/>
      <c r="U28" s="236"/>
      <c r="V28" s="236"/>
      <c r="W28" s="236"/>
    </row>
    <row r="29" spans="1:23" s="262" customFormat="1" hidden="1">
      <c r="A29" s="236"/>
      <c r="B29" s="236"/>
      <c r="C29" s="236"/>
      <c r="D29" s="236"/>
      <c r="E29" s="236"/>
      <c r="F29" s="236"/>
      <c r="G29" s="236"/>
      <c r="H29" s="236"/>
      <c r="I29" s="236"/>
      <c r="J29" s="236"/>
      <c r="K29" s="236"/>
      <c r="L29" s="236"/>
      <c r="M29" s="236"/>
      <c r="N29" s="236"/>
      <c r="O29" s="236"/>
      <c r="P29" s="236"/>
      <c r="Q29" s="236"/>
      <c r="R29" s="236"/>
      <c r="S29" s="236"/>
      <c r="T29" s="236"/>
      <c r="U29" s="236"/>
      <c r="V29" s="236"/>
      <c r="W29" s="236"/>
    </row>
    <row r="30" spans="1:23" s="262" customFormat="1" hidden="1">
      <c r="A30" s="236"/>
      <c r="B30" s="236"/>
      <c r="C30" s="236"/>
      <c r="D30" s="236"/>
      <c r="E30" s="236"/>
      <c r="F30" s="236"/>
      <c r="G30" s="236"/>
      <c r="H30" s="236"/>
      <c r="I30" s="236"/>
      <c r="J30" s="236"/>
      <c r="K30" s="236"/>
      <c r="L30" s="236"/>
      <c r="M30" s="236"/>
      <c r="N30" s="236"/>
      <c r="O30" s="236"/>
      <c r="P30" s="236"/>
      <c r="Q30" s="236"/>
      <c r="R30" s="236"/>
      <c r="S30" s="236"/>
      <c r="T30" s="236"/>
      <c r="U30" s="236"/>
      <c r="V30" s="236"/>
      <c r="W30" s="236"/>
    </row>
    <row r="31" spans="1:23" s="262" customFormat="1" hidden="1">
      <c r="A31" s="236"/>
      <c r="B31" s="236"/>
      <c r="C31" s="236"/>
      <c r="D31" s="236"/>
      <c r="E31" s="236"/>
      <c r="F31" s="236"/>
      <c r="G31" s="236"/>
      <c r="H31" s="236"/>
      <c r="I31" s="236"/>
      <c r="J31" s="236"/>
      <c r="K31" s="236"/>
      <c r="L31" s="236"/>
      <c r="M31" s="236"/>
      <c r="N31" s="236"/>
      <c r="O31" s="236"/>
      <c r="P31" s="236"/>
      <c r="Q31" s="236"/>
      <c r="R31" s="236"/>
      <c r="S31" s="236"/>
      <c r="T31" s="236"/>
      <c r="U31" s="236"/>
      <c r="V31" s="236"/>
      <c r="W31" s="236"/>
    </row>
    <row r="32" spans="1:23" s="262" customFormat="1" hidden="1">
      <c r="A32" s="236"/>
      <c r="B32" s="236"/>
      <c r="C32" s="236"/>
      <c r="D32" s="236"/>
      <c r="E32" s="236"/>
      <c r="F32" s="236"/>
      <c r="G32" s="236"/>
      <c r="H32" s="236"/>
      <c r="I32" s="236"/>
      <c r="J32" s="236"/>
      <c r="K32" s="236"/>
      <c r="L32" s="236"/>
      <c r="M32" s="236"/>
      <c r="N32" s="236"/>
      <c r="O32" s="236"/>
      <c r="P32" s="236"/>
      <c r="Q32" s="236"/>
      <c r="R32" s="236"/>
      <c r="S32" s="236"/>
      <c r="T32" s="236"/>
      <c r="U32" s="236"/>
      <c r="V32" s="236"/>
      <c r="W32" s="236"/>
    </row>
    <row r="33" spans="1:23" s="262" customFormat="1" hidden="1">
      <c r="A33" s="236"/>
      <c r="B33" s="236"/>
      <c r="C33" s="236"/>
      <c r="D33" s="236"/>
      <c r="E33" s="236"/>
      <c r="F33" s="236"/>
      <c r="G33" s="236"/>
      <c r="H33" s="236"/>
      <c r="I33" s="236"/>
      <c r="J33" s="236"/>
      <c r="K33" s="236"/>
      <c r="L33" s="236"/>
      <c r="M33" s="236"/>
      <c r="N33" s="236"/>
      <c r="O33" s="236"/>
      <c r="P33" s="236"/>
      <c r="Q33" s="236"/>
      <c r="R33" s="236"/>
      <c r="S33" s="236"/>
      <c r="T33" s="236"/>
      <c r="U33" s="236"/>
      <c r="V33" s="236"/>
      <c r="W33" s="236"/>
    </row>
    <row r="34" spans="1:23" s="262" customFormat="1" hidden="1">
      <c r="A34" s="236"/>
      <c r="B34" s="236"/>
      <c r="C34" s="236"/>
      <c r="D34" s="236"/>
      <c r="E34" s="236"/>
      <c r="F34" s="236"/>
      <c r="G34" s="236"/>
      <c r="H34" s="236"/>
      <c r="I34" s="236"/>
      <c r="J34" s="236"/>
      <c r="K34" s="236"/>
      <c r="L34" s="236"/>
      <c r="M34" s="236"/>
      <c r="N34" s="236"/>
      <c r="O34" s="236"/>
      <c r="P34" s="236"/>
      <c r="Q34" s="236"/>
      <c r="R34" s="236"/>
      <c r="S34" s="236"/>
      <c r="T34" s="236"/>
      <c r="U34" s="236"/>
      <c r="V34" s="236"/>
      <c r="W34" s="236"/>
    </row>
    <row r="35" spans="1:23" s="262" customFormat="1" hidden="1">
      <c r="A35" s="236"/>
      <c r="B35" s="236"/>
      <c r="C35" s="236"/>
      <c r="D35" s="236"/>
      <c r="E35" s="236"/>
      <c r="F35" s="236"/>
      <c r="G35" s="236"/>
      <c r="H35" s="236"/>
      <c r="I35" s="236"/>
      <c r="J35" s="236"/>
      <c r="K35" s="236"/>
      <c r="L35" s="236"/>
      <c r="M35" s="236"/>
      <c r="N35" s="236"/>
      <c r="O35" s="236"/>
      <c r="P35" s="236"/>
      <c r="Q35" s="236"/>
      <c r="R35" s="236"/>
      <c r="S35" s="236"/>
      <c r="T35" s="236"/>
      <c r="U35" s="236"/>
      <c r="V35" s="236"/>
      <c r="W35" s="236"/>
    </row>
    <row r="36" spans="1:23" s="262" customFormat="1" hidden="1">
      <c r="A36" s="236"/>
      <c r="B36" s="236"/>
      <c r="C36" s="236"/>
      <c r="D36" s="236"/>
      <c r="E36" s="236"/>
      <c r="F36" s="236"/>
      <c r="G36" s="236"/>
      <c r="H36" s="236"/>
      <c r="I36" s="236"/>
      <c r="J36" s="236"/>
      <c r="K36" s="236"/>
      <c r="L36" s="236"/>
      <c r="M36" s="236"/>
      <c r="N36" s="236"/>
      <c r="O36" s="236"/>
      <c r="P36" s="236"/>
      <c r="Q36" s="236"/>
      <c r="R36" s="236"/>
      <c r="S36" s="236"/>
      <c r="T36" s="236"/>
      <c r="U36" s="236"/>
      <c r="V36" s="236"/>
      <c r="W36" s="236"/>
    </row>
    <row r="37" spans="1:23" s="262" customFormat="1" hidden="1">
      <c r="A37" s="236"/>
      <c r="B37" s="236"/>
      <c r="C37" s="236"/>
      <c r="D37" s="236"/>
      <c r="E37" s="236"/>
      <c r="F37" s="236"/>
      <c r="G37" s="236"/>
      <c r="H37" s="236"/>
      <c r="I37" s="236"/>
      <c r="J37" s="236"/>
      <c r="K37" s="236"/>
      <c r="L37" s="236"/>
      <c r="M37" s="236"/>
      <c r="N37" s="236"/>
      <c r="O37" s="236"/>
      <c r="P37" s="236"/>
      <c r="Q37" s="236"/>
      <c r="R37" s="236"/>
      <c r="S37" s="236"/>
      <c r="T37" s="236"/>
      <c r="U37" s="236"/>
      <c r="V37" s="236"/>
      <c r="W37" s="236"/>
    </row>
    <row r="38" spans="1:23" s="262" customFormat="1" hidden="1">
      <c r="A38" s="236"/>
      <c r="B38" s="236"/>
      <c r="C38" s="236"/>
      <c r="D38" s="236"/>
      <c r="E38" s="236"/>
      <c r="F38" s="236"/>
      <c r="G38" s="236"/>
      <c r="H38" s="236"/>
      <c r="I38" s="236"/>
      <c r="J38" s="236"/>
      <c r="K38" s="236"/>
      <c r="L38" s="236"/>
      <c r="M38" s="236"/>
      <c r="N38" s="236"/>
      <c r="O38" s="236"/>
      <c r="P38" s="236"/>
      <c r="Q38" s="236"/>
      <c r="R38" s="236"/>
      <c r="S38" s="236"/>
      <c r="T38" s="236"/>
      <c r="U38" s="236"/>
      <c r="V38" s="236"/>
      <c r="W38" s="236"/>
    </row>
    <row r="39" spans="1:23" s="262" customFormat="1" hidden="1">
      <c r="A39" s="236"/>
      <c r="B39" s="236"/>
      <c r="C39" s="236"/>
      <c r="D39" s="236"/>
      <c r="E39" s="236"/>
      <c r="F39" s="236"/>
      <c r="G39" s="236"/>
      <c r="H39" s="236"/>
      <c r="I39" s="236"/>
      <c r="J39" s="236"/>
      <c r="K39" s="236"/>
      <c r="L39" s="236"/>
      <c r="M39" s="236"/>
      <c r="N39" s="236"/>
      <c r="O39" s="236"/>
      <c r="P39" s="236"/>
      <c r="Q39" s="236"/>
      <c r="R39" s="236"/>
      <c r="S39" s="236"/>
      <c r="T39" s="236"/>
      <c r="U39" s="236"/>
      <c r="V39" s="236"/>
      <c r="W39" s="236"/>
    </row>
    <row r="40" spans="1:23" s="262" customFormat="1" hidden="1">
      <c r="A40" s="236"/>
      <c r="B40" s="236"/>
      <c r="C40" s="236"/>
      <c r="D40" s="236"/>
      <c r="E40" s="236"/>
      <c r="F40" s="236"/>
      <c r="G40" s="236"/>
      <c r="H40" s="236"/>
      <c r="I40" s="236"/>
      <c r="J40" s="236"/>
      <c r="K40" s="236"/>
      <c r="L40" s="236"/>
      <c r="M40" s="236"/>
      <c r="N40" s="236"/>
      <c r="O40" s="236"/>
      <c r="P40" s="236"/>
      <c r="Q40" s="236"/>
      <c r="R40" s="236"/>
      <c r="S40" s="236"/>
      <c r="T40" s="236"/>
      <c r="U40" s="236"/>
      <c r="V40" s="236"/>
      <c r="W40" s="236"/>
    </row>
    <row r="41" spans="1:23" s="262" customFormat="1" hidden="1">
      <c r="A41" s="236"/>
      <c r="B41" s="236"/>
      <c r="C41" s="236"/>
      <c r="D41" s="236"/>
      <c r="E41" s="236"/>
      <c r="F41" s="236"/>
      <c r="G41" s="236"/>
      <c r="H41" s="236"/>
      <c r="I41" s="236"/>
      <c r="J41" s="236"/>
      <c r="K41" s="236"/>
      <c r="L41" s="236"/>
      <c r="M41" s="236"/>
      <c r="N41" s="236"/>
      <c r="O41" s="236"/>
      <c r="P41" s="236"/>
      <c r="Q41" s="236"/>
      <c r="R41" s="236"/>
      <c r="S41" s="236"/>
      <c r="T41" s="236"/>
      <c r="U41" s="236"/>
      <c r="V41" s="236"/>
      <c r="W41" s="236"/>
    </row>
    <row r="42" spans="1:23" s="262" customFormat="1" hidden="1">
      <c r="A42" s="236"/>
      <c r="B42" s="236"/>
      <c r="C42" s="236"/>
      <c r="D42" s="236"/>
      <c r="E42" s="236"/>
      <c r="F42" s="236"/>
      <c r="G42" s="236"/>
      <c r="H42" s="236"/>
      <c r="I42" s="236"/>
      <c r="J42" s="236"/>
      <c r="K42" s="236"/>
      <c r="L42" s="236"/>
      <c r="M42" s="236"/>
      <c r="N42" s="236"/>
      <c r="O42" s="236"/>
      <c r="P42" s="236"/>
      <c r="Q42" s="236"/>
      <c r="R42" s="236"/>
      <c r="S42" s="236"/>
      <c r="T42" s="236"/>
      <c r="U42" s="236"/>
      <c r="V42" s="236"/>
      <c r="W42" s="236"/>
    </row>
    <row r="43" spans="1:23" s="262" customFormat="1" hidden="1">
      <c r="A43" s="236"/>
      <c r="B43" s="236"/>
      <c r="C43" s="236"/>
      <c r="D43" s="236"/>
      <c r="E43" s="236"/>
      <c r="F43" s="236"/>
      <c r="G43" s="236"/>
      <c r="H43" s="236"/>
      <c r="I43" s="236"/>
      <c r="J43" s="236"/>
      <c r="K43" s="236"/>
      <c r="L43" s="236"/>
      <c r="M43" s="236"/>
      <c r="N43" s="236"/>
      <c r="O43" s="236"/>
      <c r="P43" s="236"/>
      <c r="Q43" s="236"/>
      <c r="R43" s="236"/>
      <c r="S43" s="236"/>
      <c r="T43" s="236"/>
      <c r="U43" s="236"/>
      <c r="V43" s="236"/>
      <c r="W43" s="236"/>
    </row>
    <row r="44" spans="1:23" s="262" customFormat="1" hidden="1">
      <c r="A44" s="236"/>
      <c r="B44" s="236"/>
      <c r="C44" s="236"/>
      <c r="D44" s="236"/>
      <c r="E44" s="236"/>
      <c r="F44" s="236"/>
      <c r="G44" s="236"/>
      <c r="H44" s="236"/>
      <c r="I44" s="236"/>
      <c r="J44" s="236"/>
      <c r="K44" s="236"/>
      <c r="L44" s="236"/>
      <c r="M44" s="236"/>
      <c r="N44" s="236"/>
      <c r="O44" s="236"/>
      <c r="P44" s="236"/>
      <c r="Q44" s="236"/>
      <c r="R44" s="236"/>
      <c r="S44" s="236"/>
      <c r="T44" s="236"/>
      <c r="U44" s="236"/>
      <c r="V44" s="236"/>
      <c r="W44" s="236"/>
    </row>
    <row r="45" spans="1:23" s="262" customFormat="1" hidden="1">
      <c r="A45" s="236"/>
      <c r="B45" s="236"/>
      <c r="C45" s="236"/>
      <c r="D45" s="236"/>
      <c r="E45" s="236"/>
      <c r="F45" s="236"/>
      <c r="G45" s="236"/>
      <c r="H45" s="236"/>
      <c r="I45" s="236"/>
      <c r="J45" s="236"/>
      <c r="K45" s="236"/>
      <c r="L45" s="236"/>
      <c r="M45" s="236"/>
      <c r="N45" s="236"/>
      <c r="O45" s="236"/>
      <c r="P45" s="236"/>
      <c r="Q45" s="236"/>
      <c r="R45" s="236"/>
      <c r="S45" s="236"/>
      <c r="T45" s="236"/>
      <c r="U45" s="236"/>
      <c r="V45" s="236"/>
      <c r="W45" s="236"/>
    </row>
    <row r="46" spans="1:23" s="262" customFormat="1" hidden="1">
      <c r="A46" s="236"/>
      <c r="B46" s="236"/>
      <c r="C46" s="236"/>
      <c r="D46" s="236"/>
      <c r="E46" s="236"/>
      <c r="F46" s="236"/>
      <c r="G46" s="236"/>
      <c r="H46" s="236"/>
      <c r="I46" s="236"/>
      <c r="J46" s="236"/>
      <c r="K46" s="236"/>
      <c r="L46" s="236"/>
      <c r="M46" s="236"/>
      <c r="N46" s="236"/>
      <c r="O46" s="236"/>
      <c r="P46" s="236"/>
      <c r="Q46" s="236"/>
      <c r="R46" s="236"/>
      <c r="S46" s="236"/>
      <c r="T46" s="236"/>
      <c r="U46" s="236"/>
      <c r="V46" s="236"/>
      <c r="W46" s="236"/>
    </row>
    <row r="47" spans="1:23" s="262" customFormat="1" hidden="1">
      <c r="A47" s="236"/>
      <c r="B47" s="236"/>
      <c r="C47" s="236"/>
      <c r="D47" s="236"/>
      <c r="E47" s="236"/>
      <c r="F47" s="236"/>
      <c r="G47" s="236"/>
      <c r="H47" s="236"/>
      <c r="I47" s="236"/>
      <c r="J47" s="236"/>
      <c r="K47" s="236"/>
      <c r="L47" s="236"/>
      <c r="M47" s="236"/>
      <c r="N47" s="236"/>
      <c r="O47" s="236"/>
      <c r="P47" s="236"/>
      <c r="Q47" s="236"/>
      <c r="R47" s="236"/>
      <c r="S47" s="236"/>
      <c r="T47" s="236"/>
      <c r="U47" s="236"/>
      <c r="V47" s="236"/>
      <c r="W47" s="236"/>
    </row>
    <row r="48" spans="1:23" s="262" customFormat="1" hidden="1">
      <c r="A48" s="236"/>
      <c r="B48" s="236"/>
      <c r="C48" s="236"/>
      <c r="D48" s="236"/>
      <c r="E48" s="236"/>
      <c r="F48" s="236"/>
      <c r="G48" s="236"/>
      <c r="H48" s="236"/>
      <c r="I48" s="236"/>
      <c r="J48" s="236"/>
      <c r="K48" s="236"/>
      <c r="L48" s="236"/>
      <c r="M48" s="236"/>
      <c r="N48" s="236"/>
      <c r="O48" s="236"/>
      <c r="P48" s="236"/>
      <c r="Q48" s="236"/>
      <c r="R48" s="236"/>
      <c r="S48" s="236"/>
      <c r="T48" s="236"/>
      <c r="U48" s="236"/>
      <c r="V48" s="236"/>
      <c r="W48" s="236"/>
    </row>
    <row r="49" spans="1:23" s="262" customFormat="1" hidden="1">
      <c r="A49" s="236"/>
      <c r="B49" s="236"/>
      <c r="C49" s="236"/>
      <c r="D49" s="236"/>
      <c r="E49" s="236"/>
      <c r="F49" s="236"/>
      <c r="G49" s="236"/>
      <c r="H49" s="236"/>
      <c r="I49" s="236"/>
      <c r="J49" s="236"/>
      <c r="K49" s="236"/>
      <c r="L49" s="236"/>
      <c r="M49" s="236"/>
      <c r="N49" s="236"/>
      <c r="O49" s="236"/>
      <c r="P49" s="236"/>
      <c r="Q49" s="236"/>
      <c r="R49" s="236"/>
      <c r="S49" s="236"/>
      <c r="T49" s="236"/>
      <c r="U49" s="236"/>
      <c r="V49" s="236"/>
      <c r="W49" s="236"/>
    </row>
    <row r="50" spans="1:23" s="262" customFormat="1" hidden="1">
      <c r="A50" s="236"/>
      <c r="B50" s="236"/>
      <c r="C50" s="236"/>
      <c r="D50" s="236"/>
      <c r="E50" s="236"/>
      <c r="F50" s="236"/>
      <c r="G50" s="236"/>
      <c r="H50" s="236"/>
      <c r="I50" s="236"/>
      <c r="J50" s="236"/>
      <c r="K50" s="236"/>
      <c r="L50" s="236"/>
      <c r="M50" s="236"/>
      <c r="N50" s="236"/>
      <c r="O50" s="236"/>
      <c r="P50" s="236"/>
      <c r="Q50" s="236"/>
      <c r="R50" s="236"/>
      <c r="S50" s="236"/>
      <c r="T50" s="236"/>
      <c r="U50" s="236"/>
      <c r="V50" s="236"/>
      <c r="W50" s="236"/>
    </row>
    <row r="51" spans="1:23" s="262" customFormat="1" hidden="1">
      <c r="A51" s="236"/>
      <c r="B51" s="236"/>
      <c r="C51" s="236"/>
      <c r="D51" s="236"/>
      <c r="E51" s="236"/>
      <c r="F51" s="236"/>
      <c r="G51" s="236"/>
      <c r="H51" s="236"/>
      <c r="I51" s="236"/>
      <c r="J51" s="236"/>
      <c r="K51" s="236"/>
      <c r="L51" s="236"/>
      <c r="M51" s="236"/>
      <c r="N51" s="236"/>
      <c r="O51" s="236"/>
      <c r="P51" s="236"/>
      <c r="Q51" s="236"/>
      <c r="R51" s="236"/>
      <c r="S51" s="236"/>
      <c r="T51" s="236"/>
      <c r="U51" s="236"/>
      <c r="V51" s="236"/>
      <c r="W51" s="236"/>
    </row>
    <row r="52" spans="1:23" s="262" customFormat="1" hidden="1">
      <c r="A52" s="236"/>
      <c r="B52" s="236"/>
      <c r="C52" s="236"/>
      <c r="D52" s="236"/>
      <c r="E52" s="236"/>
      <c r="F52" s="236"/>
      <c r="G52" s="236"/>
      <c r="H52" s="236"/>
      <c r="I52" s="236"/>
      <c r="J52" s="236"/>
      <c r="K52" s="236"/>
      <c r="L52" s="236"/>
      <c r="M52" s="236"/>
      <c r="N52" s="236"/>
      <c r="O52" s="236"/>
      <c r="P52" s="236"/>
      <c r="Q52" s="236"/>
      <c r="R52" s="236"/>
      <c r="S52" s="236"/>
      <c r="T52" s="236"/>
      <c r="U52" s="236"/>
      <c r="V52" s="236"/>
      <c r="W52" s="236"/>
    </row>
    <row r="53" spans="1:23" s="262" customFormat="1" hidden="1">
      <c r="A53" s="236"/>
      <c r="B53" s="236"/>
      <c r="C53" s="236"/>
      <c r="D53" s="236"/>
      <c r="E53" s="236"/>
      <c r="F53" s="236"/>
      <c r="G53" s="236"/>
      <c r="H53" s="236"/>
      <c r="I53" s="236"/>
      <c r="J53" s="236"/>
      <c r="K53" s="236"/>
      <c r="L53" s="236"/>
      <c r="M53" s="236"/>
      <c r="N53" s="236"/>
      <c r="O53" s="236"/>
      <c r="P53" s="236"/>
      <c r="Q53" s="236"/>
      <c r="R53" s="236"/>
      <c r="S53" s="236"/>
      <c r="T53" s="236"/>
      <c r="U53" s="236"/>
      <c r="V53" s="236"/>
      <c r="W53" s="236"/>
    </row>
    <row r="54" spans="1:23" s="262" customFormat="1" hidden="1">
      <c r="A54" s="236"/>
      <c r="B54" s="236"/>
      <c r="C54" s="236"/>
      <c r="D54" s="236"/>
      <c r="E54" s="236"/>
      <c r="F54" s="236"/>
      <c r="G54" s="236"/>
      <c r="H54" s="236"/>
      <c r="I54" s="236"/>
      <c r="J54" s="236"/>
      <c r="K54" s="236"/>
      <c r="L54" s="236"/>
      <c r="M54" s="236"/>
      <c r="N54" s="236"/>
      <c r="O54" s="236"/>
      <c r="P54" s="236"/>
      <c r="Q54" s="236"/>
      <c r="R54" s="236"/>
      <c r="S54" s="236"/>
      <c r="T54" s="236"/>
      <c r="U54" s="236"/>
      <c r="V54" s="236"/>
      <c r="W54" s="236"/>
    </row>
    <row r="55" spans="1:23" s="262" customFormat="1" hidden="1">
      <c r="A55" s="236"/>
      <c r="B55" s="236"/>
      <c r="C55" s="236"/>
      <c r="D55" s="236"/>
      <c r="E55" s="236"/>
      <c r="F55" s="236"/>
      <c r="G55" s="236"/>
      <c r="H55" s="236"/>
      <c r="I55" s="236"/>
      <c r="J55" s="236"/>
      <c r="K55" s="236"/>
      <c r="L55" s="236"/>
      <c r="M55" s="236"/>
      <c r="N55" s="236"/>
      <c r="O55" s="236"/>
      <c r="P55" s="236"/>
      <c r="Q55" s="236"/>
      <c r="R55" s="236"/>
      <c r="S55" s="236"/>
      <c r="T55" s="236"/>
      <c r="U55" s="236"/>
      <c r="V55" s="236"/>
      <c r="W55" s="236"/>
    </row>
    <row r="56" spans="1:23" s="262" customFormat="1" hidden="1">
      <c r="A56" s="236"/>
      <c r="B56" s="236"/>
      <c r="C56" s="236"/>
      <c r="D56" s="236"/>
      <c r="E56" s="236"/>
      <c r="F56" s="236"/>
      <c r="G56" s="236"/>
      <c r="H56" s="236"/>
      <c r="I56" s="236"/>
      <c r="J56" s="236"/>
      <c r="K56" s="236"/>
      <c r="L56" s="236"/>
      <c r="M56" s="236"/>
      <c r="N56" s="236"/>
      <c r="O56" s="236"/>
      <c r="P56" s="236"/>
      <c r="Q56" s="236"/>
      <c r="R56" s="236"/>
      <c r="S56" s="236"/>
      <c r="T56" s="236"/>
      <c r="U56" s="236"/>
      <c r="V56" s="236"/>
      <c r="W56" s="236"/>
    </row>
    <row r="57" spans="1:23" s="262" customFormat="1" hidden="1">
      <c r="A57" s="236"/>
      <c r="B57" s="236"/>
      <c r="C57" s="236"/>
      <c r="D57" s="236"/>
      <c r="E57" s="236"/>
      <c r="F57" s="236"/>
      <c r="G57" s="236"/>
      <c r="H57" s="236"/>
      <c r="I57" s="236"/>
      <c r="J57" s="236"/>
      <c r="K57" s="236"/>
      <c r="L57" s="236"/>
      <c r="M57" s="236"/>
      <c r="N57" s="236"/>
      <c r="O57" s="236"/>
      <c r="P57" s="236"/>
      <c r="Q57" s="236"/>
      <c r="R57" s="236"/>
      <c r="S57" s="236"/>
      <c r="T57" s="236"/>
      <c r="U57" s="236"/>
      <c r="V57" s="236"/>
      <c r="W57" s="236"/>
    </row>
    <row r="58" spans="1:23" s="262" customFormat="1" hidden="1">
      <c r="A58" s="236"/>
      <c r="B58" s="236"/>
      <c r="C58" s="236"/>
      <c r="D58" s="236"/>
      <c r="E58" s="236"/>
      <c r="F58" s="236"/>
      <c r="G58" s="236"/>
      <c r="H58" s="236"/>
      <c r="I58" s="236"/>
      <c r="J58" s="236"/>
      <c r="K58" s="236"/>
      <c r="L58" s="236"/>
      <c r="M58" s="236"/>
      <c r="N58" s="236"/>
      <c r="O58" s="236"/>
      <c r="P58" s="236"/>
      <c r="Q58" s="236"/>
      <c r="R58" s="236"/>
      <c r="S58" s="236"/>
      <c r="T58" s="236"/>
      <c r="U58" s="236"/>
      <c r="V58" s="236"/>
      <c r="W58" s="236"/>
    </row>
    <row r="59" spans="1:23" s="262" customFormat="1" hidden="1">
      <c r="A59" s="236"/>
      <c r="B59" s="236"/>
      <c r="C59" s="236"/>
      <c r="D59" s="236"/>
      <c r="E59" s="236"/>
      <c r="F59" s="236"/>
      <c r="G59" s="236"/>
      <c r="H59" s="236"/>
      <c r="I59" s="236"/>
      <c r="J59" s="236"/>
      <c r="K59" s="236"/>
      <c r="L59" s="236"/>
      <c r="M59" s="236"/>
      <c r="N59" s="236"/>
      <c r="O59" s="236"/>
      <c r="P59" s="236"/>
      <c r="Q59" s="236"/>
      <c r="R59" s="236"/>
      <c r="S59" s="236"/>
      <c r="T59" s="236"/>
      <c r="U59" s="236"/>
      <c r="V59" s="236"/>
      <c r="W59" s="236"/>
    </row>
    <row r="60" spans="1:23" s="262" customFormat="1" hidden="1">
      <c r="A60" s="236"/>
      <c r="B60" s="236"/>
      <c r="C60" s="236"/>
      <c r="D60" s="236"/>
      <c r="E60" s="236"/>
      <c r="F60" s="236"/>
      <c r="G60" s="236"/>
      <c r="H60" s="236"/>
      <c r="I60" s="236"/>
      <c r="J60" s="236"/>
      <c r="K60" s="236"/>
      <c r="L60" s="236"/>
      <c r="M60" s="236"/>
      <c r="N60" s="236"/>
      <c r="O60" s="236"/>
      <c r="P60" s="236"/>
      <c r="Q60" s="236"/>
      <c r="R60" s="236"/>
      <c r="S60" s="236"/>
      <c r="T60" s="236"/>
      <c r="U60" s="236"/>
      <c r="V60" s="236"/>
      <c r="W60" s="236"/>
    </row>
    <row r="61" spans="1:23" s="262" customFormat="1" hidden="1">
      <c r="A61" s="236"/>
      <c r="B61" s="236"/>
      <c r="C61" s="236"/>
      <c r="D61" s="236"/>
      <c r="E61" s="236"/>
      <c r="F61" s="236"/>
      <c r="G61" s="236"/>
      <c r="H61" s="236"/>
      <c r="I61" s="236"/>
      <c r="J61" s="236"/>
      <c r="K61" s="236"/>
      <c r="L61" s="236"/>
      <c r="M61" s="236"/>
      <c r="N61" s="236"/>
      <c r="O61" s="236"/>
      <c r="P61" s="236"/>
      <c r="Q61" s="236"/>
      <c r="R61" s="236"/>
      <c r="S61" s="236"/>
      <c r="T61" s="236"/>
      <c r="U61" s="236"/>
      <c r="V61" s="236"/>
      <c r="W61" s="236"/>
    </row>
    <row r="62" spans="1:23" s="262" customFormat="1" hidden="1">
      <c r="A62" s="236"/>
      <c r="B62" s="236"/>
      <c r="C62" s="236"/>
      <c r="D62" s="236"/>
      <c r="E62" s="236"/>
      <c r="F62" s="236"/>
      <c r="G62" s="236"/>
      <c r="H62" s="236"/>
      <c r="I62" s="236"/>
      <c r="J62" s="236"/>
      <c r="K62" s="236"/>
      <c r="L62" s="236"/>
      <c r="M62" s="236"/>
      <c r="N62" s="236"/>
      <c r="O62" s="236"/>
      <c r="P62" s="236"/>
      <c r="Q62" s="236"/>
      <c r="R62" s="236"/>
      <c r="S62" s="236"/>
      <c r="T62" s="236"/>
      <c r="U62" s="236"/>
      <c r="V62" s="236"/>
      <c r="W62" s="236"/>
    </row>
    <row r="63" spans="1:23" s="262" customFormat="1" hidden="1">
      <c r="A63" s="236"/>
      <c r="B63" s="236"/>
      <c r="C63" s="236"/>
      <c r="D63" s="236"/>
      <c r="E63" s="236"/>
      <c r="F63" s="236"/>
      <c r="G63" s="236"/>
      <c r="H63" s="236"/>
      <c r="I63" s="236"/>
      <c r="J63" s="236"/>
      <c r="K63" s="236"/>
      <c r="L63" s="236"/>
      <c r="M63" s="236"/>
      <c r="N63" s="236"/>
      <c r="O63" s="236"/>
      <c r="P63" s="236"/>
      <c r="Q63" s="236"/>
      <c r="R63" s="236"/>
      <c r="S63" s="236"/>
      <c r="T63" s="236"/>
      <c r="U63" s="236"/>
      <c r="V63" s="236"/>
      <c r="W63" s="236"/>
    </row>
    <row r="64" spans="1:23" s="262" customFormat="1" hidden="1">
      <c r="A64" s="236"/>
      <c r="B64" s="236"/>
      <c r="C64" s="236"/>
      <c r="D64" s="236"/>
      <c r="E64" s="236"/>
      <c r="F64" s="236"/>
      <c r="G64" s="236"/>
      <c r="H64" s="236"/>
      <c r="I64" s="236"/>
      <c r="J64" s="236"/>
      <c r="K64" s="236"/>
      <c r="L64" s="236"/>
      <c r="M64" s="236"/>
      <c r="N64" s="236"/>
      <c r="O64" s="236"/>
      <c r="P64" s="236"/>
      <c r="Q64" s="236"/>
      <c r="R64" s="236"/>
      <c r="S64" s="236"/>
      <c r="T64" s="236"/>
      <c r="U64" s="236"/>
      <c r="V64" s="236"/>
      <c r="W64" s="236"/>
    </row>
    <row r="65" spans="1:23" s="262" customFormat="1" hidden="1">
      <c r="A65" s="236"/>
      <c r="B65" s="236"/>
      <c r="C65" s="236"/>
      <c r="D65" s="236"/>
      <c r="E65" s="236"/>
      <c r="F65" s="236"/>
      <c r="G65" s="236"/>
      <c r="H65" s="236"/>
      <c r="I65" s="236"/>
      <c r="J65" s="236"/>
      <c r="K65" s="236"/>
      <c r="L65" s="236"/>
      <c r="M65" s="236"/>
      <c r="N65" s="236"/>
      <c r="O65" s="236"/>
      <c r="P65" s="236"/>
      <c r="Q65" s="236"/>
      <c r="R65" s="236"/>
      <c r="S65" s="236"/>
      <c r="T65" s="236"/>
      <c r="U65" s="236"/>
      <c r="V65" s="236"/>
      <c r="W65" s="236"/>
    </row>
    <row r="66" spans="1:23" s="262" customFormat="1" hidden="1">
      <c r="A66" s="236"/>
      <c r="B66" s="236"/>
      <c r="C66" s="236"/>
      <c r="D66" s="236"/>
      <c r="E66" s="236"/>
      <c r="F66" s="236"/>
      <c r="G66" s="236"/>
      <c r="H66" s="236"/>
      <c r="I66" s="236"/>
      <c r="J66" s="236"/>
      <c r="K66" s="236"/>
      <c r="L66" s="236"/>
      <c r="M66" s="236"/>
      <c r="N66" s="236"/>
      <c r="O66" s="236"/>
      <c r="P66" s="236"/>
      <c r="Q66" s="236"/>
      <c r="R66" s="236"/>
      <c r="S66" s="236"/>
      <c r="T66" s="236"/>
      <c r="U66" s="236"/>
      <c r="V66" s="236"/>
      <c r="W66" s="236"/>
    </row>
    <row r="67" spans="1:23" s="262" customFormat="1" hidden="1">
      <c r="A67" s="236"/>
      <c r="B67" s="236"/>
      <c r="C67" s="236"/>
      <c r="D67" s="236"/>
      <c r="E67" s="236"/>
      <c r="F67" s="236"/>
      <c r="G67" s="236"/>
      <c r="H67" s="236"/>
      <c r="I67" s="236"/>
      <c r="J67" s="236"/>
      <c r="K67" s="236"/>
      <c r="L67" s="236"/>
      <c r="M67" s="236"/>
      <c r="N67" s="236"/>
      <c r="O67" s="236"/>
      <c r="P67" s="236"/>
      <c r="Q67" s="236"/>
      <c r="R67" s="236"/>
      <c r="S67" s="236"/>
      <c r="T67" s="236"/>
      <c r="U67" s="236"/>
      <c r="V67" s="236"/>
      <c r="W67" s="236"/>
    </row>
    <row r="68" spans="1:23" s="262" customFormat="1" hidden="1">
      <c r="A68" s="236"/>
      <c r="B68" s="236"/>
      <c r="C68" s="236"/>
      <c r="D68" s="236"/>
      <c r="E68" s="236"/>
      <c r="F68" s="236"/>
      <c r="G68" s="236"/>
      <c r="H68" s="236"/>
      <c r="I68" s="236"/>
      <c r="J68" s="236"/>
      <c r="K68" s="236"/>
      <c r="L68" s="236"/>
      <c r="M68" s="236"/>
      <c r="N68" s="236"/>
      <c r="O68" s="236"/>
      <c r="P68" s="236"/>
      <c r="Q68" s="236"/>
      <c r="R68" s="236"/>
      <c r="S68" s="236"/>
      <c r="T68" s="236"/>
      <c r="U68" s="236"/>
      <c r="V68" s="236"/>
      <c r="W68" s="236"/>
    </row>
    <row r="69" spans="1:23" s="262" customFormat="1" hidden="1">
      <c r="A69" s="236"/>
      <c r="B69" s="236"/>
      <c r="C69" s="236"/>
      <c r="D69" s="236"/>
      <c r="E69" s="236"/>
      <c r="F69" s="236"/>
      <c r="G69" s="236"/>
      <c r="H69" s="236"/>
      <c r="I69" s="236"/>
      <c r="J69" s="236"/>
      <c r="K69" s="236"/>
      <c r="L69" s="236"/>
      <c r="M69" s="236"/>
      <c r="N69" s="236"/>
      <c r="O69" s="236"/>
      <c r="P69" s="236"/>
      <c r="Q69" s="236"/>
      <c r="R69" s="236"/>
      <c r="S69" s="236"/>
      <c r="T69" s="236"/>
      <c r="U69" s="236"/>
      <c r="V69" s="236"/>
      <c r="W69" s="236"/>
    </row>
    <row r="70" spans="1:23" s="262" customFormat="1" hidden="1">
      <c r="A70" s="236"/>
      <c r="B70" s="236"/>
      <c r="C70" s="236"/>
      <c r="D70" s="236"/>
      <c r="E70" s="236"/>
      <c r="F70" s="236"/>
      <c r="G70" s="236"/>
      <c r="H70" s="236"/>
      <c r="I70" s="236"/>
      <c r="J70" s="236"/>
      <c r="K70" s="236"/>
      <c r="L70" s="236"/>
      <c r="M70" s="236"/>
      <c r="N70" s="236"/>
      <c r="O70" s="236"/>
      <c r="P70" s="236"/>
      <c r="Q70" s="236"/>
      <c r="R70" s="236"/>
      <c r="S70" s="236"/>
      <c r="T70" s="236"/>
      <c r="U70" s="236"/>
      <c r="V70" s="236"/>
      <c r="W70" s="236"/>
    </row>
    <row r="71" spans="1:23" s="262" customFormat="1" hidden="1">
      <c r="A71" s="236"/>
      <c r="B71" s="236"/>
      <c r="C71" s="236"/>
      <c r="D71" s="236"/>
      <c r="E71" s="236"/>
      <c r="F71" s="236"/>
      <c r="G71" s="236"/>
      <c r="H71" s="236"/>
      <c r="I71" s="236"/>
      <c r="J71" s="236"/>
      <c r="K71" s="236"/>
      <c r="L71" s="236"/>
      <c r="M71" s="236"/>
      <c r="N71" s="236"/>
      <c r="O71" s="236"/>
      <c r="P71" s="236"/>
      <c r="Q71" s="236"/>
      <c r="R71" s="236"/>
      <c r="S71" s="236"/>
      <c r="T71" s="236"/>
      <c r="U71" s="236"/>
      <c r="V71" s="236"/>
      <c r="W71" s="236"/>
    </row>
    <row r="72" spans="1:23" s="262" customFormat="1" hidden="1">
      <c r="A72" s="236"/>
      <c r="B72" s="236"/>
      <c r="C72" s="236"/>
      <c r="D72" s="236"/>
      <c r="E72" s="236"/>
      <c r="F72" s="236"/>
      <c r="G72" s="236"/>
      <c r="H72" s="236"/>
      <c r="I72" s="236"/>
      <c r="J72" s="236"/>
      <c r="K72" s="236"/>
      <c r="L72" s="236"/>
      <c r="M72" s="236"/>
      <c r="N72" s="236"/>
      <c r="O72" s="236"/>
      <c r="P72" s="236"/>
      <c r="Q72" s="236"/>
      <c r="R72" s="236"/>
      <c r="S72" s="236"/>
      <c r="T72" s="236"/>
      <c r="U72" s="236"/>
      <c r="V72" s="236"/>
      <c r="W72" s="236"/>
    </row>
    <row r="73" spans="1:23" s="262" customFormat="1" hidden="1">
      <c r="A73" s="236"/>
      <c r="B73" s="236"/>
      <c r="C73" s="236"/>
      <c r="D73" s="236"/>
      <c r="E73" s="236"/>
      <c r="F73" s="236"/>
      <c r="G73" s="236"/>
      <c r="H73" s="236"/>
      <c r="I73" s="236"/>
      <c r="J73" s="236"/>
      <c r="K73" s="236"/>
      <c r="L73" s="236"/>
      <c r="M73" s="236"/>
      <c r="N73" s="236"/>
      <c r="O73" s="236"/>
      <c r="P73" s="236"/>
      <c r="Q73" s="236"/>
      <c r="R73" s="236"/>
      <c r="S73" s="236"/>
      <c r="T73" s="236"/>
      <c r="U73" s="236"/>
      <c r="V73" s="236"/>
      <c r="W73" s="236"/>
    </row>
    <row r="74" spans="1:23" s="262" customFormat="1" hidden="1">
      <c r="A74" s="236"/>
      <c r="B74" s="236"/>
      <c r="C74" s="236"/>
      <c r="D74" s="236"/>
      <c r="E74" s="236"/>
      <c r="F74" s="236"/>
      <c r="G74" s="236"/>
      <c r="H74" s="236"/>
      <c r="I74" s="236"/>
      <c r="J74" s="236"/>
      <c r="K74" s="236"/>
      <c r="L74" s="236"/>
      <c r="M74" s="236"/>
      <c r="N74" s="236"/>
      <c r="O74" s="236"/>
      <c r="P74" s="236"/>
      <c r="Q74" s="236"/>
      <c r="R74" s="236"/>
      <c r="S74" s="236"/>
      <c r="T74" s="236"/>
      <c r="U74" s="236"/>
      <c r="V74" s="236"/>
      <c r="W74" s="236"/>
    </row>
    <row r="75" spans="1:23" s="262" customFormat="1" hidden="1">
      <c r="A75" s="236"/>
      <c r="B75" s="236"/>
      <c r="C75" s="236"/>
      <c r="D75" s="236"/>
      <c r="E75" s="236"/>
      <c r="F75" s="236"/>
      <c r="G75" s="236"/>
      <c r="H75" s="236"/>
      <c r="I75" s="236"/>
      <c r="J75" s="236"/>
      <c r="K75" s="236"/>
      <c r="L75" s="236"/>
      <c r="M75" s="236"/>
      <c r="N75" s="236"/>
      <c r="O75" s="236"/>
      <c r="P75" s="236"/>
      <c r="Q75" s="236"/>
      <c r="R75" s="236"/>
      <c r="S75" s="236"/>
      <c r="T75" s="236"/>
      <c r="U75" s="236"/>
      <c r="V75" s="236"/>
      <c r="W75" s="236"/>
    </row>
    <row r="76" spans="1:23" s="262" customFormat="1" hidden="1">
      <c r="A76" s="236"/>
      <c r="B76" s="236"/>
      <c r="C76" s="236"/>
      <c r="D76" s="236"/>
      <c r="E76" s="236"/>
      <c r="F76" s="236"/>
      <c r="G76" s="236"/>
      <c r="H76" s="236"/>
      <c r="I76" s="236"/>
      <c r="J76" s="236"/>
      <c r="K76" s="236"/>
      <c r="L76" s="236"/>
      <c r="M76" s="236"/>
      <c r="N76" s="236"/>
      <c r="O76" s="236"/>
      <c r="P76" s="236"/>
      <c r="Q76" s="236"/>
      <c r="R76" s="236"/>
      <c r="S76" s="236"/>
      <c r="T76" s="236"/>
      <c r="U76" s="236"/>
      <c r="V76" s="236"/>
      <c r="W76" s="236"/>
    </row>
    <row r="77" spans="1:23" s="262" customFormat="1" hidden="1">
      <c r="A77" s="236"/>
      <c r="B77" s="236"/>
      <c r="C77" s="236"/>
      <c r="D77" s="236"/>
      <c r="E77" s="236"/>
      <c r="F77" s="236"/>
      <c r="G77" s="236"/>
      <c r="H77" s="236"/>
      <c r="I77" s="236"/>
      <c r="J77" s="236"/>
      <c r="K77" s="236"/>
      <c r="L77" s="236"/>
      <c r="M77" s="236"/>
      <c r="N77" s="236"/>
      <c r="O77" s="236"/>
      <c r="P77" s="236"/>
      <c r="Q77" s="236"/>
      <c r="R77" s="236"/>
      <c r="S77" s="236"/>
      <c r="T77" s="236"/>
      <c r="U77" s="236"/>
      <c r="V77" s="236"/>
      <c r="W77" s="236"/>
    </row>
    <row r="78" spans="1:23" s="262" customFormat="1" hidden="1">
      <c r="A78" s="236"/>
      <c r="B78" s="236"/>
      <c r="C78" s="236"/>
      <c r="D78" s="236"/>
      <c r="E78" s="236"/>
      <c r="F78" s="236"/>
      <c r="G78" s="236"/>
      <c r="H78" s="236"/>
      <c r="I78" s="236"/>
      <c r="J78" s="236"/>
      <c r="K78" s="236"/>
      <c r="L78" s="236"/>
      <c r="M78" s="236"/>
      <c r="N78" s="236"/>
      <c r="O78" s="236"/>
      <c r="P78" s="236"/>
      <c r="Q78" s="236"/>
      <c r="R78" s="236"/>
      <c r="S78" s="236"/>
      <c r="T78" s="236"/>
      <c r="U78" s="236"/>
      <c r="V78" s="236"/>
      <c r="W78" s="236"/>
    </row>
    <row r="79" spans="1:23" s="262" customFormat="1" hidden="1">
      <c r="A79" s="236"/>
      <c r="B79" s="236"/>
      <c r="C79" s="236"/>
      <c r="D79" s="236"/>
      <c r="E79" s="236"/>
      <c r="F79" s="236"/>
      <c r="G79" s="236"/>
      <c r="H79" s="236"/>
      <c r="I79" s="236"/>
      <c r="J79" s="236"/>
      <c r="K79" s="236"/>
      <c r="L79" s="236"/>
      <c r="M79" s="236"/>
      <c r="N79" s="236"/>
      <c r="O79" s="236"/>
      <c r="P79" s="236"/>
      <c r="Q79" s="236"/>
      <c r="R79" s="236"/>
      <c r="S79" s="236"/>
      <c r="T79" s="236"/>
      <c r="U79" s="236"/>
      <c r="V79" s="236"/>
      <c r="W79" s="236"/>
    </row>
    <row r="80" spans="1:23" s="262" customFormat="1" hidden="1">
      <c r="A80" s="236"/>
      <c r="B80" s="236"/>
      <c r="C80" s="236"/>
      <c r="D80" s="236"/>
      <c r="E80" s="236"/>
      <c r="F80" s="236"/>
      <c r="G80" s="236"/>
      <c r="H80" s="236"/>
      <c r="I80" s="236"/>
      <c r="J80" s="236"/>
      <c r="K80" s="236"/>
      <c r="L80" s="236"/>
      <c r="M80" s="236"/>
      <c r="N80" s="236"/>
      <c r="O80" s="236"/>
      <c r="P80" s="236"/>
      <c r="Q80" s="236"/>
      <c r="R80" s="236"/>
      <c r="S80" s="236"/>
      <c r="T80" s="236"/>
      <c r="U80" s="236"/>
      <c r="V80" s="236"/>
      <c r="W80" s="236"/>
    </row>
    <row r="81" spans="1:23" s="262" customFormat="1" hidden="1">
      <c r="A81" s="236"/>
      <c r="B81" s="236"/>
      <c r="C81" s="236"/>
      <c r="D81" s="236"/>
      <c r="E81" s="236"/>
      <c r="F81" s="236"/>
      <c r="G81" s="236"/>
      <c r="H81" s="236"/>
      <c r="I81" s="236"/>
      <c r="J81" s="236"/>
      <c r="K81" s="236"/>
      <c r="L81" s="236"/>
      <c r="M81" s="236"/>
      <c r="N81" s="236"/>
      <c r="O81" s="236"/>
      <c r="P81" s="236"/>
      <c r="Q81" s="236"/>
      <c r="R81" s="236"/>
      <c r="S81" s="236"/>
      <c r="T81" s="236"/>
      <c r="U81" s="236"/>
      <c r="V81" s="236"/>
      <c r="W81" s="236"/>
    </row>
    <row r="82" spans="1:23" s="262" customFormat="1" hidden="1">
      <c r="A82" s="236"/>
      <c r="B82" s="236"/>
      <c r="C82" s="236"/>
      <c r="D82" s="236"/>
      <c r="E82" s="236"/>
      <c r="F82" s="236"/>
      <c r="G82" s="236"/>
      <c r="H82" s="236"/>
      <c r="I82" s="236"/>
      <c r="J82" s="236"/>
      <c r="K82" s="236"/>
      <c r="L82" s="236"/>
      <c r="M82" s="236"/>
      <c r="N82" s="236"/>
      <c r="O82" s="236"/>
      <c r="P82" s="236"/>
      <c r="Q82" s="236"/>
      <c r="R82" s="236"/>
      <c r="S82" s="236"/>
      <c r="T82" s="236"/>
      <c r="U82" s="236"/>
      <c r="V82" s="236"/>
      <c r="W82" s="236"/>
    </row>
    <row r="83" spans="1:23" s="262" customFormat="1" hidden="1">
      <c r="A83" s="236"/>
      <c r="B83" s="236"/>
      <c r="C83" s="236"/>
      <c r="D83" s="236"/>
      <c r="E83" s="236"/>
      <c r="F83" s="236"/>
      <c r="G83" s="236"/>
      <c r="H83" s="236"/>
      <c r="I83" s="236"/>
      <c r="J83" s="236"/>
      <c r="K83" s="236"/>
      <c r="L83" s="236"/>
      <c r="M83" s="236"/>
      <c r="N83" s="236"/>
      <c r="O83" s="236"/>
      <c r="P83" s="236"/>
      <c r="Q83" s="236"/>
      <c r="R83" s="236"/>
      <c r="S83" s="236"/>
      <c r="T83" s="236"/>
      <c r="U83" s="236"/>
      <c r="V83" s="236"/>
      <c r="W83" s="236"/>
    </row>
    <row r="84" spans="1:23" s="262" customFormat="1" hidden="1">
      <c r="A84" s="236"/>
      <c r="B84" s="236"/>
      <c r="C84" s="236"/>
      <c r="D84" s="236"/>
      <c r="E84" s="236"/>
      <c r="F84" s="236"/>
      <c r="G84" s="236"/>
      <c r="H84" s="236"/>
      <c r="I84" s="236"/>
      <c r="J84" s="236"/>
      <c r="K84" s="236"/>
      <c r="L84" s="236"/>
      <c r="M84" s="236"/>
      <c r="N84" s="236"/>
      <c r="O84" s="236"/>
      <c r="P84" s="236"/>
      <c r="Q84" s="236"/>
      <c r="R84" s="236"/>
      <c r="S84" s="236"/>
      <c r="T84" s="236"/>
      <c r="U84" s="236"/>
      <c r="V84" s="236"/>
      <c r="W84" s="236"/>
    </row>
    <row r="85" spans="1:23" s="262" customFormat="1" hidden="1">
      <c r="A85" s="236"/>
      <c r="B85" s="236"/>
      <c r="C85" s="236"/>
      <c r="D85" s="236"/>
      <c r="E85" s="236"/>
      <c r="F85" s="236"/>
      <c r="G85" s="236"/>
      <c r="H85" s="236"/>
      <c r="I85" s="236"/>
      <c r="J85" s="236"/>
      <c r="K85" s="236"/>
      <c r="L85" s="236"/>
      <c r="M85" s="236"/>
      <c r="N85" s="236"/>
      <c r="O85" s="236"/>
      <c r="P85" s="236"/>
      <c r="Q85" s="236"/>
      <c r="R85" s="236"/>
      <c r="S85" s="236"/>
      <c r="T85" s="236"/>
      <c r="U85" s="236"/>
      <c r="V85" s="236"/>
      <c r="W85" s="236"/>
    </row>
    <row r="86" spans="1:23" s="262" customFormat="1" hidden="1">
      <c r="A86" s="236"/>
      <c r="B86" s="236"/>
      <c r="C86" s="236"/>
      <c r="D86" s="236"/>
      <c r="E86" s="236"/>
      <c r="F86" s="236"/>
      <c r="G86" s="236"/>
      <c r="H86" s="236"/>
      <c r="I86" s="236"/>
      <c r="J86" s="236"/>
      <c r="K86" s="236"/>
      <c r="L86" s="236"/>
      <c r="M86" s="236"/>
      <c r="N86" s="236"/>
      <c r="O86" s="236"/>
      <c r="P86" s="236"/>
      <c r="Q86" s="236"/>
      <c r="R86" s="236"/>
      <c r="S86" s="236"/>
      <c r="T86" s="236"/>
      <c r="U86" s="236"/>
      <c r="V86" s="236"/>
      <c r="W86" s="236"/>
    </row>
    <row r="87" spans="1:23" s="262" customFormat="1" hidden="1">
      <c r="A87" s="236"/>
      <c r="B87" s="236"/>
      <c r="C87" s="236"/>
      <c r="D87" s="236"/>
      <c r="E87" s="236"/>
      <c r="F87" s="236"/>
      <c r="G87" s="236"/>
      <c r="H87" s="236"/>
      <c r="I87" s="236"/>
      <c r="J87" s="236"/>
      <c r="K87" s="236"/>
      <c r="L87" s="236"/>
      <c r="M87" s="236"/>
      <c r="N87" s="236"/>
      <c r="O87" s="236"/>
      <c r="P87" s="236"/>
      <c r="Q87" s="236"/>
      <c r="R87" s="236"/>
      <c r="S87" s="236"/>
      <c r="T87" s="236"/>
      <c r="U87" s="236"/>
      <c r="V87" s="236"/>
      <c r="W87" s="236"/>
    </row>
    <row r="88" spans="1:23" s="262" customFormat="1" hidden="1">
      <c r="A88" s="236"/>
      <c r="B88" s="236"/>
      <c r="C88" s="236"/>
      <c r="D88" s="236"/>
      <c r="E88" s="236"/>
      <c r="F88" s="236"/>
      <c r="G88" s="236"/>
      <c r="H88" s="236"/>
      <c r="I88" s="236"/>
      <c r="J88" s="236"/>
      <c r="K88" s="236"/>
      <c r="L88" s="236"/>
      <c r="M88" s="236"/>
      <c r="N88" s="236"/>
      <c r="O88" s="236"/>
      <c r="P88" s="236"/>
      <c r="Q88" s="236"/>
      <c r="R88" s="236"/>
      <c r="S88" s="236"/>
      <c r="T88" s="236"/>
      <c r="U88" s="236"/>
      <c r="V88" s="236"/>
      <c r="W88" s="236"/>
    </row>
    <row r="89" spans="1:23" s="262" customFormat="1" hidden="1">
      <c r="A89" s="236"/>
      <c r="B89" s="236"/>
      <c r="C89" s="236"/>
      <c r="D89" s="236"/>
      <c r="E89" s="236"/>
      <c r="F89" s="236"/>
      <c r="G89" s="236"/>
      <c r="H89" s="236"/>
      <c r="I89" s="236"/>
      <c r="J89" s="236"/>
      <c r="K89" s="236"/>
      <c r="L89" s="236"/>
      <c r="M89" s="236"/>
      <c r="N89" s="236"/>
      <c r="O89" s="236"/>
      <c r="P89" s="236"/>
      <c r="Q89" s="236"/>
      <c r="R89" s="236"/>
      <c r="S89" s="236"/>
      <c r="T89" s="236"/>
      <c r="U89" s="236"/>
      <c r="V89" s="236"/>
      <c r="W89" s="236"/>
    </row>
    <row r="90" spans="1:23" s="262" customFormat="1" hidden="1">
      <c r="A90" s="236"/>
      <c r="B90" s="236"/>
      <c r="C90" s="236"/>
      <c r="D90" s="236"/>
      <c r="E90" s="236"/>
      <c r="F90" s="236"/>
      <c r="G90" s="236"/>
      <c r="H90" s="236"/>
      <c r="I90" s="236"/>
      <c r="J90" s="236"/>
      <c r="K90" s="236"/>
      <c r="L90" s="236"/>
      <c r="M90" s="236"/>
      <c r="N90" s="236"/>
      <c r="O90" s="236"/>
      <c r="P90" s="236"/>
      <c r="Q90" s="236"/>
      <c r="R90" s="236"/>
      <c r="S90" s="236"/>
      <c r="T90" s="236"/>
      <c r="U90" s="236"/>
      <c r="V90" s="236"/>
      <c r="W90" s="236"/>
    </row>
    <row r="91" spans="1:23" s="262" customFormat="1" hidden="1">
      <c r="A91" s="236"/>
      <c r="B91" s="236"/>
      <c r="C91" s="236"/>
      <c r="D91" s="236"/>
      <c r="E91" s="236"/>
      <c r="F91" s="236"/>
      <c r="G91" s="236"/>
      <c r="H91" s="236"/>
      <c r="I91" s="236"/>
      <c r="J91" s="236"/>
      <c r="K91" s="236"/>
      <c r="L91" s="236"/>
      <c r="M91" s="236"/>
      <c r="N91" s="236"/>
      <c r="O91" s="236"/>
      <c r="P91" s="236"/>
      <c r="Q91" s="236"/>
      <c r="R91" s="236"/>
      <c r="S91" s="236"/>
      <c r="T91" s="236"/>
      <c r="U91" s="236"/>
      <c r="V91" s="236"/>
      <c r="W91" s="236"/>
    </row>
    <row r="92" spans="1:23" s="262" customFormat="1" hidden="1">
      <c r="A92" s="236"/>
      <c r="B92" s="236"/>
      <c r="C92" s="236"/>
      <c r="D92" s="236"/>
      <c r="E92" s="236"/>
      <c r="F92" s="236"/>
      <c r="G92" s="236"/>
      <c r="H92" s="236"/>
      <c r="I92" s="236"/>
      <c r="J92" s="236"/>
      <c r="K92" s="236"/>
      <c r="L92" s="236"/>
      <c r="M92" s="236"/>
      <c r="N92" s="236"/>
      <c r="O92" s="236"/>
      <c r="P92" s="236"/>
      <c r="Q92" s="236"/>
      <c r="R92" s="236"/>
      <c r="S92" s="236"/>
      <c r="T92" s="236"/>
      <c r="U92" s="236"/>
      <c r="V92" s="236"/>
      <c r="W92" s="236"/>
    </row>
    <row r="93" spans="1:23" s="262" customFormat="1" hidden="1">
      <c r="A93" s="236"/>
      <c r="B93" s="236"/>
      <c r="C93" s="236"/>
      <c r="D93" s="236"/>
      <c r="E93" s="236"/>
      <c r="F93" s="236"/>
      <c r="G93" s="236"/>
      <c r="H93" s="236"/>
      <c r="I93" s="236"/>
      <c r="J93" s="236"/>
      <c r="K93" s="236"/>
      <c r="L93" s="236"/>
      <c r="M93" s="236"/>
      <c r="N93" s="236"/>
      <c r="O93" s="236"/>
      <c r="P93" s="236"/>
      <c r="Q93" s="236"/>
      <c r="R93" s="236"/>
      <c r="S93" s="236"/>
      <c r="T93" s="236"/>
      <c r="U93" s="236"/>
      <c r="V93" s="236"/>
      <c r="W93" s="236"/>
    </row>
    <row r="94" spans="1:23" s="262" customFormat="1" hidden="1">
      <c r="A94" s="236"/>
      <c r="B94" s="236"/>
      <c r="C94" s="236"/>
      <c r="D94" s="236"/>
      <c r="E94" s="236"/>
      <c r="F94" s="236"/>
      <c r="G94" s="236"/>
      <c r="H94" s="236"/>
      <c r="I94" s="236"/>
      <c r="J94" s="236"/>
      <c r="K94" s="236"/>
      <c r="L94" s="236"/>
      <c r="M94" s="236"/>
      <c r="N94" s="236"/>
      <c r="O94" s="236"/>
      <c r="P94" s="236"/>
      <c r="Q94" s="236"/>
      <c r="R94" s="236"/>
      <c r="S94" s="236"/>
      <c r="T94" s="236"/>
      <c r="U94" s="236"/>
      <c r="V94" s="236"/>
      <c r="W94" s="236"/>
    </row>
    <row r="95" spans="1:23" s="262" customFormat="1" hidden="1">
      <c r="A95" s="236"/>
      <c r="B95" s="236"/>
      <c r="C95" s="236"/>
      <c r="D95" s="236"/>
      <c r="E95" s="236"/>
      <c r="F95" s="236"/>
      <c r="G95" s="236"/>
      <c r="H95" s="236"/>
      <c r="I95" s="236"/>
      <c r="J95" s="236"/>
      <c r="K95" s="236"/>
      <c r="L95" s="236"/>
      <c r="M95" s="236"/>
      <c r="N95" s="236"/>
      <c r="O95" s="236"/>
      <c r="P95" s="236"/>
      <c r="Q95" s="236"/>
      <c r="R95" s="236"/>
      <c r="S95" s="236"/>
      <c r="T95" s="236"/>
      <c r="U95" s="236"/>
      <c r="V95" s="236"/>
      <c r="W95" s="236"/>
    </row>
    <row r="96" spans="1:23" s="262" customFormat="1" hidden="1">
      <c r="A96" s="236"/>
      <c r="B96" s="236"/>
      <c r="C96" s="236"/>
      <c r="D96" s="236"/>
      <c r="E96" s="236"/>
      <c r="F96" s="236"/>
      <c r="G96" s="236"/>
      <c r="H96" s="236"/>
      <c r="I96" s="236"/>
      <c r="J96" s="236"/>
      <c r="K96" s="236"/>
      <c r="L96" s="236"/>
      <c r="M96" s="236"/>
      <c r="N96" s="236"/>
      <c r="O96" s="236"/>
      <c r="P96" s="236"/>
      <c r="Q96" s="236"/>
      <c r="R96" s="236"/>
      <c r="S96" s="236"/>
      <c r="T96" s="236"/>
      <c r="U96" s="236"/>
      <c r="V96" s="236"/>
      <c r="W96" s="236"/>
    </row>
    <row r="97" spans="1:23" s="262" customFormat="1" hidden="1">
      <c r="A97" s="236"/>
      <c r="B97" s="236"/>
      <c r="C97" s="236"/>
      <c r="D97" s="236"/>
      <c r="E97" s="236"/>
      <c r="F97" s="236"/>
      <c r="G97" s="236"/>
      <c r="H97" s="236"/>
      <c r="I97" s="236"/>
      <c r="J97" s="236"/>
      <c r="K97" s="236"/>
      <c r="L97" s="236"/>
      <c r="M97" s="236"/>
      <c r="N97" s="236"/>
      <c r="O97" s="236"/>
      <c r="P97" s="236"/>
      <c r="Q97" s="236"/>
      <c r="R97" s="236"/>
      <c r="S97" s="236"/>
      <c r="T97" s="236"/>
      <c r="U97" s="236"/>
      <c r="V97" s="236"/>
      <c r="W97" s="236"/>
    </row>
    <row r="98" spans="1:23" s="262" customFormat="1" hidden="1">
      <c r="A98" s="236"/>
      <c r="B98" s="236"/>
      <c r="C98" s="236"/>
      <c r="D98" s="236"/>
      <c r="E98" s="236"/>
      <c r="F98" s="236"/>
      <c r="G98" s="236"/>
      <c r="H98" s="236"/>
      <c r="I98" s="236"/>
      <c r="J98" s="236"/>
      <c r="K98" s="236"/>
      <c r="L98" s="236"/>
      <c r="M98" s="236"/>
      <c r="N98" s="236"/>
      <c r="O98" s="236"/>
      <c r="P98" s="236"/>
      <c r="Q98" s="236"/>
      <c r="R98" s="236"/>
      <c r="S98" s="236"/>
      <c r="T98" s="236"/>
      <c r="U98" s="236"/>
      <c r="V98" s="236"/>
      <c r="W98" s="236"/>
    </row>
    <row r="99" spans="1:23" s="262" customFormat="1" hidden="1">
      <c r="A99" s="236"/>
      <c r="B99" s="236"/>
      <c r="C99" s="236"/>
      <c r="D99" s="236"/>
      <c r="E99" s="236"/>
      <c r="F99" s="236"/>
      <c r="G99" s="236"/>
      <c r="H99" s="236"/>
      <c r="I99" s="236"/>
      <c r="J99" s="236"/>
      <c r="K99" s="236"/>
      <c r="L99" s="236"/>
      <c r="M99" s="236"/>
      <c r="N99" s="236"/>
      <c r="O99" s="236"/>
      <c r="P99" s="236"/>
      <c r="Q99" s="236"/>
      <c r="R99" s="236"/>
      <c r="S99" s="236"/>
      <c r="T99" s="236"/>
      <c r="U99" s="236"/>
      <c r="V99" s="236"/>
      <c r="W99" s="236"/>
    </row>
    <row r="100" spans="1:23" s="262" customFormat="1" hidden="1">
      <c r="A100" s="236"/>
      <c r="B100" s="236"/>
      <c r="C100" s="236"/>
      <c r="D100" s="236"/>
      <c r="E100" s="236"/>
      <c r="F100" s="236"/>
      <c r="G100" s="236"/>
      <c r="H100" s="236"/>
      <c r="I100" s="236"/>
      <c r="J100" s="236"/>
      <c r="K100" s="236"/>
      <c r="L100" s="236"/>
      <c r="M100" s="236"/>
      <c r="N100" s="236"/>
      <c r="O100" s="236"/>
      <c r="P100" s="236"/>
      <c r="Q100" s="236"/>
      <c r="R100" s="236"/>
      <c r="S100" s="236"/>
      <c r="T100" s="236"/>
      <c r="U100" s="236"/>
      <c r="V100" s="236"/>
      <c r="W100" s="236"/>
    </row>
    <row r="101" spans="1:23" s="262" customFormat="1" hidden="1">
      <c r="A101" s="236"/>
      <c r="B101" s="236"/>
      <c r="C101" s="236"/>
      <c r="D101" s="236"/>
      <c r="E101" s="236"/>
      <c r="F101" s="236"/>
      <c r="G101" s="236"/>
      <c r="H101" s="236"/>
      <c r="I101" s="236"/>
      <c r="J101" s="236"/>
      <c r="K101" s="236"/>
      <c r="L101" s="236"/>
      <c r="M101" s="236"/>
      <c r="N101" s="236"/>
      <c r="O101" s="236"/>
      <c r="P101" s="236"/>
      <c r="Q101" s="236"/>
      <c r="R101" s="236"/>
      <c r="S101" s="236"/>
      <c r="T101" s="236"/>
      <c r="U101" s="236"/>
      <c r="V101" s="236"/>
      <c r="W101" s="236"/>
    </row>
    <row r="102" spans="1:23" s="262" customFormat="1" hidden="1">
      <c r="A102" s="236"/>
      <c r="B102" s="236"/>
      <c r="C102" s="236"/>
      <c r="D102" s="236"/>
      <c r="E102" s="236"/>
      <c r="F102" s="236"/>
      <c r="G102" s="236"/>
      <c r="H102" s="236"/>
      <c r="I102" s="236"/>
      <c r="J102" s="236"/>
      <c r="K102" s="236"/>
      <c r="L102" s="236"/>
      <c r="M102" s="236"/>
      <c r="N102" s="236"/>
      <c r="O102" s="236"/>
      <c r="P102" s="236"/>
      <c r="Q102" s="236"/>
      <c r="R102" s="236"/>
      <c r="S102" s="236"/>
      <c r="T102" s="236"/>
      <c r="U102" s="236"/>
      <c r="V102" s="236"/>
      <c r="W102" s="236"/>
    </row>
    <row r="103" spans="1:23" s="262" customFormat="1" hidden="1">
      <c r="A103" s="236"/>
      <c r="B103" s="236"/>
      <c r="C103" s="236"/>
      <c r="D103" s="236"/>
      <c r="E103" s="236"/>
      <c r="F103" s="236"/>
      <c r="G103" s="236"/>
      <c r="H103" s="236"/>
      <c r="I103" s="236"/>
      <c r="J103" s="236"/>
      <c r="K103" s="236"/>
      <c r="L103" s="236"/>
      <c r="M103" s="236"/>
      <c r="N103" s="236"/>
      <c r="O103" s="236"/>
      <c r="P103" s="236"/>
      <c r="Q103" s="236"/>
      <c r="R103" s="236"/>
      <c r="S103" s="236"/>
      <c r="T103" s="236"/>
      <c r="U103" s="236"/>
      <c r="V103" s="236"/>
      <c r="W103" s="236"/>
    </row>
    <row r="104" spans="1:23" s="262" customFormat="1" hidden="1">
      <c r="A104" s="236"/>
      <c r="B104" s="236"/>
      <c r="C104" s="236"/>
      <c r="D104" s="236"/>
      <c r="E104" s="236"/>
      <c r="F104" s="236"/>
      <c r="G104" s="236"/>
      <c r="H104" s="236"/>
      <c r="I104" s="236"/>
      <c r="J104" s="236"/>
      <c r="K104" s="236"/>
      <c r="L104" s="236"/>
      <c r="M104" s="236"/>
      <c r="N104" s="236"/>
      <c r="O104" s="236"/>
      <c r="P104" s="236"/>
      <c r="Q104" s="236"/>
      <c r="R104" s="236"/>
      <c r="S104" s="236"/>
      <c r="T104" s="236"/>
      <c r="U104" s="236"/>
      <c r="V104" s="236"/>
      <c r="W104" s="236"/>
    </row>
    <row r="105" spans="1:23" s="262" customFormat="1" hidden="1">
      <c r="A105" s="236"/>
      <c r="B105" s="236"/>
      <c r="C105" s="236"/>
      <c r="D105" s="236"/>
      <c r="E105" s="236"/>
      <c r="F105" s="236"/>
      <c r="G105" s="236"/>
      <c r="H105" s="236"/>
      <c r="I105" s="236"/>
      <c r="J105" s="236"/>
      <c r="K105" s="236"/>
      <c r="L105" s="236"/>
      <c r="M105" s="236"/>
      <c r="N105" s="236"/>
      <c r="O105" s="236"/>
      <c r="P105" s="236"/>
      <c r="Q105" s="236"/>
      <c r="R105" s="236"/>
      <c r="S105" s="236"/>
      <c r="T105" s="236"/>
      <c r="U105" s="236"/>
      <c r="V105" s="236"/>
      <c r="W105" s="236"/>
    </row>
    <row r="106" spans="1:23" s="262" customFormat="1" hidden="1">
      <c r="A106" s="236"/>
      <c r="B106" s="236"/>
      <c r="C106" s="236"/>
      <c r="D106" s="236"/>
      <c r="E106" s="236"/>
      <c r="F106" s="236"/>
      <c r="G106" s="236"/>
      <c r="H106" s="236"/>
      <c r="I106" s="236"/>
      <c r="J106" s="236"/>
      <c r="K106" s="236"/>
      <c r="L106" s="236"/>
      <c r="M106" s="236"/>
      <c r="N106" s="236"/>
      <c r="O106" s="236"/>
      <c r="P106" s="236"/>
      <c r="Q106" s="236"/>
      <c r="R106" s="236"/>
      <c r="S106" s="236"/>
      <c r="T106" s="236"/>
      <c r="U106" s="236"/>
      <c r="V106" s="236"/>
      <c r="W106" s="236"/>
    </row>
    <row r="107" spans="1:23" s="262" customFormat="1" hidden="1">
      <c r="A107" s="236"/>
      <c r="B107" s="236"/>
      <c r="C107" s="236"/>
      <c r="D107" s="236"/>
      <c r="E107" s="236"/>
      <c r="F107" s="236"/>
      <c r="G107" s="236"/>
      <c r="H107" s="236"/>
      <c r="I107" s="236"/>
      <c r="J107" s="236"/>
      <c r="K107" s="236"/>
      <c r="L107" s="236"/>
      <c r="M107" s="236"/>
      <c r="N107" s="236"/>
      <c r="O107" s="236"/>
      <c r="P107" s="236"/>
      <c r="Q107" s="236"/>
      <c r="R107" s="236"/>
      <c r="S107" s="236"/>
      <c r="T107" s="236"/>
      <c r="U107" s="236"/>
      <c r="V107" s="236"/>
      <c r="W107" s="236"/>
    </row>
    <row r="108" spans="1:23" s="262" customFormat="1" hidden="1">
      <c r="A108" s="236"/>
      <c r="B108" s="236"/>
      <c r="C108" s="236"/>
      <c r="D108" s="236"/>
      <c r="E108" s="236"/>
      <c r="F108" s="236"/>
      <c r="G108" s="236"/>
      <c r="H108" s="236"/>
      <c r="I108" s="236"/>
      <c r="J108" s="236"/>
      <c r="K108" s="236"/>
      <c r="L108" s="236"/>
      <c r="M108" s="236"/>
      <c r="N108" s="236"/>
      <c r="O108" s="236"/>
      <c r="P108" s="236"/>
      <c r="Q108" s="236"/>
      <c r="R108" s="236"/>
      <c r="S108" s="236"/>
      <c r="T108" s="236"/>
      <c r="U108" s="236"/>
      <c r="V108" s="236"/>
      <c r="W108" s="236"/>
    </row>
    <row r="109" spans="1:23" s="262" customFormat="1" hidden="1">
      <c r="A109" s="236"/>
      <c r="B109" s="236"/>
      <c r="C109" s="236"/>
      <c r="D109" s="236"/>
      <c r="E109" s="236"/>
      <c r="F109" s="236"/>
      <c r="G109" s="236"/>
      <c r="H109" s="236"/>
      <c r="I109" s="236"/>
      <c r="J109" s="236"/>
      <c r="K109" s="236"/>
      <c r="L109" s="236"/>
      <c r="M109" s="236"/>
      <c r="N109" s="236"/>
      <c r="O109" s="236"/>
      <c r="P109" s="236"/>
      <c r="Q109" s="236"/>
      <c r="R109" s="236"/>
      <c r="S109" s="236"/>
      <c r="T109" s="236"/>
      <c r="U109" s="236"/>
      <c r="V109" s="236"/>
      <c r="W109" s="236"/>
    </row>
    <row r="110" spans="1:23" s="262" customFormat="1" hidden="1">
      <c r="A110" s="236"/>
      <c r="B110" s="236"/>
      <c r="C110" s="236"/>
      <c r="D110" s="236"/>
      <c r="E110" s="236"/>
      <c r="F110" s="236"/>
      <c r="G110" s="236"/>
      <c r="H110" s="236"/>
      <c r="I110" s="236"/>
      <c r="J110" s="236"/>
      <c r="K110" s="236"/>
      <c r="L110" s="236"/>
      <c r="M110" s="236"/>
      <c r="N110" s="236"/>
      <c r="O110" s="236"/>
      <c r="P110" s="236"/>
      <c r="Q110" s="236"/>
      <c r="R110" s="236"/>
      <c r="S110" s="236"/>
      <c r="T110" s="236"/>
      <c r="U110" s="236"/>
      <c r="V110" s="236"/>
      <c r="W110" s="236"/>
    </row>
    <row r="111" spans="1:23" s="262" customFormat="1" hidden="1">
      <c r="A111" s="236"/>
      <c r="B111" s="236"/>
      <c r="C111" s="236"/>
      <c r="D111" s="236"/>
      <c r="E111" s="236"/>
      <c r="F111" s="236"/>
      <c r="G111" s="236"/>
      <c r="H111" s="236"/>
      <c r="I111" s="236"/>
      <c r="J111" s="236"/>
      <c r="K111" s="236"/>
      <c r="L111" s="236"/>
      <c r="M111" s="236"/>
      <c r="N111" s="236"/>
      <c r="O111" s="236"/>
      <c r="P111" s="236"/>
      <c r="Q111" s="236"/>
      <c r="R111" s="236"/>
      <c r="S111" s="236"/>
      <c r="T111" s="236"/>
      <c r="U111" s="236"/>
      <c r="V111" s="236"/>
      <c r="W111" s="236"/>
    </row>
    <row r="112" spans="1:23" s="262" customFormat="1" hidden="1">
      <c r="A112" s="236"/>
      <c r="B112" s="236"/>
      <c r="C112" s="236"/>
      <c r="D112" s="236"/>
      <c r="E112" s="236"/>
      <c r="F112" s="236"/>
      <c r="G112" s="236"/>
      <c r="H112" s="236"/>
      <c r="I112" s="236"/>
      <c r="J112" s="236"/>
      <c r="K112" s="236"/>
      <c r="L112" s="236"/>
      <c r="M112" s="236"/>
      <c r="N112" s="236"/>
      <c r="O112" s="236"/>
      <c r="P112" s="236"/>
      <c r="Q112" s="236"/>
      <c r="R112" s="236"/>
      <c r="S112" s="236"/>
      <c r="T112" s="236"/>
      <c r="U112" s="236"/>
      <c r="V112" s="236"/>
      <c r="W112" s="236"/>
    </row>
    <row r="113" spans="1:23" s="262" customFormat="1" hidden="1">
      <c r="A113" s="236"/>
      <c r="B113" s="236"/>
      <c r="C113" s="236"/>
      <c r="D113" s="236"/>
      <c r="E113" s="236"/>
      <c r="F113" s="236"/>
      <c r="G113" s="236"/>
      <c r="H113" s="236"/>
      <c r="I113" s="236"/>
      <c r="J113" s="236"/>
      <c r="K113" s="236"/>
      <c r="L113" s="236"/>
      <c r="M113" s="236"/>
      <c r="N113" s="236"/>
      <c r="O113" s="236"/>
      <c r="P113" s="236"/>
      <c r="Q113" s="236"/>
      <c r="R113" s="236"/>
      <c r="S113" s="236"/>
      <c r="T113" s="236"/>
      <c r="U113" s="236"/>
      <c r="V113" s="236"/>
      <c r="W113" s="236"/>
    </row>
    <row r="114" spans="1:23" s="262" customFormat="1" hidden="1">
      <c r="A114" s="236"/>
      <c r="B114" s="236"/>
      <c r="C114" s="236"/>
      <c r="D114" s="236"/>
      <c r="E114" s="236"/>
      <c r="F114" s="236"/>
      <c r="G114" s="236"/>
      <c r="H114" s="236"/>
      <c r="I114" s="236"/>
      <c r="J114" s="236"/>
      <c r="K114" s="236"/>
      <c r="L114" s="236"/>
      <c r="M114" s="236"/>
      <c r="N114" s="236"/>
      <c r="O114" s="236"/>
      <c r="P114" s="236"/>
      <c r="Q114" s="236"/>
      <c r="R114" s="236"/>
      <c r="S114" s="236"/>
      <c r="T114" s="236"/>
      <c r="U114" s="236"/>
      <c r="V114" s="236"/>
      <c r="W114" s="236"/>
    </row>
    <row r="115" spans="1:23" s="262" customFormat="1" hidden="1">
      <c r="A115" s="236"/>
      <c r="B115" s="236"/>
      <c r="C115" s="236"/>
      <c r="D115" s="236"/>
      <c r="E115" s="236"/>
      <c r="F115" s="236"/>
      <c r="G115" s="236"/>
      <c r="H115" s="236"/>
      <c r="I115" s="236"/>
      <c r="J115" s="236"/>
      <c r="K115" s="236"/>
      <c r="L115" s="236"/>
      <c r="M115" s="236"/>
      <c r="N115" s="236"/>
      <c r="O115" s="236"/>
      <c r="P115" s="236"/>
      <c r="Q115" s="236"/>
      <c r="R115" s="236"/>
      <c r="S115" s="236"/>
      <c r="T115" s="236"/>
      <c r="U115" s="236"/>
      <c r="V115" s="236"/>
      <c r="W115" s="236"/>
    </row>
    <row r="116" spans="1:23" s="262" customFormat="1" hidden="1">
      <c r="A116" s="236"/>
      <c r="B116" s="236"/>
      <c r="C116" s="236"/>
      <c r="D116" s="236"/>
      <c r="E116" s="236"/>
      <c r="F116" s="236"/>
      <c r="G116" s="236"/>
      <c r="H116" s="236"/>
      <c r="I116" s="236"/>
      <c r="J116" s="236"/>
      <c r="K116" s="236"/>
      <c r="L116" s="236"/>
      <c r="M116" s="236"/>
      <c r="N116" s="236"/>
      <c r="O116" s="236"/>
      <c r="P116" s="236"/>
      <c r="Q116" s="236"/>
      <c r="R116" s="236"/>
      <c r="S116" s="236"/>
      <c r="T116" s="236"/>
      <c r="U116" s="236"/>
      <c r="V116" s="236"/>
      <c r="W116" s="236"/>
    </row>
    <row r="117" spans="1:23" s="262" customFormat="1" hidden="1">
      <c r="A117" s="236"/>
      <c r="B117" s="236"/>
      <c r="C117" s="236"/>
      <c r="D117" s="236"/>
      <c r="E117" s="236"/>
      <c r="F117" s="236"/>
      <c r="G117" s="236"/>
      <c r="H117" s="236"/>
      <c r="I117" s="236"/>
      <c r="J117" s="236"/>
      <c r="K117" s="236"/>
      <c r="L117" s="236"/>
      <c r="M117" s="236"/>
      <c r="N117" s="236"/>
      <c r="O117" s="236"/>
      <c r="P117" s="236"/>
      <c r="Q117" s="236"/>
      <c r="R117" s="236"/>
      <c r="S117" s="236"/>
      <c r="T117" s="236"/>
      <c r="U117" s="236"/>
      <c r="V117" s="236"/>
      <c r="W117" s="236"/>
    </row>
    <row r="118" spans="1:23" s="262" customFormat="1" hidden="1">
      <c r="A118" s="236"/>
      <c r="B118" s="236"/>
      <c r="C118" s="236"/>
      <c r="D118" s="236"/>
      <c r="E118" s="236"/>
      <c r="F118" s="236"/>
      <c r="G118" s="236"/>
      <c r="H118" s="236"/>
      <c r="I118" s="236"/>
      <c r="J118" s="236"/>
      <c r="K118" s="236"/>
      <c r="L118" s="236"/>
      <c r="M118" s="236"/>
      <c r="N118" s="236"/>
      <c r="O118" s="236"/>
      <c r="P118" s="236"/>
      <c r="Q118" s="236"/>
      <c r="R118" s="236"/>
      <c r="S118" s="236"/>
      <c r="T118" s="236"/>
      <c r="U118" s="236"/>
      <c r="V118" s="236"/>
      <c r="W118" s="236"/>
    </row>
    <row r="119" spans="1:23" s="262" customFormat="1" hidden="1">
      <c r="A119" s="236"/>
      <c r="B119" s="236"/>
      <c r="C119" s="236"/>
      <c r="D119" s="236"/>
      <c r="E119" s="236"/>
      <c r="F119" s="236"/>
      <c r="G119" s="236"/>
      <c r="H119" s="236"/>
      <c r="I119" s="236"/>
      <c r="J119" s="236"/>
      <c r="K119" s="236"/>
      <c r="L119" s="236"/>
      <c r="M119" s="236"/>
      <c r="N119" s="236"/>
      <c r="O119" s="236"/>
      <c r="P119" s="236"/>
      <c r="Q119" s="236"/>
      <c r="R119" s="236"/>
      <c r="S119" s="236"/>
      <c r="T119" s="236"/>
      <c r="U119" s="236"/>
      <c r="V119" s="236"/>
      <c r="W119" s="236"/>
    </row>
    <row r="120" spans="1:23" s="262" customFormat="1" hidden="1">
      <c r="A120" s="236"/>
      <c r="B120" s="236"/>
      <c r="C120" s="236"/>
      <c r="D120" s="236"/>
      <c r="E120" s="236"/>
      <c r="F120" s="236"/>
      <c r="G120" s="236"/>
      <c r="H120" s="236"/>
      <c r="I120" s="236"/>
      <c r="J120" s="236"/>
      <c r="K120" s="236"/>
      <c r="L120" s="236"/>
      <c r="M120" s="236"/>
      <c r="N120" s="236"/>
      <c r="O120" s="236"/>
      <c r="P120" s="236"/>
      <c r="Q120" s="236"/>
      <c r="R120" s="236"/>
      <c r="S120" s="236"/>
      <c r="T120" s="236"/>
      <c r="U120" s="236"/>
      <c r="V120" s="236"/>
      <c r="W120" s="236"/>
    </row>
    <row r="121" spans="1:23" s="262" customFormat="1" hidden="1">
      <c r="A121" s="236"/>
      <c r="B121" s="236"/>
      <c r="C121" s="236"/>
      <c r="D121" s="236"/>
      <c r="E121" s="236"/>
      <c r="F121" s="236"/>
      <c r="G121" s="236"/>
      <c r="H121" s="236"/>
      <c r="I121" s="236"/>
      <c r="J121" s="236"/>
      <c r="K121" s="236"/>
      <c r="L121" s="236"/>
      <c r="M121" s="236"/>
      <c r="N121" s="236"/>
      <c r="O121" s="236"/>
      <c r="P121" s="236"/>
      <c r="Q121" s="236"/>
      <c r="R121" s="236"/>
      <c r="S121" s="236"/>
      <c r="T121" s="236"/>
      <c r="U121" s="236"/>
      <c r="V121" s="236"/>
      <c r="W121" s="236"/>
    </row>
    <row r="122" spans="1:23" s="262" customFormat="1" hidden="1">
      <c r="A122" s="236"/>
      <c r="B122" s="236"/>
      <c r="C122" s="236"/>
      <c r="D122" s="236"/>
      <c r="E122" s="236"/>
      <c r="F122" s="236"/>
      <c r="G122" s="236"/>
      <c r="H122" s="236"/>
      <c r="I122" s="236"/>
      <c r="J122" s="236"/>
      <c r="K122" s="236"/>
      <c r="L122" s="236"/>
      <c r="M122" s="236"/>
      <c r="N122" s="236"/>
      <c r="O122" s="236"/>
      <c r="P122" s="236"/>
      <c r="Q122" s="236"/>
      <c r="R122" s="236"/>
      <c r="S122" s="236"/>
      <c r="T122" s="236"/>
      <c r="U122" s="236"/>
      <c r="V122" s="236"/>
      <c r="W122" s="236"/>
    </row>
    <row r="123" spans="1:23" s="262" customFormat="1" hidden="1">
      <c r="A123" s="236"/>
      <c r="B123" s="236"/>
      <c r="C123" s="236"/>
      <c r="D123" s="236"/>
      <c r="E123" s="236"/>
      <c r="F123" s="236"/>
      <c r="G123" s="236"/>
      <c r="H123" s="236"/>
      <c r="I123" s="236"/>
      <c r="J123" s="236"/>
      <c r="K123" s="236"/>
      <c r="L123" s="236"/>
      <c r="M123" s="236"/>
      <c r="N123" s="236"/>
      <c r="O123" s="236"/>
      <c r="P123" s="236"/>
      <c r="Q123" s="236"/>
      <c r="R123" s="236"/>
      <c r="S123" s="236"/>
      <c r="T123" s="236"/>
      <c r="U123" s="236"/>
      <c r="V123" s="236"/>
      <c r="W123" s="236"/>
    </row>
    <row r="124" spans="1:23" s="262" customFormat="1" hidden="1">
      <c r="A124" s="236"/>
      <c r="B124" s="236"/>
      <c r="C124" s="236"/>
      <c r="D124" s="236"/>
      <c r="E124" s="236"/>
      <c r="F124" s="236"/>
      <c r="G124" s="236"/>
      <c r="H124" s="236"/>
      <c r="I124" s="236"/>
      <c r="J124" s="236"/>
      <c r="K124" s="236"/>
      <c r="L124" s="236"/>
      <c r="M124" s="236"/>
      <c r="N124" s="236"/>
      <c r="O124" s="236"/>
      <c r="P124" s="236"/>
      <c r="Q124" s="236"/>
      <c r="R124" s="236"/>
      <c r="S124" s="236"/>
      <c r="T124" s="236"/>
      <c r="U124" s="236"/>
      <c r="V124" s="236"/>
      <c r="W124" s="236"/>
    </row>
    <row r="125" spans="1:23" s="262" customFormat="1" hidden="1">
      <c r="A125" s="236"/>
      <c r="B125" s="236"/>
      <c r="C125" s="236"/>
      <c r="D125" s="236"/>
      <c r="E125" s="236"/>
      <c r="F125" s="236"/>
      <c r="G125" s="236"/>
      <c r="H125" s="236"/>
      <c r="I125" s="236"/>
      <c r="J125" s="236"/>
      <c r="K125" s="236"/>
      <c r="L125" s="236"/>
      <c r="M125" s="236"/>
      <c r="N125" s="236"/>
      <c r="O125" s="236"/>
      <c r="P125" s="236"/>
      <c r="Q125" s="236"/>
      <c r="R125" s="236"/>
      <c r="S125" s="236"/>
      <c r="T125" s="236"/>
      <c r="U125" s="236"/>
      <c r="V125" s="236"/>
      <c r="W125" s="236"/>
    </row>
    <row r="126" spans="1:23" s="262" customFormat="1" hidden="1">
      <c r="A126" s="236"/>
      <c r="B126" s="236"/>
      <c r="C126" s="236"/>
      <c r="D126" s="236"/>
      <c r="E126" s="236"/>
      <c r="F126" s="236"/>
      <c r="G126" s="236"/>
      <c r="H126" s="236"/>
      <c r="I126" s="236"/>
      <c r="J126" s="236"/>
      <c r="K126" s="236"/>
      <c r="L126" s="236"/>
      <c r="M126" s="236"/>
      <c r="N126" s="236"/>
      <c r="O126" s="236"/>
      <c r="P126" s="236"/>
      <c r="Q126" s="236"/>
      <c r="R126" s="236"/>
      <c r="S126" s="236"/>
      <c r="T126" s="236"/>
      <c r="U126" s="236"/>
      <c r="V126" s="236"/>
      <c r="W126" s="236"/>
    </row>
    <row r="127" spans="1:23" s="262" customFormat="1" hidden="1">
      <c r="A127" s="236"/>
      <c r="B127" s="236"/>
      <c r="C127" s="236"/>
      <c r="D127" s="236"/>
      <c r="E127" s="236"/>
      <c r="F127" s="236"/>
      <c r="G127" s="236"/>
      <c r="H127" s="236"/>
      <c r="I127" s="236"/>
      <c r="J127" s="236"/>
      <c r="K127" s="236"/>
      <c r="L127" s="236"/>
      <c r="M127" s="236"/>
      <c r="N127" s="236"/>
      <c r="O127" s="236"/>
      <c r="P127" s="236"/>
      <c r="Q127" s="236"/>
      <c r="R127" s="236"/>
      <c r="S127" s="236"/>
      <c r="T127" s="236"/>
      <c r="U127" s="236"/>
      <c r="V127" s="236"/>
      <c r="W127" s="236"/>
    </row>
    <row r="128" spans="1:23" s="262" customFormat="1" hidden="1">
      <c r="A128" s="236"/>
      <c r="B128" s="236"/>
      <c r="C128" s="236"/>
      <c r="D128" s="236"/>
      <c r="E128" s="236"/>
      <c r="F128" s="236"/>
      <c r="G128" s="236"/>
      <c r="H128" s="236"/>
      <c r="I128" s="236"/>
      <c r="J128" s="236"/>
      <c r="K128" s="236"/>
      <c r="L128" s="236"/>
      <c r="M128" s="236"/>
      <c r="N128" s="236"/>
      <c r="O128" s="236"/>
      <c r="P128" s="236"/>
      <c r="Q128" s="236"/>
      <c r="R128" s="236"/>
      <c r="S128" s="236"/>
      <c r="T128" s="236"/>
      <c r="U128" s="236"/>
      <c r="V128" s="236"/>
      <c r="W128" s="236"/>
    </row>
    <row r="129" spans="1:23" s="262" customFormat="1" hidden="1">
      <c r="A129" s="236"/>
      <c r="B129" s="236"/>
      <c r="C129" s="236"/>
      <c r="D129" s="236"/>
      <c r="E129" s="236"/>
      <c r="F129" s="236"/>
      <c r="G129" s="236"/>
      <c r="H129" s="236"/>
      <c r="I129" s="236"/>
      <c r="J129" s="236"/>
      <c r="K129" s="236"/>
      <c r="L129" s="236"/>
      <c r="M129" s="236"/>
      <c r="N129" s="236"/>
      <c r="O129" s="236"/>
      <c r="P129" s="236"/>
      <c r="Q129" s="236"/>
      <c r="R129" s="236"/>
      <c r="S129" s="236"/>
      <c r="T129" s="236"/>
      <c r="U129" s="236"/>
      <c r="V129" s="236"/>
      <c r="W129" s="236"/>
    </row>
    <row r="130" spans="1:23" s="262" customFormat="1" hidden="1">
      <c r="A130" s="236"/>
      <c r="B130" s="236"/>
      <c r="C130" s="236"/>
      <c r="D130" s="236"/>
      <c r="E130" s="236"/>
      <c r="F130" s="236"/>
      <c r="G130" s="236"/>
      <c r="H130" s="236"/>
      <c r="I130" s="236"/>
      <c r="J130" s="236"/>
      <c r="K130" s="236"/>
      <c r="L130" s="236"/>
      <c r="M130" s="236"/>
      <c r="N130" s="236"/>
      <c r="O130" s="236"/>
      <c r="P130" s="236"/>
      <c r="Q130" s="236"/>
      <c r="R130" s="236"/>
      <c r="S130" s="236"/>
      <c r="T130" s="236"/>
      <c r="U130" s="236"/>
      <c r="V130" s="236"/>
      <c r="W130" s="236"/>
    </row>
    <row r="131" spans="1:23" s="262" customFormat="1" hidden="1">
      <c r="A131" s="236"/>
      <c r="B131" s="236"/>
      <c r="C131" s="236"/>
      <c r="D131" s="236"/>
      <c r="E131" s="236"/>
      <c r="F131" s="236"/>
      <c r="G131" s="236"/>
      <c r="H131" s="236"/>
      <c r="I131" s="236"/>
      <c r="J131" s="236"/>
      <c r="K131" s="236"/>
      <c r="L131" s="236"/>
      <c r="M131" s="236"/>
      <c r="N131" s="236"/>
      <c r="O131" s="236"/>
      <c r="P131" s="236"/>
      <c r="Q131" s="236"/>
      <c r="R131" s="236"/>
      <c r="S131" s="236"/>
      <c r="T131" s="236"/>
      <c r="U131" s="236"/>
      <c r="V131" s="236"/>
      <c r="W131" s="236"/>
    </row>
    <row r="132" spans="1:23" s="262" customFormat="1" hidden="1">
      <c r="A132" s="236"/>
      <c r="B132" s="236"/>
      <c r="C132" s="236"/>
      <c r="D132" s="236"/>
      <c r="E132" s="236"/>
      <c r="F132" s="236"/>
      <c r="G132" s="236"/>
      <c r="H132" s="236"/>
      <c r="I132" s="236"/>
      <c r="J132" s="236"/>
      <c r="K132" s="236"/>
      <c r="L132" s="236"/>
      <c r="M132" s="236"/>
      <c r="N132" s="236"/>
      <c r="O132" s="236"/>
      <c r="P132" s="236"/>
      <c r="Q132" s="236"/>
      <c r="R132" s="236"/>
      <c r="S132" s="236"/>
      <c r="T132" s="236"/>
      <c r="U132" s="236"/>
      <c r="V132" s="236"/>
      <c r="W132" s="236"/>
    </row>
    <row r="133" spans="1:23" s="262" customFormat="1" hidden="1">
      <c r="A133" s="236"/>
      <c r="B133" s="236"/>
      <c r="C133" s="236"/>
      <c r="D133" s="236"/>
      <c r="E133" s="236"/>
      <c r="F133" s="236"/>
      <c r="G133" s="236"/>
      <c r="H133" s="236"/>
      <c r="I133" s="236"/>
      <c r="J133" s="236"/>
      <c r="K133" s="236"/>
      <c r="L133" s="236"/>
      <c r="M133" s="236"/>
      <c r="N133" s="236"/>
      <c r="O133" s="236"/>
      <c r="P133" s="236"/>
      <c r="Q133" s="236"/>
      <c r="R133" s="236"/>
      <c r="S133" s="236"/>
      <c r="T133" s="236"/>
      <c r="U133" s="236"/>
      <c r="V133" s="236"/>
      <c r="W133" s="236"/>
    </row>
    <row r="134" spans="1:23" s="262" customFormat="1" hidden="1">
      <c r="A134" s="236"/>
      <c r="B134" s="236"/>
      <c r="C134" s="236"/>
      <c r="D134" s="236"/>
      <c r="E134" s="236"/>
      <c r="F134" s="236"/>
      <c r="G134" s="236"/>
      <c r="H134" s="236"/>
      <c r="I134" s="236"/>
      <c r="J134" s="236"/>
      <c r="K134" s="236"/>
      <c r="L134" s="236"/>
      <c r="M134" s="236"/>
      <c r="N134" s="236"/>
      <c r="O134" s="236"/>
      <c r="P134" s="236"/>
      <c r="Q134" s="236"/>
      <c r="R134" s="236"/>
      <c r="S134" s="236"/>
      <c r="T134" s="236"/>
      <c r="U134" s="236"/>
      <c r="V134" s="236"/>
      <c r="W134" s="236"/>
    </row>
    <row r="135" spans="1:23" s="262" customFormat="1" hidden="1">
      <c r="A135" s="236"/>
      <c r="B135" s="236"/>
      <c r="C135" s="236"/>
      <c r="D135" s="236"/>
      <c r="E135" s="236"/>
      <c r="F135" s="236"/>
      <c r="G135" s="236"/>
      <c r="H135" s="236"/>
      <c r="I135" s="236"/>
      <c r="J135" s="236"/>
      <c r="K135" s="236"/>
      <c r="L135" s="236"/>
      <c r="M135" s="236"/>
      <c r="N135" s="236"/>
      <c r="O135" s="236"/>
      <c r="P135" s="236"/>
      <c r="Q135" s="236"/>
      <c r="R135" s="236"/>
      <c r="S135" s="236"/>
      <c r="T135" s="236"/>
      <c r="U135" s="236"/>
      <c r="V135" s="236"/>
      <c r="W135" s="236"/>
    </row>
    <row r="136" spans="1:23" s="262" customFormat="1" hidden="1">
      <c r="A136" s="236"/>
      <c r="B136" s="236"/>
      <c r="C136" s="236"/>
      <c r="D136" s="236"/>
      <c r="E136" s="236"/>
      <c r="F136" s="236"/>
      <c r="G136" s="236"/>
      <c r="H136" s="236"/>
      <c r="I136" s="236"/>
      <c r="J136" s="236"/>
      <c r="K136" s="236"/>
      <c r="L136" s="236"/>
      <c r="M136" s="236"/>
      <c r="N136" s="236"/>
      <c r="O136" s="236"/>
      <c r="P136" s="236"/>
      <c r="Q136" s="236"/>
      <c r="R136" s="236"/>
      <c r="S136" s="236"/>
      <c r="T136" s="236"/>
      <c r="U136" s="236"/>
      <c r="V136" s="236"/>
      <c r="W136" s="236"/>
    </row>
    <row r="137" spans="1:23" s="262" customFormat="1" hidden="1">
      <c r="A137" s="236"/>
      <c r="B137" s="236"/>
      <c r="C137" s="236"/>
      <c r="D137" s="236"/>
      <c r="E137" s="236"/>
      <c r="F137" s="236"/>
      <c r="G137" s="236"/>
      <c r="H137" s="236"/>
      <c r="I137" s="236"/>
      <c r="J137" s="236"/>
      <c r="K137" s="236"/>
      <c r="L137" s="236"/>
      <c r="M137" s="236"/>
      <c r="N137" s="236"/>
      <c r="O137" s="236"/>
      <c r="P137" s="236"/>
      <c r="Q137" s="236"/>
      <c r="R137" s="236"/>
      <c r="S137" s="236"/>
      <c r="T137" s="236"/>
      <c r="U137" s="236"/>
      <c r="V137" s="236"/>
      <c r="W137" s="236"/>
    </row>
    <row r="138" spans="1:23" s="262" customFormat="1" hidden="1">
      <c r="A138" s="236"/>
      <c r="B138" s="236"/>
      <c r="C138" s="236"/>
      <c r="D138" s="236"/>
      <c r="E138" s="236"/>
      <c r="F138" s="236"/>
      <c r="G138" s="236"/>
      <c r="H138" s="236"/>
      <c r="I138" s="236"/>
      <c r="J138" s="236"/>
      <c r="K138" s="236"/>
      <c r="L138" s="236"/>
      <c r="M138" s="236"/>
      <c r="N138" s="236"/>
      <c r="O138" s="236"/>
      <c r="P138" s="236"/>
      <c r="Q138" s="236"/>
      <c r="R138" s="236"/>
      <c r="S138" s="236"/>
      <c r="T138" s="236"/>
      <c r="U138" s="236"/>
      <c r="V138" s="236"/>
      <c r="W138" s="236"/>
    </row>
    <row r="139" spans="1:23" s="262" customFormat="1" hidden="1">
      <c r="A139" s="236"/>
      <c r="B139" s="236"/>
      <c r="C139" s="236"/>
      <c r="D139" s="236"/>
      <c r="E139" s="236"/>
      <c r="F139" s="236"/>
      <c r="G139" s="236"/>
      <c r="H139" s="236"/>
      <c r="I139" s="236"/>
      <c r="J139" s="236"/>
      <c r="K139" s="236"/>
      <c r="L139" s="236"/>
      <c r="M139" s="236"/>
      <c r="N139" s="236"/>
      <c r="O139" s="236"/>
      <c r="P139" s="236"/>
      <c r="Q139" s="236"/>
      <c r="R139" s="236"/>
      <c r="S139" s="236"/>
      <c r="T139" s="236"/>
      <c r="U139" s="236"/>
      <c r="V139" s="236"/>
      <c r="W139" s="236"/>
    </row>
    <row r="140" spans="1:23" s="262" customFormat="1" hidden="1">
      <c r="A140" s="236"/>
      <c r="B140" s="236"/>
      <c r="C140" s="236"/>
      <c r="D140" s="236"/>
      <c r="E140" s="236"/>
      <c r="F140" s="236"/>
      <c r="G140" s="236"/>
      <c r="H140" s="236"/>
      <c r="I140" s="236"/>
      <c r="J140" s="236"/>
      <c r="K140" s="236"/>
      <c r="L140" s="236"/>
      <c r="M140" s="236"/>
      <c r="N140" s="236"/>
      <c r="O140" s="236"/>
      <c r="P140" s="236"/>
      <c r="Q140" s="236"/>
      <c r="R140" s="236"/>
      <c r="S140" s="236"/>
      <c r="T140" s="236"/>
      <c r="U140" s="236"/>
      <c r="V140" s="236"/>
      <c r="W140" s="236"/>
    </row>
    <row r="141" spans="1:23" s="262" customFormat="1" hidden="1">
      <c r="A141" s="236"/>
      <c r="B141" s="236"/>
      <c r="C141" s="236"/>
      <c r="D141" s="236"/>
      <c r="E141" s="236"/>
      <c r="F141" s="236"/>
      <c r="G141" s="236"/>
      <c r="H141" s="236"/>
      <c r="I141" s="236"/>
      <c r="J141" s="236"/>
      <c r="K141" s="236"/>
      <c r="L141" s="236"/>
      <c r="M141" s="236"/>
      <c r="N141" s="236"/>
      <c r="O141" s="236"/>
      <c r="P141" s="236"/>
      <c r="Q141" s="236"/>
      <c r="R141" s="236"/>
      <c r="S141" s="236"/>
      <c r="T141" s="236"/>
      <c r="U141" s="236"/>
      <c r="V141" s="236"/>
      <c r="W141" s="236"/>
    </row>
    <row r="142" spans="1:23" s="262" customFormat="1" hidden="1">
      <c r="A142" s="236"/>
      <c r="B142" s="236"/>
      <c r="C142" s="236"/>
      <c r="D142" s="236"/>
      <c r="E142" s="236"/>
      <c r="F142" s="236"/>
      <c r="G142" s="236"/>
      <c r="H142" s="236"/>
      <c r="I142" s="236"/>
      <c r="J142" s="236"/>
      <c r="K142" s="236"/>
      <c r="L142" s="236"/>
      <c r="M142" s="236"/>
      <c r="N142" s="236"/>
      <c r="O142" s="236"/>
      <c r="P142" s="236"/>
      <c r="Q142" s="236"/>
      <c r="R142" s="236"/>
      <c r="S142" s="236"/>
      <c r="T142" s="236"/>
      <c r="U142" s="236"/>
      <c r="V142" s="236"/>
      <c r="W142" s="236"/>
    </row>
    <row r="143" spans="1:23" s="262" customFormat="1" hidden="1">
      <c r="A143" s="236"/>
      <c r="B143" s="236"/>
      <c r="C143" s="236"/>
      <c r="D143" s="236"/>
      <c r="E143" s="236"/>
      <c r="F143" s="236"/>
      <c r="G143" s="236"/>
      <c r="H143" s="236"/>
      <c r="I143" s="236"/>
      <c r="J143" s="236"/>
      <c r="K143" s="236"/>
      <c r="L143" s="236"/>
      <c r="M143" s="236"/>
      <c r="N143" s="236"/>
      <c r="O143" s="236"/>
      <c r="P143" s="236"/>
      <c r="Q143" s="236"/>
      <c r="R143" s="236"/>
      <c r="S143" s="236"/>
      <c r="T143" s="236"/>
      <c r="U143" s="236"/>
      <c r="V143" s="236"/>
      <c r="W143" s="236"/>
    </row>
    <row r="144" spans="1:23" s="262" customFormat="1" hidden="1">
      <c r="A144" s="236"/>
      <c r="B144" s="236"/>
      <c r="C144" s="236"/>
      <c r="D144" s="236"/>
      <c r="E144" s="236"/>
      <c r="F144" s="236"/>
      <c r="G144" s="236"/>
      <c r="H144" s="236"/>
      <c r="I144" s="236"/>
      <c r="J144" s="236"/>
      <c r="K144" s="236"/>
      <c r="L144" s="236"/>
      <c r="M144" s="236"/>
      <c r="N144" s="236"/>
      <c r="O144" s="236"/>
      <c r="P144" s="236"/>
      <c r="Q144" s="236"/>
      <c r="R144" s="236"/>
      <c r="S144" s="236"/>
      <c r="T144" s="236"/>
      <c r="U144" s="236"/>
      <c r="V144" s="236"/>
      <c r="W144" s="236"/>
    </row>
    <row r="145" spans="1:23" s="262" customFormat="1" hidden="1">
      <c r="A145" s="236"/>
      <c r="B145" s="236"/>
      <c r="C145" s="236"/>
      <c r="D145" s="236"/>
      <c r="E145" s="236"/>
      <c r="F145" s="236"/>
      <c r="G145" s="236"/>
      <c r="H145" s="236"/>
      <c r="I145" s="236"/>
      <c r="J145" s="236"/>
      <c r="K145" s="236"/>
      <c r="L145" s="236"/>
      <c r="M145" s="236"/>
      <c r="N145" s="236"/>
      <c r="O145" s="236"/>
      <c r="P145" s="236"/>
      <c r="Q145" s="236"/>
      <c r="R145" s="236"/>
      <c r="S145" s="236"/>
      <c r="T145" s="236"/>
      <c r="U145" s="236"/>
      <c r="V145" s="236"/>
      <c r="W145" s="236"/>
    </row>
    <row r="146" spans="1:23" s="262" customFormat="1" hidden="1">
      <c r="A146" s="236"/>
      <c r="B146" s="236"/>
      <c r="C146" s="236"/>
      <c r="D146" s="236"/>
      <c r="E146" s="236"/>
      <c r="F146" s="236"/>
      <c r="G146" s="236"/>
      <c r="H146" s="236"/>
      <c r="I146" s="236"/>
      <c r="J146" s="236"/>
      <c r="K146" s="236"/>
      <c r="L146" s="236"/>
      <c r="M146" s="236"/>
      <c r="N146" s="236"/>
      <c r="O146" s="236"/>
      <c r="P146" s="236"/>
      <c r="Q146" s="236"/>
      <c r="R146" s="236"/>
      <c r="S146" s="236"/>
      <c r="T146" s="236"/>
      <c r="U146" s="236"/>
      <c r="V146" s="236"/>
      <c r="W146" s="236"/>
    </row>
    <row r="147" spans="1:23" s="262" customFormat="1" hidden="1">
      <c r="A147" s="236"/>
      <c r="B147" s="236"/>
      <c r="C147" s="236"/>
      <c r="D147" s="236"/>
      <c r="E147" s="236"/>
      <c r="F147" s="236"/>
      <c r="G147" s="236"/>
      <c r="H147" s="236"/>
      <c r="I147" s="236"/>
      <c r="J147" s="236"/>
      <c r="K147" s="236"/>
      <c r="L147" s="236"/>
      <c r="M147" s="236"/>
      <c r="N147" s="236"/>
      <c r="O147" s="236"/>
      <c r="P147" s="236"/>
      <c r="Q147" s="236"/>
      <c r="R147" s="236"/>
      <c r="S147" s="236"/>
      <c r="T147" s="236"/>
      <c r="U147" s="236"/>
      <c r="V147" s="236"/>
      <c r="W147" s="236"/>
    </row>
    <row r="148" spans="1:23" s="262" customFormat="1" hidden="1">
      <c r="A148" s="236"/>
      <c r="B148" s="236"/>
      <c r="C148" s="236"/>
      <c r="D148" s="236"/>
      <c r="E148" s="236"/>
      <c r="F148" s="236"/>
      <c r="G148" s="236"/>
      <c r="H148" s="236"/>
      <c r="I148" s="236"/>
      <c r="J148" s="236"/>
      <c r="K148" s="236"/>
      <c r="L148" s="236"/>
      <c r="M148" s="236"/>
      <c r="N148" s="236"/>
      <c r="O148" s="236"/>
      <c r="P148" s="236"/>
      <c r="Q148" s="236"/>
      <c r="R148" s="236"/>
      <c r="S148" s="236"/>
      <c r="T148" s="236"/>
      <c r="U148" s="236"/>
      <c r="V148" s="236"/>
      <c r="W148" s="236"/>
    </row>
    <row r="149" spans="1:23" s="262" customFormat="1" hidden="1">
      <c r="A149" s="236"/>
      <c r="B149" s="236"/>
      <c r="C149" s="236"/>
      <c r="D149" s="236"/>
      <c r="E149" s="236"/>
      <c r="F149" s="236"/>
      <c r="G149" s="236"/>
      <c r="H149" s="236"/>
      <c r="I149" s="236"/>
      <c r="J149" s="236"/>
      <c r="K149" s="236"/>
      <c r="L149" s="236"/>
      <c r="M149" s="236"/>
      <c r="N149" s="236"/>
      <c r="O149" s="236"/>
      <c r="P149" s="236"/>
      <c r="Q149" s="236"/>
      <c r="R149" s="236"/>
      <c r="S149" s="236"/>
      <c r="T149" s="236"/>
      <c r="U149" s="236"/>
      <c r="V149" s="236"/>
      <c r="W149" s="236"/>
    </row>
    <row r="150" spans="1:23" s="262" customFormat="1" hidden="1">
      <c r="A150" s="236"/>
      <c r="B150" s="236"/>
      <c r="C150" s="236"/>
      <c r="D150" s="236"/>
      <c r="E150" s="236"/>
      <c r="F150" s="236"/>
      <c r="G150" s="236"/>
      <c r="H150" s="236"/>
      <c r="I150" s="236"/>
      <c r="J150" s="236"/>
      <c r="K150" s="236"/>
      <c r="L150" s="236"/>
      <c r="M150" s="236"/>
      <c r="N150" s="236"/>
      <c r="O150" s="236"/>
      <c r="P150" s="236"/>
      <c r="Q150" s="236"/>
      <c r="R150" s="236"/>
      <c r="S150" s="236"/>
      <c r="T150" s="236"/>
      <c r="U150" s="236"/>
      <c r="V150" s="236"/>
      <c r="W150" s="236"/>
    </row>
    <row r="151" spans="1:23" s="262" customFormat="1" hidden="1">
      <c r="A151" s="236"/>
      <c r="B151" s="236"/>
      <c r="C151" s="236"/>
      <c r="D151" s="236"/>
      <c r="E151" s="236"/>
      <c r="F151" s="236"/>
      <c r="G151" s="236"/>
      <c r="H151" s="236"/>
      <c r="I151" s="236"/>
      <c r="J151" s="236"/>
      <c r="K151" s="236"/>
      <c r="L151" s="236"/>
      <c r="M151" s="236"/>
      <c r="N151" s="236"/>
      <c r="O151" s="236"/>
      <c r="P151" s="236"/>
      <c r="Q151" s="236"/>
      <c r="R151" s="236"/>
      <c r="S151" s="236"/>
      <c r="T151" s="236"/>
      <c r="U151" s="236"/>
      <c r="V151" s="236"/>
      <c r="W151" s="236"/>
    </row>
    <row r="152" spans="1:23" s="262" customFormat="1" hidden="1">
      <c r="A152" s="236"/>
      <c r="B152" s="236"/>
      <c r="C152" s="236"/>
      <c r="D152" s="236"/>
      <c r="E152" s="236"/>
      <c r="F152" s="236"/>
      <c r="G152" s="236"/>
      <c r="H152" s="236"/>
      <c r="I152" s="236"/>
      <c r="J152" s="236"/>
      <c r="K152" s="236"/>
      <c r="L152" s="236"/>
      <c r="M152" s="236"/>
      <c r="N152" s="236"/>
      <c r="O152" s="236"/>
      <c r="P152" s="236"/>
      <c r="Q152" s="236"/>
      <c r="R152" s="236"/>
      <c r="S152" s="236"/>
      <c r="T152" s="236"/>
      <c r="U152" s="236"/>
      <c r="V152" s="236"/>
      <c r="W152" s="236"/>
    </row>
    <row r="153" spans="1:23" s="262" customFormat="1" hidden="1">
      <c r="A153" s="236"/>
      <c r="B153" s="236"/>
      <c r="C153" s="236"/>
      <c r="D153" s="236"/>
      <c r="E153" s="236"/>
      <c r="F153" s="236"/>
      <c r="G153" s="236"/>
      <c r="H153" s="236"/>
      <c r="I153" s="236"/>
      <c r="J153" s="236"/>
      <c r="K153" s="236"/>
      <c r="L153" s="236"/>
      <c r="M153" s="236"/>
      <c r="N153" s="236"/>
      <c r="O153" s="236"/>
      <c r="P153" s="236"/>
      <c r="Q153" s="236"/>
      <c r="R153" s="236"/>
      <c r="S153" s="236"/>
      <c r="T153" s="236"/>
      <c r="U153" s="236"/>
      <c r="V153" s="236"/>
      <c r="W153" s="236"/>
    </row>
    <row r="154" spans="1:23" s="262" customFormat="1" hidden="1">
      <c r="A154" s="236"/>
      <c r="B154" s="236"/>
      <c r="C154" s="236"/>
      <c r="D154" s="236"/>
      <c r="E154" s="236"/>
      <c r="F154" s="236"/>
      <c r="G154" s="236"/>
      <c r="H154" s="236"/>
      <c r="I154" s="236"/>
      <c r="J154" s="236"/>
      <c r="K154" s="236"/>
      <c r="L154" s="236"/>
      <c r="M154" s="236"/>
      <c r="N154" s="236"/>
      <c r="O154" s="236"/>
      <c r="P154" s="236"/>
      <c r="Q154" s="236"/>
      <c r="R154" s="236"/>
      <c r="S154" s="236"/>
      <c r="T154" s="236"/>
      <c r="U154" s="236"/>
      <c r="V154" s="236"/>
      <c r="W154" s="236"/>
    </row>
    <row r="155" spans="1:23" s="262" customFormat="1" hidden="1">
      <c r="A155" s="236"/>
      <c r="B155" s="236"/>
      <c r="C155" s="236"/>
      <c r="D155" s="236"/>
      <c r="E155" s="236"/>
      <c r="F155" s="236"/>
      <c r="G155" s="236"/>
      <c r="H155" s="236"/>
      <c r="I155" s="236"/>
      <c r="J155" s="236"/>
      <c r="K155" s="236"/>
      <c r="L155" s="236"/>
      <c r="M155" s="236"/>
      <c r="N155" s="236"/>
      <c r="O155" s="236"/>
      <c r="P155" s="236"/>
      <c r="Q155" s="236"/>
      <c r="R155" s="236"/>
      <c r="S155" s="236"/>
      <c r="T155" s="236"/>
      <c r="U155" s="236"/>
      <c r="V155" s="236"/>
      <c r="W155" s="236"/>
    </row>
    <row r="156" spans="1:23" s="262" customFormat="1" hidden="1">
      <c r="A156" s="236"/>
      <c r="B156" s="236"/>
      <c r="C156" s="236"/>
      <c r="D156" s="236"/>
      <c r="E156" s="236"/>
      <c r="F156" s="236"/>
      <c r="G156" s="236"/>
      <c r="H156" s="236"/>
      <c r="I156" s="236"/>
      <c r="J156" s="236"/>
      <c r="K156" s="236"/>
      <c r="L156" s="236"/>
      <c r="M156" s="236"/>
      <c r="N156" s="236"/>
      <c r="O156" s="236"/>
      <c r="P156" s="236"/>
      <c r="Q156" s="236"/>
      <c r="R156" s="236"/>
      <c r="S156" s="236"/>
      <c r="T156" s="236"/>
      <c r="U156" s="236"/>
      <c r="V156" s="236"/>
      <c r="W156" s="236"/>
    </row>
    <row r="157" spans="1:23" s="262" customFormat="1" hidden="1">
      <c r="A157" s="236"/>
      <c r="B157" s="236"/>
      <c r="C157" s="236"/>
      <c r="D157" s="236"/>
      <c r="E157" s="236"/>
      <c r="F157" s="236"/>
      <c r="G157" s="236"/>
      <c r="H157" s="236"/>
      <c r="I157" s="236"/>
      <c r="J157" s="236"/>
      <c r="K157" s="236"/>
      <c r="L157" s="236"/>
      <c r="M157" s="236"/>
      <c r="N157" s="236"/>
      <c r="O157" s="236"/>
      <c r="P157" s="236"/>
      <c r="Q157" s="236"/>
      <c r="R157" s="236"/>
      <c r="S157" s="236"/>
      <c r="T157" s="236"/>
      <c r="U157" s="236"/>
      <c r="V157" s="236"/>
      <c r="W157" s="236"/>
    </row>
    <row r="158" spans="1:23" s="262" customFormat="1" hidden="1">
      <c r="A158" s="236"/>
      <c r="B158" s="236"/>
      <c r="C158" s="236"/>
      <c r="D158" s="236"/>
      <c r="E158" s="236"/>
      <c r="F158" s="236"/>
      <c r="G158" s="236"/>
      <c r="H158" s="236"/>
      <c r="I158" s="236"/>
      <c r="J158" s="236"/>
      <c r="K158" s="236"/>
      <c r="L158" s="236"/>
      <c r="M158" s="236"/>
      <c r="N158" s="236"/>
      <c r="O158" s="236"/>
      <c r="P158" s="236"/>
      <c r="Q158" s="236"/>
      <c r="R158" s="236"/>
      <c r="S158" s="236"/>
      <c r="T158" s="236"/>
      <c r="U158" s="236"/>
      <c r="V158" s="236"/>
      <c r="W158" s="236"/>
    </row>
    <row r="159" spans="1:23">
      <c r="B159" s="156" t="s">
        <v>375</v>
      </c>
    </row>
    <row r="161" spans="1:23" s="93" customFormat="1">
      <c r="A161" s="91"/>
      <c r="B161" s="268" t="s">
        <v>359</v>
      </c>
      <c r="C161" s="269" t="s">
        <v>362</v>
      </c>
      <c r="E161" s="91"/>
      <c r="F161" s="91"/>
      <c r="G161" s="91"/>
      <c r="H161" s="91"/>
      <c r="I161" s="91"/>
      <c r="J161" s="91"/>
      <c r="K161" s="91"/>
      <c r="L161" s="91"/>
      <c r="M161" s="91"/>
      <c r="N161" s="91"/>
      <c r="O161" s="91"/>
      <c r="P161" s="91"/>
      <c r="Q161" s="91"/>
      <c r="R161" s="91"/>
      <c r="S161" s="91"/>
      <c r="T161" s="91"/>
      <c r="U161" s="91"/>
      <c r="V161" s="91"/>
      <c r="W161" s="91"/>
    </row>
    <row r="162" spans="1:23" s="93" customFormat="1">
      <c r="A162" s="91"/>
      <c r="B162" s="268" t="s">
        <v>360</v>
      </c>
      <c r="C162" s="269" t="s">
        <v>362</v>
      </c>
      <c r="E162" s="91"/>
      <c r="F162" s="91"/>
      <c r="G162" s="91"/>
      <c r="H162" s="91"/>
      <c r="I162" s="91"/>
      <c r="J162" s="91"/>
      <c r="K162" s="91"/>
      <c r="L162" s="91"/>
      <c r="M162" s="91"/>
      <c r="N162" s="91"/>
      <c r="O162" s="91"/>
      <c r="P162" s="91"/>
      <c r="Q162" s="91"/>
      <c r="R162" s="91"/>
      <c r="S162" s="91"/>
      <c r="T162" s="91"/>
      <c r="U162" s="91"/>
      <c r="V162" s="91"/>
      <c r="W162" s="91"/>
    </row>
    <row r="163" spans="1:23" s="93" customFormat="1">
      <c r="A163" s="91"/>
      <c r="B163" s="268" t="s">
        <v>361</v>
      </c>
      <c r="C163" s="269" t="s">
        <v>362</v>
      </c>
      <c r="E163" s="91"/>
      <c r="F163" s="91"/>
      <c r="G163" s="91"/>
      <c r="H163" s="91"/>
      <c r="I163" s="91"/>
      <c r="J163" s="91"/>
      <c r="K163" s="91"/>
      <c r="L163" s="91"/>
      <c r="M163" s="91"/>
      <c r="N163" s="91"/>
      <c r="O163" s="91"/>
      <c r="P163" s="91"/>
      <c r="Q163" s="91"/>
      <c r="R163" s="91"/>
      <c r="S163" s="91"/>
      <c r="T163" s="91"/>
      <c r="U163" s="91"/>
      <c r="V163" s="91"/>
      <c r="W163" s="91"/>
    </row>
    <row r="164" spans="1:23" s="93" customFormat="1">
      <c r="A164" s="91"/>
      <c r="B164" s="268" t="s">
        <v>541</v>
      </c>
      <c r="C164" s="269" t="s">
        <v>362</v>
      </c>
      <c r="E164" s="91"/>
      <c r="F164" s="91"/>
      <c r="G164" s="91"/>
      <c r="H164" s="91"/>
      <c r="I164" s="91"/>
      <c r="J164" s="91"/>
      <c r="K164" s="91"/>
      <c r="L164" s="91"/>
      <c r="M164" s="91"/>
      <c r="N164" s="91"/>
      <c r="O164" s="91"/>
      <c r="P164" s="91"/>
      <c r="Q164" s="91"/>
      <c r="R164" s="91"/>
      <c r="S164" s="91"/>
      <c r="T164" s="91"/>
      <c r="U164" s="91"/>
      <c r="V164" s="91"/>
      <c r="W164" s="91"/>
    </row>
    <row r="165" spans="1:23" s="93" customFormat="1">
      <c r="A165" s="91"/>
      <c r="B165" s="268" t="s">
        <v>504</v>
      </c>
      <c r="C165" s="269"/>
      <c r="E165" s="91"/>
      <c r="F165" s="91"/>
      <c r="G165" s="91"/>
      <c r="H165" s="91"/>
      <c r="I165" s="91"/>
      <c r="J165" s="91"/>
      <c r="K165" s="91"/>
      <c r="L165" s="91"/>
      <c r="M165" s="91"/>
      <c r="N165" s="91"/>
      <c r="O165" s="91"/>
      <c r="P165" s="91"/>
      <c r="Q165" s="91"/>
      <c r="R165" s="91"/>
      <c r="S165" s="91"/>
      <c r="T165" s="91"/>
      <c r="U165" s="91"/>
      <c r="V165" s="91"/>
      <c r="W165" s="91"/>
    </row>
    <row r="166" spans="1:23" s="93" customFormat="1">
      <c r="A166" s="91"/>
      <c r="B166" s="268" t="s">
        <v>505</v>
      </c>
      <c r="C166" s="269"/>
      <c r="E166" s="91"/>
      <c r="F166" s="91"/>
      <c r="G166" s="91"/>
      <c r="H166" s="91"/>
      <c r="I166" s="91"/>
      <c r="J166" s="91"/>
      <c r="K166" s="91"/>
      <c r="L166" s="91"/>
      <c r="M166" s="91"/>
      <c r="N166" s="91"/>
      <c r="O166" s="91"/>
      <c r="P166" s="91"/>
      <c r="Q166" s="91"/>
      <c r="R166" s="91"/>
      <c r="S166" s="91"/>
      <c r="T166" s="91"/>
      <c r="U166" s="91"/>
      <c r="V166" s="91"/>
      <c r="W166" s="91"/>
    </row>
    <row r="167" spans="1:23" s="93" customFormat="1">
      <c r="A167" s="91"/>
      <c r="B167" s="268" t="s">
        <v>506</v>
      </c>
      <c r="C167" s="269"/>
      <c r="E167" s="91"/>
      <c r="F167" s="91"/>
      <c r="G167" s="91"/>
      <c r="H167" s="91"/>
      <c r="I167" s="91"/>
      <c r="J167" s="91"/>
      <c r="K167" s="91"/>
      <c r="L167" s="91"/>
      <c r="M167" s="91"/>
      <c r="N167" s="91"/>
      <c r="O167" s="91"/>
      <c r="P167" s="91"/>
      <c r="Q167" s="91"/>
      <c r="R167" s="91"/>
      <c r="S167" s="91"/>
      <c r="T167" s="91"/>
      <c r="U167" s="91"/>
      <c r="V167" s="91"/>
      <c r="W167" s="91"/>
    </row>
    <row r="168" spans="1:23" s="93" customFormat="1">
      <c r="A168" s="91"/>
      <c r="B168" s="268" t="s">
        <v>507</v>
      </c>
      <c r="C168" s="269"/>
      <c r="E168" s="91"/>
      <c r="F168" s="91"/>
      <c r="G168" s="91"/>
      <c r="H168" s="91"/>
      <c r="I168" s="91"/>
      <c r="J168" s="91"/>
      <c r="K168" s="91"/>
      <c r="L168" s="91"/>
      <c r="M168" s="91"/>
      <c r="N168" s="91"/>
      <c r="O168" s="91"/>
      <c r="P168" s="91"/>
      <c r="Q168" s="91"/>
      <c r="R168" s="91"/>
      <c r="S168" s="91"/>
      <c r="T168" s="91"/>
      <c r="U168" s="91"/>
      <c r="V168" s="91"/>
      <c r="W168" s="91"/>
    </row>
    <row r="169" spans="1:23" s="93" customFormat="1">
      <c r="A169" s="91"/>
      <c r="B169" s="268" t="s">
        <v>508</v>
      </c>
      <c r="C169" s="269"/>
      <c r="E169" s="91"/>
      <c r="F169" s="91"/>
      <c r="G169" s="91"/>
      <c r="H169" s="91"/>
      <c r="I169" s="91"/>
      <c r="J169" s="91"/>
      <c r="K169" s="91"/>
      <c r="L169" s="91"/>
      <c r="M169" s="91"/>
      <c r="N169" s="91"/>
      <c r="O169" s="91"/>
      <c r="P169" s="91"/>
      <c r="Q169" s="91"/>
      <c r="R169" s="91"/>
      <c r="S169" s="91"/>
      <c r="T169" s="91"/>
      <c r="U169" s="91"/>
      <c r="V169" s="91"/>
      <c r="W169" s="91"/>
    </row>
    <row r="170" spans="1:23" s="93" customFormat="1">
      <c r="A170" s="91"/>
      <c r="B170" s="268" t="s">
        <v>509</v>
      </c>
      <c r="C170" s="269"/>
      <c r="E170" s="91"/>
      <c r="F170" s="91"/>
      <c r="G170" s="91"/>
      <c r="H170" s="91"/>
      <c r="I170" s="91"/>
      <c r="J170" s="91"/>
      <c r="K170" s="91"/>
      <c r="L170" s="91"/>
      <c r="M170" s="91"/>
      <c r="N170" s="91"/>
      <c r="O170" s="91"/>
      <c r="P170" s="91"/>
      <c r="Q170" s="91"/>
      <c r="R170" s="91"/>
      <c r="S170" s="91"/>
      <c r="T170" s="91"/>
      <c r="U170" s="91"/>
      <c r="V170" s="91"/>
      <c r="W170" s="91"/>
    </row>
    <row r="171" spans="1:23" s="262" customFormat="1">
      <c r="A171" s="236"/>
      <c r="B171" s="289"/>
      <c r="C171" s="289"/>
      <c r="D171" s="289"/>
      <c r="E171" s="236"/>
      <c r="F171" s="236"/>
      <c r="G171" s="236"/>
      <c r="H171" s="236"/>
      <c r="I171" s="236"/>
      <c r="J171" s="236"/>
      <c r="K171" s="236"/>
      <c r="L171" s="236"/>
      <c r="M171" s="236"/>
      <c r="N171" s="236"/>
      <c r="O171" s="236"/>
      <c r="P171" s="236"/>
      <c r="Q171" s="236"/>
      <c r="R171" s="236"/>
      <c r="S171" s="236"/>
      <c r="T171" s="236"/>
      <c r="U171" s="236"/>
      <c r="V171" s="236"/>
      <c r="W171" s="236"/>
    </row>
    <row r="172" spans="1:23" s="258" customFormat="1" hidden="1">
      <c r="G172" s="235"/>
      <c r="H172" s="235"/>
      <c r="I172" s="235"/>
      <c r="J172" s="235"/>
      <c r="K172" s="235"/>
      <c r="L172" s="235"/>
      <c r="M172" s="235"/>
      <c r="N172" s="235"/>
      <c r="O172" s="235"/>
      <c r="P172" s="235"/>
      <c r="Q172" s="235"/>
      <c r="R172" s="235"/>
      <c r="S172" s="235"/>
      <c r="T172" s="235"/>
      <c r="U172" s="235"/>
      <c r="V172" s="235"/>
      <c r="W172" s="235"/>
    </row>
    <row r="173" spans="1:23" s="258" customFormat="1" hidden="1">
      <c r="G173" s="235"/>
      <c r="H173" s="235"/>
      <c r="I173" s="235"/>
      <c r="J173" s="235"/>
      <c r="K173" s="235"/>
      <c r="L173" s="235"/>
      <c r="M173" s="235"/>
      <c r="N173" s="235"/>
      <c r="O173" s="235"/>
      <c r="P173" s="235"/>
      <c r="Q173" s="235"/>
      <c r="R173" s="235"/>
      <c r="S173" s="235"/>
      <c r="T173" s="235"/>
      <c r="U173" s="235"/>
      <c r="V173" s="235"/>
      <c r="W173" s="235"/>
    </row>
    <row r="174" spans="1:23" s="258" customFormat="1" hidden="1">
      <c r="G174" s="235"/>
      <c r="H174" s="235"/>
      <c r="I174" s="235"/>
      <c r="J174" s="235"/>
      <c r="K174" s="235"/>
      <c r="L174" s="235"/>
      <c r="M174" s="235"/>
      <c r="N174" s="235"/>
      <c r="O174" s="235"/>
      <c r="P174" s="235"/>
      <c r="Q174" s="235"/>
      <c r="R174" s="235"/>
      <c r="S174" s="235"/>
      <c r="T174" s="235"/>
      <c r="U174" s="235"/>
      <c r="V174" s="235"/>
      <c r="W174" s="235"/>
    </row>
    <row r="175" spans="1:23" s="258" customFormat="1" hidden="1">
      <c r="B175" s="235"/>
      <c r="C175" s="263"/>
      <c r="D175" s="235"/>
      <c r="E175" s="263"/>
      <c r="F175" s="235"/>
      <c r="G175" s="235"/>
      <c r="H175" s="235"/>
      <c r="I175" s="235"/>
      <c r="J175" s="235"/>
      <c r="K175" s="235"/>
      <c r="L175" s="235"/>
      <c r="M175" s="235"/>
      <c r="N175" s="235"/>
      <c r="O175" s="235"/>
      <c r="P175" s="235"/>
      <c r="Q175" s="235"/>
      <c r="R175" s="235"/>
      <c r="S175" s="235"/>
      <c r="T175" s="235"/>
      <c r="U175" s="235"/>
      <c r="V175" s="235"/>
      <c r="W175" s="235"/>
    </row>
    <row r="176" spans="1:23" s="258" customFormat="1" hidden="1">
      <c r="B176" s="235"/>
      <c r="C176" s="263"/>
      <c r="D176" s="235"/>
      <c r="E176" s="263"/>
      <c r="F176" s="235"/>
      <c r="G176" s="235"/>
      <c r="H176" s="235"/>
      <c r="I176" s="235"/>
      <c r="J176" s="235"/>
      <c r="K176" s="235"/>
      <c r="L176" s="235"/>
      <c r="M176" s="235"/>
      <c r="N176" s="235"/>
      <c r="O176" s="235"/>
      <c r="P176" s="235"/>
      <c r="Q176" s="235"/>
      <c r="R176" s="235"/>
      <c r="S176" s="235"/>
      <c r="T176" s="235"/>
      <c r="U176" s="235"/>
      <c r="V176" s="235"/>
      <c r="W176" s="235"/>
    </row>
    <row r="177" spans="2:23" s="258" customFormat="1" hidden="1">
      <c r="B177" s="235"/>
      <c r="C177" s="263"/>
      <c r="D177" s="235"/>
      <c r="E177" s="263"/>
      <c r="F177" s="235"/>
      <c r="G177" s="235"/>
      <c r="H177" s="235"/>
      <c r="I177" s="235"/>
      <c r="J177" s="235"/>
      <c r="K177" s="235"/>
      <c r="L177" s="235"/>
      <c r="M177" s="235"/>
      <c r="N177" s="235"/>
      <c r="O177" s="235"/>
      <c r="P177" s="235"/>
      <c r="Q177" s="235"/>
      <c r="R177" s="235"/>
      <c r="S177" s="235"/>
      <c r="T177" s="235"/>
      <c r="U177" s="235"/>
      <c r="V177" s="235"/>
      <c r="W177" s="235"/>
    </row>
    <row r="178" spans="2:23" s="258" customFormat="1" hidden="1">
      <c r="B178" s="235"/>
      <c r="C178" s="263"/>
      <c r="D178" s="235"/>
      <c r="E178" s="263"/>
      <c r="F178" s="235"/>
      <c r="G178" s="235"/>
      <c r="H178" s="235"/>
      <c r="I178" s="235"/>
      <c r="J178" s="235"/>
      <c r="K178" s="235"/>
      <c r="L178" s="235"/>
      <c r="M178" s="235"/>
      <c r="N178" s="235"/>
      <c r="O178" s="235"/>
      <c r="P178" s="235"/>
      <c r="Q178" s="235"/>
      <c r="R178" s="235"/>
      <c r="S178" s="235"/>
      <c r="T178" s="235"/>
      <c r="U178" s="235"/>
      <c r="V178" s="235"/>
      <c r="W178" s="235"/>
    </row>
    <row r="179" spans="2:23" s="258" customFormat="1" hidden="1">
      <c r="B179" s="235"/>
      <c r="C179" s="263"/>
      <c r="D179" s="235"/>
      <c r="E179" s="263"/>
      <c r="F179" s="235"/>
      <c r="G179" s="235"/>
      <c r="H179" s="235"/>
      <c r="I179" s="235"/>
      <c r="J179" s="235"/>
      <c r="K179" s="235"/>
      <c r="L179" s="235"/>
      <c r="M179" s="235"/>
      <c r="N179" s="235"/>
      <c r="O179" s="235"/>
      <c r="P179" s="235"/>
      <c r="Q179" s="235"/>
      <c r="R179" s="235"/>
      <c r="S179" s="235"/>
      <c r="T179" s="235"/>
      <c r="U179" s="235"/>
      <c r="V179" s="235"/>
      <c r="W179" s="235"/>
    </row>
    <row r="180" spans="2:23" s="258" customFormat="1" hidden="1">
      <c r="B180" s="235"/>
      <c r="C180" s="263"/>
      <c r="D180" s="235"/>
      <c r="E180" s="263"/>
      <c r="F180" s="235"/>
      <c r="G180" s="235"/>
      <c r="H180" s="235"/>
      <c r="I180" s="235"/>
      <c r="J180" s="235"/>
      <c r="K180" s="235"/>
      <c r="L180" s="235"/>
      <c r="M180" s="235"/>
      <c r="N180" s="235"/>
      <c r="O180" s="235"/>
      <c r="P180" s="235"/>
      <c r="Q180" s="235"/>
      <c r="R180" s="235"/>
      <c r="S180" s="235"/>
      <c r="T180" s="235"/>
      <c r="U180" s="235"/>
      <c r="V180" s="235"/>
      <c r="W180" s="235"/>
    </row>
    <row r="181" spans="2:23" s="258" customFormat="1" hidden="1">
      <c r="B181" s="235"/>
      <c r="C181" s="263"/>
      <c r="D181" s="235"/>
      <c r="E181" s="263"/>
      <c r="F181" s="235"/>
      <c r="G181" s="235"/>
      <c r="H181" s="235"/>
      <c r="I181" s="235"/>
      <c r="J181" s="235"/>
      <c r="K181" s="235"/>
      <c r="L181" s="235"/>
      <c r="M181" s="235"/>
      <c r="N181" s="235"/>
      <c r="O181" s="235"/>
      <c r="P181" s="235"/>
      <c r="Q181" s="235"/>
      <c r="R181" s="235"/>
      <c r="S181" s="235"/>
      <c r="T181" s="235"/>
      <c r="U181" s="235"/>
      <c r="V181" s="235"/>
      <c r="W181" s="235"/>
    </row>
    <row r="182" spans="2:23" s="258" customFormat="1" hidden="1">
      <c r="B182" s="235"/>
      <c r="C182" s="263"/>
      <c r="D182" s="235"/>
      <c r="E182" s="263"/>
      <c r="F182" s="235"/>
      <c r="G182" s="235"/>
      <c r="H182" s="235"/>
      <c r="I182" s="235"/>
      <c r="J182" s="235"/>
      <c r="K182" s="235"/>
      <c r="L182" s="235"/>
      <c r="M182" s="235"/>
      <c r="N182" s="235"/>
      <c r="O182" s="235"/>
      <c r="P182" s="235"/>
      <c r="Q182" s="235"/>
      <c r="R182" s="235"/>
      <c r="S182" s="235"/>
      <c r="T182" s="235"/>
      <c r="U182" s="235"/>
      <c r="V182" s="235"/>
      <c r="W182" s="235"/>
    </row>
    <row r="183" spans="2:23" s="258" customFormat="1" hidden="1">
      <c r="B183" s="235"/>
      <c r="C183" s="263"/>
      <c r="D183" s="235"/>
      <c r="E183" s="263"/>
      <c r="F183" s="235"/>
      <c r="G183" s="235"/>
      <c r="H183" s="235"/>
      <c r="I183" s="235"/>
      <c r="J183" s="235"/>
      <c r="K183" s="235"/>
      <c r="L183" s="235"/>
      <c r="M183" s="235"/>
      <c r="N183" s="235"/>
      <c r="O183" s="235"/>
      <c r="P183" s="235"/>
      <c r="Q183" s="235"/>
      <c r="R183" s="235"/>
      <c r="S183" s="235"/>
      <c r="T183" s="235"/>
      <c r="U183" s="235"/>
      <c r="V183" s="235"/>
      <c r="W183" s="235"/>
    </row>
    <row r="184" spans="2:23" s="258" customFormat="1" hidden="1">
      <c r="B184" s="235"/>
      <c r="C184" s="263"/>
      <c r="D184" s="235"/>
      <c r="E184" s="263"/>
      <c r="F184" s="235"/>
      <c r="G184" s="235"/>
      <c r="H184" s="235"/>
      <c r="I184" s="235"/>
      <c r="J184" s="235"/>
      <c r="K184" s="235"/>
      <c r="L184" s="235"/>
      <c r="M184" s="235"/>
      <c r="N184" s="235"/>
      <c r="O184" s="235"/>
      <c r="P184" s="235"/>
      <c r="Q184" s="235"/>
      <c r="R184" s="235"/>
      <c r="S184" s="235"/>
      <c r="T184" s="235"/>
      <c r="U184" s="235"/>
      <c r="V184" s="235"/>
      <c r="W184" s="235"/>
    </row>
    <row r="185" spans="2:23" s="258" customFormat="1" hidden="1">
      <c r="B185" s="235"/>
      <c r="C185" s="263"/>
      <c r="D185" s="235"/>
      <c r="E185" s="263"/>
      <c r="F185" s="235"/>
      <c r="G185" s="235"/>
      <c r="H185" s="235"/>
      <c r="I185" s="235"/>
      <c r="J185" s="235"/>
      <c r="K185" s="235"/>
      <c r="L185" s="235"/>
      <c r="M185" s="235"/>
      <c r="N185" s="235"/>
      <c r="O185" s="235"/>
      <c r="P185" s="235"/>
      <c r="Q185" s="235"/>
      <c r="R185" s="235"/>
      <c r="S185" s="235"/>
      <c r="T185" s="235"/>
      <c r="U185" s="235"/>
      <c r="V185" s="235"/>
      <c r="W185" s="235"/>
    </row>
    <row r="186" spans="2:23" s="258" customFormat="1" hidden="1">
      <c r="B186" s="235"/>
      <c r="C186" s="263"/>
      <c r="D186" s="235"/>
      <c r="E186" s="263"/>
      <c r="F186" s="235"/>
      <c r="G186" s="235"/>
      <c r="H186" s="235"/>
      <c r="I186" s="235"/>
      <c r="J186" s="235"/>
      <c r="K186" s="235"/>
      <c r="L186" s="235"/>
      <c r="M186" s="235"/>
      <c r="N186" s="235"/>
      <c r="O186" s="235"/>
      <c r="P186" s="235"/>
      <c r="Q186" s="235"/>
      <c r="R186" s="235"/>
      <c r="S186" s="235"/>
      <c r="T186" s="235"/>
      <c r="U186" s="235"/>
      <c r="V186" s="235"/>
      <c r="W186" s="235"/>
    </row>
    <row r="187" spans="2:23" s="258" customFormat="1" hidden="1">
      <c r="B187" s="235"/>
      <c r="C187" s="263"/>
      <c r="D187" s="235"/>
      <c r="E187" s="263"/>
      <c r="F187" s="235"/>
      <c r="G187" s="235"/>
      <c r="H187" s="235"/>
      <c r="I187" s="235"/>
      <c r="J187" s="235"/>
      <c r="K187" s="235"/>
      <c r="L187" s="235"/>
      <c r="M187" s="235"/>
      <c r="N187" s="235"/>
      <c r="O187" s="235"/>
      <c r="P187" s="235"/>
      <c r="Q187" s="235"/>
      <c r="R187" s="235"/>
      <c r="S187" s="235"/>
      <c r="T187" s="235"/>
      <c r="U187" s="235"/>
      <c r="V187" s="235"/>
      <c r="W187" s="235"/>
    </row>
    <row r="188" spans="2:23" s="258" customFormat="1" hidden="1">
      <c r="B188" s="235"/>
      <c r="C188" s="263"/>
      <c r="D188" s="235"/>
      <c r="E188" s="263"/>
      <c r="F188" s="235"/>
      <c r="G188" s="235"/>
      <c r="H188" s="235"/>
      <c r="I188" s="235"/>
      <c r="J188" s="235"/>
      <c r="K188" s="235"/>
      <c r="L188" s="235"/>
      <c r="M188" s="235"/>
      <c r="N188" s="235"/>
      <c r="O188" s="235"/>
      <c r="P188" s="235"/>
      <c r="Q188" s="235"/>
      <c r="R188" s="235"/>
      <c r="S188" s="235"/>
      <c r="T188" s="235"/>
      <c r="U188" s="235"/>
      <c r="V188" s="235"/>
      <c r="W188" s="235"/>
    </row>
    <row r="189" spans="2:23" s="258" customFormat="1" hidden="1">
      <c r="B189" s="235"/>
      <c r="C189" s="263"/>
      <c r="D189" s="235"/>
      <c r="E189" s="263"/>
      <c r="F189" s="235"/>
      <c r="G189" s="235"/>
      <c r="H189" s="235"/>
      <c r="I189" s="235"/>
      <c r="J189" s="235"/>
      <c r="K189" s="235"/>
      <c r="L189" s="235"/>
      <c r="M189" s="235"/>
      <c r="N189" s="235"/>
      <c r="O189" s="235"/>
      <c r="P189" s="235"/>
      <c r="Q189" s="235"/>
      <c r="R189" s="235"/>
      <c r="S189" s="235"/>
      <c r="T189" s="235"/>
      <c r="U189" s="235"/>
      <c r="V189" s="235"/>
      <c r="W189" s="235"/>
    </row>
    <row r="190" spans="2:23" s="258" customFormat="1" hidden="1">
      <c r="B190" s="235"/>
      <c r="C190" s="263"/>
      <c r="D190" s="235"/>
      <c r="E190" s="263"/>
      <c r="F190" s="235"/>
      <c r="G190" s="235"/>
      <c r="H190" s="235"/>
      <c r="I190" s="235"/>
      <c r="J190" s="235"/>
      <c r="K190" s="235"/>
      <c r="L190" s="235"/>
      <c r="M190" s="235"/>
      <c r="N190" s="235"/>
      <c r="O190" s="235"/>
      <c r="P190" s="235"/>
      <c r="Q190" s="235"/>
      <c r="R190" s="235"/>
      <c r="S190" s="235"/>
      <c r="T190" s="235"/>
      <c r="U190" s="235"/>
      <c r="V190" s="235"/>
      <c r="W190" s="235"/>
    </row>
    <row r="191" spans="2:23" s="258" customFormat="1" hidden="1">
      <c r="B191" s="235"/>
      <c r="C191" s="263"/>
      <c r="D191" s="235"/>
      <c r="E191" s="263"/>
      <c r="F191" s="235"/>
      <c r="G191" s="235"/>
      <c r="H191" s="235"/>
      <c r="I191" s="235"/>
      <c r="J191" s="235"/>
      <c r="K191" s="235"/>
      <c r="L191" s="235"/>
      <c r="M191" s="235"/>
      <c r="N191" s="235"/>
      <c r="O191" s="235"/>
      <c r="P191" s="235"/>
      <c r="Q191" s="235"/>
      <c r="R191" s="235"/>
      <c r="S191" s="235"/>
      <c r="T191" s="235"/>
      <c r="U191" s="235"/>
      <c r="V191" s="235"/>
      <c r="W191" s="235"/>
    </row>
    <row r="192" spans="2:23" s="258" customFormat="1" hidden="1">
      <c r="B192" s="235"/>
      <c r="C192" s="263"/>
      <c r="D192" s="235"/>
      <c r="E192" s="263"/>
      <c r="F192" s="235"/>
      <c r="G192" s="235"/>
      <c r="H192" s="235"/>
      <c r="I192" s="235"/>
      <c r="J192" s="235"/>
      <c r="K192" s="235"/>
      <c r="L192" s="235"/>
      <c r="M192" s="235"/>
      <c r="N192" s="235"/>
      <c r="O192" s="235"/>
      <c r="P192" s="235"/>
      <c r="Q192" s="235"/>
      <c r="R192" s="235"/>
      <c r="S192" s="235"/>
      <c r="T192" s="235"/>
      <c r="U192" s="235"/>
      <c r="V192" s="235"/>
      <c r="W192" s="235"/>
    </row>
    <row r="193" spans="2:23" s="258" customFormat="1" hidden="1">
      <c r="B193" s="235"/>
      <c r="C193" s="263"/>
      <c r="D193" s="235"/>
      <c r="E193" s="263"/>
      <c r="F193" s="235"/>
      <c r="G193" s="235"/>
      <c r="H193" s="235"/>
      <c r="I193" s="235"/>
      <c r="J193" s="235"/>
      <c r="K193" s="235"/>
      <c r="L193" s="235"/>
      <c r="M193" s="235"/>
      <c r="N193" s="235"/>
      <c r="O193" s="235"/>
      <c r="P193" s="235"/>
      <c r="Q193" s="235"/>
      <c r="R193" s="235"/>
      <c r="S193" s="235"/>
      <c r="T193" s="235"/>
      <c r="U193" s="235"/>
      <c r="V193" s="235"/>
      <c r="W193" s="235"/>
    </row>
    <row r="194" spans="2:23" s="258" customFormat="1" hidden="1">
      <c r="B194" s="235"/>
      <c r="C194" s="263"/>
      <c r="D194" s="235"/>
      <c r="E194" s="263"/>
      <c r="F194" s="235"/>
      <c r="G194" s="235"/>
      <c r="H194" s="235"/>
      <c r="I194" s="235"/>
      <c r="J194" s="235"/>
      <c r="K194" s="235"/>
      <c r="L194" s="235"/>
      <c r="M194" s="235"/>
      <c r="N194" s="235"/>
      <c r="O194" s="235"/>
      <c r="P194" s="235"/>
      <c r="Q194" s="235"/>
      <c r="R194" s="235"/>
      <c r="S194" s="235"/>
      <c r="T194" s="235"/>
      <c r="U194" s="235"/>
      <c r="V194" s="235"/>
      <c r="W194" s="235"/>
    </row>
    <row r="195" spans="2:23" s="258" customFormat="1" hidden="1">
      <c r="B195" s="235"/>
      <c r="C195" s="263"/>
      <c r="D195" s="235"/>
      <c r="E195" s="263"/>
      <c r="F195" s="235"/>
      <c r="G195" s="235"/>
      <c r="H195" s="235"/>
      <c r="I195" s="235"/>
      <c r="J195" s="235"/>
      <c r="K195" s="235"/>
      <c r="L195" s="235"/>
      <c r="M195" s="235"/>
      <c r="N195" s="235"/>
      <c r="O195" s="235"/>
      <c r="P195" s="235"/>
      <c r="Q195" s="235"/>
      <c r="R195" s="235"/>
      <c r="S195" s="235"/>
      <c r="T195" s="235"/>
      <c r="U195" s="235"/>
      <c r="V195" s="235"/>
      <c r="W195" s="235"/>
    </row>
    <row r="196" spans="2:23" s="258" customFormat="1" hidden="1">
      <c r="B196" s="235"/>
      <c r="C196" s="263"/>
      <c r="D196" s="235"/>
      <c r="E196" s="263"/>
      <c r="F196" s="235"/>
      <c r="G196" s="235"/>
      <c r="H196" s="235"/>
      <c r="I196" s="235"/>
      <c r="J196" s="235"/>
      <c r="K196" s="235"/>
      <c r="L196" s="235"/>
      <c r="M196" s="235"/>
      <c r="N196" s="235"/>
      <c r="O196" s="235"/>
      <c r="P196" s="235"/>
      <c r="Q196" s="235"/>
      <c r="R196" s="235"/>
      <c r="S196" s="235"/>
      <c r="T196" s="235"/>
      <c r="U196" s="235"/>
      <c r="V196" s="235"/>
      <c r="W196" s="235"/>
    </row>
    <row r="197" spans="2:23" s="258" customFormat="1" hidden="1">
      <c r="B197" s="235"/>
      <c r="C197" s="263"/>
      <c r="D197" s="235"/>
      <c r="E197" s="263"/>
      <c r="F197" s="235"/>
      <c r="G197" s="235"/>
      <c r="H197" s="235"/>
      <c r="I197" s="235"/>
      <c r="J197" s="235"/>
      <c r="K197" s="235"/>
      <c r="L197" s="235"/>
      <c r="M197" s="235"/>
      <c r="N197" s="235"/>
      <c r="O197" s="235"/>
      <c r="P197" s="235"/>
      <c r="Q197" s="235"/>
      <c r="R197" s="235"/>
      <c r="S197" s="235"/>
      <c r="T197" s="235"/>
      <c r="U197" s="235"/>
      <c r="V197" s="235"/>
      <c r="W197" s="235"/>
    </row>
    <row r="198" spans="2:23" s="258" customFormat="1" hidden="1">
      <c r="B198" s="235"/>
      <c r="C198" s="263"/>
      <c r="D198" s="235"/>
      <c r="E198" s="263"/>
      <c r="F198" s="235"/>
      <c r="G198" s="235"/>
      <c r="H198" s="235"/>
      <c r="I198" s="235"/>
      <c r="J198" s="235"/>
      <c r="K198" s="235"/>
      <c r="L198" s="235"/>
      <c r="M198" s="235"/>
      <c r="N198" s="235"/>
      <c r="O198" s="235"/>
      <c r="P198" s="235"/>
      <c r="Q198" s="235"/>
      <c r="R198" s="235"/>
      <c r="S198" s="235"/>
      <c r="T198" s="235"/>
      <c r="U198" s="235"/>
      <c r="V198" s="235"/>
      <c r="W198" s="235"/>
    </row>
    <row r="199" spans="2:23" s="258" customFormat="1" hidden="1">
      <c r="B199" s="235"/>
      <c r="C199" s="263"/>
      <c r="D199" s="235"/>
      <c r="E199" s="263"/>
      <c r="F199" s="235"/>
      <c r="G199" s="235"/>
      <c r="H199" s="235"/>
      <c r="I199" s="235"/>
      <c r="J199" s="235"/>
      <c r="K199" s="235"/>
      <c r="L199" s="235"/>
      <c r="M199" s="235"/>
      <c r="N199" s="235"/>
      <c r="O199" s="235"/>
      <c r="P199" s="235"/>
      <c r="Q199" s="235"/>
      <c r="R199" s="235"/>
      <c r="S199" s="235"/>
      <c r="T199" s="235"/>
      <c r="U199" s="235"/>
      <c r="V199" s="235"/>
      <c r="W199" s="235"/>
    </row>
    <row r="200" spans="2:23" s="258" customFormat="1" hidden="1">
      <c r="B200" s="235"/>
      <c r="C200" s="263"/>
      <c r="D200" s="235"/>
      <c r="E200" s="263"/>
      <c r="F200" s="235"/>
      <c r="G200" s="235"/>
      <c r="H200" s="235"/>
      <c r="I200" s="235"/>
      <c r="J200" s="235"/>
      <c r="K200" s="235"/>
      <c r="L200" s="235"/>
      <c r="M200" s="235"/>
      <c r="N200" s="235"/>
      <c r="O200" s="235"/>
      <c r="P200" s="235"/>
      <c r="Q200" s="235"/>
      <c r="R200" s="235"/>
      <c r="S200" s="235"/>
      <c r="T200" s="235"/>
      <c r="U200" s="235"/>
      <c r="V200" s="235"/>
      <c r="W200" s="235"/>
    </row>
    <row r="201" spans="2:23" s="258" customFormat="1" hidden="1">
      <c r="B201" s="235"/>
      <c r="C201" s="263"/>
      <c r="D201" s="235"/>
      <c r="E201" s="263"/>
      <c r="F201" s="235"/>
      <c r="G201" s="235"/>
      <c r="H201" s="235"/>
      <c r="I201" s="235"/>
      <c r="J201" s="235"/>
      <c r="K201" s="235"/>
      <c r="L201" s="235"/>
      <c r="M201" s="235"/>
      <c r="N201" s="235"/>
      <c r="O201" s="235"/>
      <c r="P201" s="235"/>
      <c r="Q201" s="235"/>
      <c r="R201" s="235"/>
      <c r="S201" s="235"/>
      <c r="T201" s="235"/>
      <c r="U201" s="235"/>
      <c r="V201" s="235"/>
      <c r="W201" s="235"/>
    </row>
    <row r="202" spans="2:23" s="258" customFormat="1" hidden="1">
      <c r="B202" s="235"/>
      <c r="C202" s="263"/>
      <c r="D202" s="235"/>
      <c r="E202" s="263"/>
      <c r="F202" s="235"/>
      <c r="G202" s="235"/>
      <c r="H202" s="235"/>
      <c r="I202" s="235"/>
      <c r="J202" s="235"/>
      <c r="K202" s="235"/>
      <c r="L202" s="235"/>
      <c r="M202" s="235"/>
      <c r="N202" s="235"/>
      <c r="O202" s="235"/>
      <c r="P202" s="235"/>
      <c r="Q202" s="235"/>
      <c r="R202" s="235"/>
      <c r="S202" s="235"/>
      <c r="T202" s="235"/>
      <c r="U202" s="235"/>
      <c r="V202" s="235"/>
      <c r="W202" s="235"/>
    </row>
    <row r="203" spans="2:23" s="258" customFormat="1" hidden="1">
      <c r="B203" s="235"/>
      <c r="C203" s="263"/>
      <c r="D203" s="235"/>
      <c r="E203" s="263"/>
      <c r="F203" s="235"/>
      <c r="G203" s="235"/>
      <c r="H203" s="235"/>
      <c r="I203" s="235"/>
      <c r="J203" s="235"/>
      <c r="K203" s="235"/>
      <c r="L203" s="235"/>
      <c r="M203" s="235"/>
      <c r="N203" s="235"/>
      <c r="O203" s="235"/>
      <c r="P203" s="235"/>
      <c r="Q203" s="235"/>
      <c r="R203" s="235"/>
      <c r="S203" s="235"/>
      <c r="T203" s="235"/>
      <c r="U203" s="235"/>
      <c r="V203" s="235"/>
      <c r="W203" s="235"/>
    </row>
    <row r="204" spans="2:23" s="258" customFormat="1" hidden="1">
      <c r="B204" s="235"/>
      <c r="C204" s="263"/>
      <c r="D204" s="235"/>
      <c r="E204" s="263"/>
      <c r="F204" s="235"/>
      <c r="G204" s="235"/>
      <c r="H204" s="235"/>
      <c r="I204" s="235"/>
      <c r="J204" s="235"/>
      <c r="K204" s="235"/>
      <c r="L204" s="235"/>
      <c r="M204" s="235"/>
      <c r="N204" s="235"/>
      <c r="O204" s="235"/>
      <c r="P204" s="235"/>
      <c r="Q204" s="235"/>
      <c r="R204" s="235"/>
      <c r="S204" s="235"/>
      <c r="T204" s="235"/>
      <c r="U204" s="235"/>
      <c r="V204" s="235"/>
      <c r="W204" s="235"/>
    </row>
    <row r="205" spans="2:23" s="258" customFormat="1" hidden="1">
      <c r="B205" s="235"/>
      <c r="C205" s="263"/>
      <c r="D205" s="235"/>
      <c r="E205" s="263"/>
      <c r="F205" s="235"/>
      <c r="G205" s="235"/>
      <c r="H205" s="235"/>
      <c r="I205" s="235"/>
      <c r="J205" s="235"/>
      <c r="K205" s="235"/>
      <c r="L205" s="235"/>
      <c r="M205" s="235"/>
      <c r="N205" s="235"/>
      <c r="O205" s="235"/>
      <c r="P205" s="235"/>
      <c r="Q205" s="235"/>
      <c r="R205" s="235"/>
      <c r="S205" s="235"/>
      <c r="T205" s="235"/>
      <c r="U205" s="235"/>
      <c r="V205" s="235"/>
      <c r="W205" s="235"/>
    </row>
    <row r="206" spans="2:23" s="258" customFormat="1" hidden="1">
      <c r="B206" s="235"/>
      <c r="C206" s="263"/>
      <c r="D206" s="235"/>
      <c r="E206" s="263"/>
      <c r="F206" s="235"/>
      <c r="G206" s="235"/>
      <c r="H206" s="235"/>
      <c r="I206" s="235"/>
      <c r="J206" s="235"/>
      <c r="K206" s="235"/>
      <c r="L206" s="235"/>
      <c r="M206" s="235"/>
      <c r="N206" s="235"/>
      <c r="O206" s="235"/>
      <c r="P206" s="235"/>
      <c r="Q206" s="235"/>
      <c r="R206" s="235"/>
      <c r="S206" s="235"/>
      <c r="T206" s="235"/>
      <c r="U206" s="235"/>
      <c r="V206" s="235"/>
      <c r="W206" s="235"/>
    </row>
    <row r="207" spans="2:23" s="258" customFormat="1" hidden="1">
      <c r="B207" s="235"/>
      <c r="C207" s="263"/>
      <c r="D207" s="235"/>
      <c r="E207" s="263"/>
      <c r="F207" s="235"/>
      <c r="G207" s="235"/>
      <c r="H207" s="235"/>
      <c r="I207" s="235"/>
      <c r="J207" s="235"/>
      <c r="K207" s="235"/>
      <c r="L207" s="235"/>
      <c r="M207" s="235"/>
      <c r="N207" s="235"/>
      <c r="O207" s="235"/>
      <c r="P207" s="235"/>
      <c r="Q207" s="235"/>
      <c r="R207" s="235"/>
      <c r="S207" s="235"/>
      <c r="T207" s="235"/>
      <c r="U207" s="235"/>
      <c r="V207" s="235"/>
      <c r="W207" s="235"/>
    </row>
    <row r="208" spans="2:23" s="258" customFormat="1" hidden="1">
      <c r="B208" s="235"/>
      <c r="C208" s="263"/>
      <c r="D208" s="235"/>
      <c r="E208" s="263"/>
      <c r="F208" s="235"/>
      <c r="G208" s="235"/>
      <c r="H208" s="235"/>
      <c r="I208" s="235"/>
      <c r="J208" s="235"/>
      <c r="K208" s="235"/>
      <c r="L208" s="235"/>
      <c r="M208" s="235"/>
      <c r="N208" s="235"/>
      <c r="O208" s="235"/>
      <c r="P208" s="235"/>
      <c r="Q208" s="235"/>
      <c r="R208" s="235"/>
      <c r="S208" s="235"/>
      <c r="T208" s="235"/>
      <c r="U208" s="235"/>
      <c r="V208" s="235"/>
      <c r="W208" s="235"/>
    </row>
    <row r="209" spans="2:23" s="258" customFormat="1" hidden="1">
      <c r="B209" s="235"/>
      <c r="C209" s="263"/>
      <c r="D209" s="235"/>
      <c r="E209" s="263"/>
      <c r="F209" s="235"/>
      <c r="G209" s="235"/>
      <c r="H209" s="235"/>
      <c r="I209" s="235"/>
      <c r="J209" s="235"/>
      <c r="K209" s="235"/>
      <c r="L209" s="235"/>
      <c r="M209" s="235"/>
      <c r="N209" s="235"/>
      <c r="O209" s="235"/>
      <c r="P209" s="235"/>
      <c r="Q209" s="235"/>
      <c r="R209" s="235"/>
      <c r="S209" s="235"/>
      <c r="T209" s="235"/>
      <c r="U209" s="235"/>
      <c r="V209" s="235"/>
      <c r="W209" s="235"/>
    </row>
    <row r="210" spans="2:23" s="258" customFormat="1" hidden="1">
      <c r="B210" s="235"/>
      <c r="C210" s="263"/>
      <c r="D210" s="235"/>
      <c r="E210" s="263"/>
      <c r="F210" s="235"/>
      <c r="G210" s="235"/>
      <c r="H210" s="235"/>
      <c r="I210" s="235"/>
      <c r="J210" s="235"/>
      <c r="K210" s="235"/>
      <c r="L210" s="235"/>
      <c r="M210" s="235"/>
      <c r="N210" s="235"/>
      <c r="O210" s="235"/>
      <c r="P210" s="235"/>
      <c r="Q210" s="235"/>
      <c r="R210" s="235"/>
      <c r="S210" s="235"/>
      <c r="T210" s="235"/>
      <c r="U210" s="235"/>
      <c r="V210" s="235"/>
      <c r="W210" s="235"/>
    </row>
    <row r="211" spans="2:23" s="258" customFormat="1" hidden="1">
      <c r="B211" s="235"/>
      <c r="C211" s="263"/>
      <c r="D211" s="235"/>
      <c r="E211" s="263"/>
      <c r="F211" s="235"/>
      <c r="G211" s="235"/>
      <c r="H211" s="235"/>
      <c r="I211" s="235"/>
      <c r="J211" s="235"/>
      <c r="K211" s="235"/>
      <c r="L211" s="235"/>
      <c r="M211" s="235"/>
      <c r="N211" s="235"/>
      <c r="O211" s="235"/>
      <c r="P211" s="235"/>
      <c r="Q211" s="235"/>
      <c r="R211" s="235"/>
      <c r="S211" s="235"/>
      <c r="T211" s="235"/>
      <c r="U211" s="235"/>
      <c r="V211" s="235"/>
      <c r="W211" s="235"/>
    </row>
    <row r="212" spans="2:23" s="258" customFormat="1" hidden="1">
      <c r="B212" s="235"/>
      <c r="C212" s="263"/>
      <c r="D212" s="235"/>
      <c r="E212" s="263"/>
      <c r="F212" s="235"/>
      <c r="G212" s="235"/>
      <c r="H212" s="235"/>
      <c r="I212" s="235"/>
      <c r="J212" s="235"/>
      <c r="K212" s="235"/>
      <c r="L212" s="235"/>
      <c r="M212" s="235"/>
      <c r="N212" s="235"/>
      <c r="O212" s="235"/>
      <c r="P212" s="235"/>
      <c r="Q212" s="235"/>
      <c r="R212" s="235"/>
      <c r="S212" s="235"/>
      <c r="T212" s="235"/>
      <c r="U212" s="235"/>
      <c r="V212" s="235"/>
      <c r="W212" s="235"/>
    </row>
    <row r="213" spans="2:23" s="258" customFormat="1" hidden="1">
      <c r="B213" s="235"/>
      <c r="C213" s="263"/>
      <c r="D213" s="235"/>
      <c r="E213" s="263"/>
      <c r="F213" s="235"/>
      <c r="G213" s="235"/>
      <c r="H213" s="235"/>
      <c r="I213" s="235"/>
      <c r="J213" s="235"/>
      <c r="K213" s="235"/>
      <c r="L213" s="235"/>
      <c r="M213" s="235"/>
      <c r="N213" s="235"/>
      <c r="O213" s="235"/>
      <c r="P213" s="235"/>
      <c r="Q213" s="235"/>
      <c r="R213" s="235"/>
      <c r="S213" s="235"/>
      <c r="T213" s="235"/>
      <c r="U213" s="235"/>
      <c r="V213" s="235"/>
      <c r="W213" s="235"/>
    </row>
    <row r="214" spans="2:23" s="258" customFormat="1" hidden="1">
      <c r="B214" s="235"/>
      <c r="C214" s="263"/>
      <c r="D214" s="235"/>
      <c r="E214" s="263"/>
      <c r="F214" s="235"/>
      <c r="G214" s="235"/>
      <c r="H214" s="235"/>
      <c r="I214" s="235"/>
      <c r="J214" s="235"/>
      <c r="K214" s="235"/>
      <c r="L214" s="235"/>
      <c r="M214" s="235"/>
      <c r="N214" s="235"/>
      <c r="O214" s="235"/>
      <c r="P214" s="235"/>
      <c r="Q214" s="235"/>
      <c r="R214" s="235"/>
      <c r="S214" s="235"/>
      <c r="T214" s="235"/>
      <c r="U214" s="235"/>
      <c r="V214" s="235"/>
      <c r="W214" s="235"/>
    </row>
    <row r="215" spans="2:23" s="258" customFormat="1" hidden="1">
      <c r="B215" s="235"/>
      <c r="C215" s="263"/>
      <c r="D215" s="235"/>
      <c r="E215" s="263"/>
      <c r="F215" s="235"/>
      <c r="G215" s="235"/>
      <c r="H215" s="235"/>
      <c r="I215" s="235"/>
      <c r="J215" s="235"/>
      <c r="K215" s="235"/>
      <c r="L215" s="235"/>
      <c r="M215" s="235"/>
      <c r="N215" s="235"/>
      <c r="O215" s="235"/>
      <c r="P215" s="235"/>
      <c r="Q215" s="235"/>
      <c r="R215" s="235"/>
      <c r="S215" s="235"/>
      <c r="T215" s="235"/>
      <c r="U215" s="235"/>
      <c r="V215" s="235"/>
      <c r="W215" s="235"/>
    </row>
    <row r="216" spans="2:23" s="258" customFormat="1" hidden="1">
      <c r="B216" s="235"/>
      <c r="C216" s="263"/>
      <c r="D216" s="235"/>
      <c r="E216" s="263"/>
      <c r="F216" s="235"/>
      <c r="G216" s="235"/>
      <c r="H216" s="235"/>
      <c r="I216" s="235"/>
      <c r="J216" s="235"/>
      <c r="K216" s="235"/>
      <c r="L216" s="235"/>
      <c r="M216" s="235"/>
      <c r="N216" s="235"/>
      <c r="O216" s="235"/>
      <c r="P216" s="235"/>
      <c r="Q216" s="235"/>
      <c r="R216" s="235"/>
      <c r="S216" s="235"/>
      <c r="T216" s="235"/>
      <c r="U216" s="235"/>
      <c r="V216" s="235"/>
      <c r="W216" s="235"/>
    </row>
    <row r="217" spans="2:23" s="258" customFormat="1" hidden="1">
      <c r="B217" s="235"/>
      <c r="C217" s="263"/>
      <c r="D217" s="235"/>
      <c r="E217" s="263"/>
      <c r="F217" s="235"/>
      <c r="G217" s="235"/>
      <c r="H217" s="235"/>
      <c r="I217" s="235"/>
      <c r="J217" s="235"/>
      <c r="K217" s="235"/>
      <c r="L217" s="235"/>
      <c r="M217" s="235"/>
      <c r="N217" s="235"/>
      <c r="O217" s="235"/>
      <c r="P217" s="235"/>
      <c r="Q217" s="235"/>
      <c r="R217" s="235"/>
      <c r="S217" s="235"/>
      <c r="T217" s="235"/>
      <c r="U217" s="235"/>
      <c r="V217" s="235"/>
      <c r="W217" s="235"/>
    </row>
    <row r="218" spans="2:23" s="258" customFormat="1" hidden="1">
      <c r="B218" s="235"/>
      <c r="C218" s="263"/>
      <c r="D218" s="235"/>
      <c r="E218" s="263"/>
      <c r="F218" s="235"/>
      <c r="G218" s="235"/>
      <c r="H218" s="235"/>
      <c r="I218" s="235"/>
      <c r="J218" s="235"/>
      <c r="K218" s="235"/>
      <c r="L218" s="235"/>
      <c r="M218" s="235"/>
      <c r="N218" s="235"/>
      <c r="O218" s="235"/>
      <c r="P218" s="235"/>
      <c r="Q218" s="235"/>
      <c r="R218" s="235"/>
      <c r="S218" s="235"/>
      <c r="T218" s="235"/>
      <c r="U218" s="235"/>
      <c r="V218" s="235"/>
      <c r="W218" s="235"/>
    </row>
    <row r="219" spans="2:23" s="258" customFormat="1" hidden="1">
      <c r="B219" s="235"/>
      <c r="C219" s="263"/>
      <c r="D219" s="235"/>
      <c r="E219" s="263"/>
      <c r="F219" s="235"/>
      <c r="G219" s="235"/>
      <c r="H219" s="235"/>
      <c r="I219" s="235"/>
      <c r="J219" s="235"/>
      <c r="K219" s="235"/>
      <c r="L219" s="235"/>
      <c r="M219" s="235"/>
      <c r="N219" s="235"/>
      <c r="O219" s="235"/>
      <c r="P219" s="235"/>
      <c r="Q219" s="235"/>
      <c r="R219" s="235"/>
      <c r="S219" s="235"/>
      <c r="T219" s="235"/>
      <c r="U219" s="235"/>
      <c r="V219" s="235"/>
      <c r="W219" s="235"/>
    </row>
    <row r="220" spans="2:23" s="258" customFormat="1" hidden="1">
      <c r="B220" s="235"/>
      <c r="C220" s="263"/>
      <c r="D220" s="235"/>
      <c r="E220" s="263"/>
      <c r="F220" s="235"/>
      <c r="G220" s="235"/>
      <c r="H220" s="235"/>
      <c r="I220" s="235"/>
      <c r="J220" s="235"/>
      <c r="K220" s="235"/>
      <c r="L220" s="235"/>
      <c r="M220" s="235"/>
      <c r="N220" s="235"/>
      <c r="O220" s="235"/>
      <c r="P220" s="235"/>
      <c r="Q220" s="235"/>
      <c r="R220" s="235"/>
      <c r="S220" s="235"/>
      <c r="T220" s="235"/>
      <c r="U220" s="235"/>
      <c r="V220" s="235"/>
      <c r="W220" s="235"/>
    </row>
    <row r="221" spans="2:23" s="258" customFormat="1" hidden="1">
      <c r="B221" s="235"/>
      <c r="C221" s="263"/>
      <c r="D221" s="235"/>
      <c r="E221" s="263"/>
      <c r="F221" s="235"/>
      <c r="G221" s="235"/>
      <c r="H221" s="235"/>
      <c r="I221" s="235"/>
      <c r="J221" s="235"/>
      <c r="K221" s="235"/>
      <c r="L221" s="235"/>
      <c r="M221" s="235"/>
      <c r="N221" s="235"/>
      <c r="O221" s="235"/>
      <c r="P221" s="235"/>
      <c r="Q221" s="235"/>
      <c r="R221" s="235"/>
      <c r="S221" s="235"/>
      <c r="T221" s="235"/>
      <c r="U221" s="235"/>
      <c r="V221" s="235"/>
      <c r="W221" s="235"/>
    </row>
    <row r="222" spans="2:23" s="258" customFormat="1" hidden="1">
      <c r="B222" s="235"/>
      <c r="C222" s="263"/>
      <c r="D222" s="235"/>
      <c r="E222" s="263"/>
      <c r="F222" s="235"/>
      <c r="G222" s="235"/>
      <c r="H222" s="235"/>
      <c r="I222" s="235"/>
      <c r="J222" s="235"/>
      <c r="K222" s="235"/>
      <c r="L222" s="235"/>
      <c r="M222" s="235"/>
      <c r="N222" s="235"/>
      <c r="O222" s="235"/>
      <c r="P222" s="235"/>
      <c r="Q222" s="235"/>
      <c r="R222" s="235"/>
      <c r="S222" s="235"/>
      <c r="T222" s="235"/>
      <c r="U222" s="235"/>
      <c r="V222" s="235"/>
      <c r="W222" s="235"/>
    </row>
    <row r="223" spans="2:23" s="258" customFormat="1" hidden="1">
      <c r="B223" s="235"/>
      <c r="C223" s="263"/>
      <c r="D223" s="235"/>
      <c r="E223" s="263"/>
      <c r="F223" s="235"/>
      <c r="G223" s="235"/>
      <c r="H223" s="235"/>
      <c r="I223" s="235"/>
      <c r="J223" s="235"/>
      <c r="K223" s="235"/>
      <c r="L223" s="235"/>
      <c r="M223" s="235"/>
      <c r="N223" s="235"/>
      <c r="O223" s="235"/>
      <c r="P223" s="235"/>
      <c r="Q223" s="235"/>
      <c r="R223" s="235"/>
      <c r="S223" s="235"/>
      <c r="T223" s="235"/>
      <c r="U223" s="235"/>
      <c r="V223" s="235"/>
      <c r="W223" s="235"/>
    </row>
    <row r="224" spans="2:23" s="258" customFormat="1" hidden="1">
      <c r="B224" s="235"/>
      <c r="C224" s="263"/>
      <c r="D224" s="235"/>
      <c r="E224" s="263"/>
      <c r="F224" s="235"/>
      <c r="G224" s="235"/>
      <c r="H224" s="235"/>
      <c r="I224" s="235"/>
      <c r="J224" s="235"/>
      <c r="K224" s="235"/>
      <c r="L224" s="235"/>
      <c r="M224" s="235"/>
      <c r="N224" s="235"/>
      <c r="O224" s="235"/>
      <c r="P224" s="235"/>
      <c r="Q224" s="235"/>
      <c r="R224" s="235"/>
      <c r="S224" s="235"/>
      <c r="T224" s="235"/>
      <c r="U224" s="235"/>
      <c r="V224" s="235"/>
      <c r="W224" s="235"/>
    </row>
    <row r="225" spans="2:23" s="258" customFormat="1" hidden="1">
      <c r="B225" s="235"/>
      <c r="C225" s="263"/>
      <c r="D225" s="235"/>
      <c r="E225" s="263"/>
      <c r="F225" s="235"/>
      <c r="G225" s="235"/>
      <c r="H225" s="235"/>
      <c r="I225" s="235"/>
      <c r="J225" s="235"/>
      <c r="K225" s="235"/>
      <c r="L225" s="235"/>
      <c r="M225" s="235"/>
      <c r="N225" s="235"/>
      <c r="O225" s="235"/>
      <c r="P225" s="235"/>
      <c r="Q225" s="235"/>
      <c r="R225" s="235"/>
      <c r="S225" s="235"/>
      <c r="T225" s="235"/>
      <c r="U225" s="235"/>
      <c r="V225" s="235"/>
      <c r="W225" s="235"/>
    </row>
    <row r="226" spans="2:23" s="258" customFormat="1" hidden="1">
      <c r="B226" s="235"/>
      <c r="C226" s="263"/>
      <c r="D226" s="235"/>
      <c r="E226" s="263"/>
      <c r="F226" s="235"/>
      <c r="G226" s="235"/>
      <c r="H226" s="235"/>
      <c r="I226" s="235"/>
      <c r="J226" s="235"/>
      <c r="K226" s="235"/>
      <c r="L226" s="235"/>
      <c r="M226" s="235"/>
      <c r="N226" s="235"/>
      <c r="O226" s="235"/>
      <c r="P226" s="235"/>
      <c r="Q226" s="235"/>
      <c r="R226" s="235"/>
      <c r="S226" s="235"/>
      <c r="T226" s="235"/>
      <c r="U226" s="235"/>
      <c r="V226" s="235"/>
      <c r="W226" s="235"/>
    </row>
    <row r="227" spans="2:23" s="258" customFormat="1" hidden="1">
      <c r="B227" s="235"/>
      <c r="C227" s="263"/>
      <c r="D227" s="235"/>
      <c r="E227" s="263"/>
      <c r="F227" s="235"/>
      <c r="G227" s="235"/>
      <c r="H227" s="235"/>
      <c r="I227" s="235"/>
      <c r="J227" s="235"/>
      <c r="K227" s="235"/>
      <c r="L227" s="235"/>
      <c r="M227" s="235"/>
      <c r="N227" s="235"/>
      <c r="O227" s="235"/>
      <c r="P227" s="235"/>
      <c r="Q227" s="235"/>
      <c r="R227" s="235"/>
      <c r="S227" s="235"/>
      <c r="T227" s="235"/>
      <c r="U227" s="235"/>
      <c r="V227" s="235"/>
      <c r="W227" s="235"/>
    </row>
    <row r="228" spans="2:23" s="258" customFormat="1" hidden="1">
      <c r="B228" s="235"/>
      <c r="C228" s="263"/>
      <c r="D228" s="235"/>
      <c r="E228" s="263"/>
      <c r="F228" s="235"/>
      <c r="G228" s="235"/>
      <c r="H228" s="235"/>
      <c r="I228" s="235"/>
      <c r="J228" s="235"/>
      <c r="K228" s="235"/>
      <c r="L228" s="235"/>
      <c r="M228" s="235"/>
      <c r="N228" s="235"/>
      <c r="O228" s="235"/>
      <c r="P228" s="235"/>
      <c r="Q228" s="235"/>
      <c r="R228" s="235"/>
      <c r="S228" s="235"/>
      <c r="T228" s="235"/>
      <c r="U228" s="235"/>
      <c r="V228" s="235"/>
      <c r="W228" s="235"/>
    </row>
    <row r="229" spans="2:23" s="258" customFormat="1" hidden="1">
      <c r="B229" s="235"/>
      <c r="C229" s="263"/>
      <c r="D229" s="235"/>
      <c r="E229" s="263"/>
      <c r="F229" s="235"/>
      <c r="G229" s="235"/>
      <c r="H229" s="235"/>
      <c r="I229" s="235"/>
      <c r="J229" s="235"/>
      <c r="K229" s="235"/>
      <c r="L229" s="235"/>
      <c r="M229" s="235"/>
      <c r="N229" s="235"/>
      <c r="O229" s="235"/>
      <c r="P229" s="235"/>
      <c r="Q229" s="235"/>
      <c r="R229" s="235"/>
      <c r="S229" s="235"/>
      <c r="T229" s="235"/>
      <c r="U229" s="235"/>
      <c r="V229" s="235"/>
      <c r="W229" s="235"/>
    </row>
    <row r="230" spans="2:23" s="258" customFormat="1" hidden="1">
      <c r="B230" s="235"/>
      <c r="C230" s="263"/>
      <c r="D230" s="235"/>
      <c r="E230" s="263"/>
      <c r="F230" s="235"/>
      <c r="G230" s="235"/>
      <c r="H230" s="235"/>
      <c r="I230" s="235"/>
      <c r="J230" s="235"/>
      <c r="K230" s="235"/>
      <c r="L230" s="235"/>
      <c r="M230" s="235"/>
      <c r="N230" s="235"/>
      <c r="O230" s="235"/>
      <c r="P230" s="235"/>
      <c r="Q230" s="235"/>
      <c r="R230" s="235"/>
      <c r="S230" s="235"/>
      <c r="T230" s="235"/>
      <c r="U230" s="235"/>
      <c r="V230" s="235"/>
      <c r="W230" s="235"/>
    </row>
    <row r="231" spans="2:23" s="258" customFormat="1" hidden="1">
      <c r="B231" s="235"/>
      <c r="C231" s="263"/>
      <c r="D231" s="235"/>
      <c r="E231" s="263"/>
      <c r="F231" s="235"/>
      <c r="G231" s="235"/>
      <c r="H231" s="235"/>
      <c r="I231" s="235"/>
      <c r="J231" s="235"/>
      <c r="K231" s="235"/>
      <c r="L231" s="235"/>
      <c r="M231" s="235"/>
      <c r="N231" s="235"/>
      <c r="O231" s="235"/>
      <c r="P231" s="235"/>
      <c r="Q231" s="235"/>
      <c r="R231" s="235"/>
      <c r="S231" s="235"/>
      <c r="T231" s="235"/>
      <c r="U231" s="235"/>
      <c r="V231" s="235"/>
      <c r="W231" s="235"/>
    </row>
    <row r="232" spans="2:23" s="258" customFormat="1" hidden="1">
      <c r="B232" s="235"/>
      <c r="C232" s="263"/>
      <c r="D232" s="235"/>
      <c r="E232" s="263"/>
      <c r="F232" s="235"/>
      <c r="G232" s="235"/>
      <c r="H232" s="235"/>
      <c r="I232" s="235"/>
      <c r="J232" s="235"/>
      <c r="K232" s="235"/>
      <c r="L232" s="235"/>
      <c r="M232" s="235"/>
      <c r="N232" s="235"/>
      <c r="O232" s="235"/>
      <c r="P232" s="235"/>
      <c r="Q232" s="235"/>
      <c r="R232" s="235"/>
      <c r="S232" s="235"/>
      <c r="T232" s="235"/>
      <c r="U232" s="235"/>
      <c r="V232" s="235"/>
      <c r="W232" s="235"/>
    </row>
    <row r="233" spans="2:23" s="258" customFormat="1" hidden="1">
      <c r="B233" s="235"/>
      <c r="C233" s="263"/>
      <c r="D233" s="235"/>
      <c r="E233" s="263"/>
      <c r="F233" s="235"/>
      <c r="G233" s="235"/>
      <c r="H233" s="235"/>
      <c r="I233" s="235"/>
      <c r="J233" s="235"/>
      <c r="K233" s="235"/>
      <c r="L233" s="235"/>
      <c r="M233" s="235"/>
      <c r="N233" s="235"/>
      <c r="O233" s="235"/>
      <c r="P233" s="235"/>
      <c r="Q233" s="235"/>
      <c r="R233" s="235"/>
      <c r="S233" s="235"/>
      <c r="T233" s="235"/>
      <c r="U233" s="235"/>
      <c r="V233" s="235"/>
      <c r="W233" s="235"/>
    </row>
    <row r="234" spans="2:23" s="258" customFormat="1" hidden="1">
      <c r="B234" s="235"/>
      <c r="C234" s="263"/>
      <c r="D234" s="235"/>
      <c r="E234" s="263"/>
      <c r="F234" s="235"/>
      <c r="G234" s="235"/>
      <c r="H234" s="235"/>
      <c r="I234" s="235"/>
      <c r="J234" s="235"/>
      <c r="K234" s="235"/>
      <c r="L234" s="235"/>
      <c r="M234" s="235"/>
      <c r="N234" s="235"/>
      <c r="O234" s="235"/>
      <c r="P234" s="235"/>
      <c r="Q234" s="235"/>
      <c r="R234" s="235"/>
      <c r="S234" s="235"/>
      <c r="T234" s="235"/>
      <c r="U234" s="235"/>
      <c r="V234" s="235"/>
      <c r="W234" s="235"/>
    </row>
    <row r="235" spans="2:23" s="258" customFormat="1" hidden="1">
      <c r="B235" s="235"/>
      <c r="C235" s="263"/>
      <c r="D235" s="235"/>
      <c r="E235" s="263"/>
      <c r="F235" s="235"/>
      <c r="G235" s="235"/>
      <c r="H235" s="235"/>
      <c r="I235" s="235"/>
      <c r="J235" s="235"/>
      <c r="K235" s="235"/>
      <c r="L235" s="235"/>
      <c r="M235" s="235"/>
      <c r="N235" s="235"/>
      <c r="O235" s="235"/>
      <c r="P235" s="235"/>
      <c r="Q235" s="235"/>
      <c r="R235" s="235"/>
      <c r="S235" s="235"/>
      <c r="T235" s="235"/>
      <c r="U235" s="235"/>
      <c r="V235" s="235"/>
      <c r="W235" s="235"/>
    </row>
    <row r="236" spans="2:23" s="258" customFormat="1" hidden="1">
      <c r="B236" s="235"/>
      <c r="C236" s="263"/>
      <c r="D236" s="235"/>
      <c r="E236" s="263"/>
      <c r="F236" s="235"/>
      <c r="G236" s="235"/>
      <c r="H236" s="235"/>
      <c r="I236" s="235"/>
      <c r="J236" s="235"/>
      <c r="K236" s="235"/>
      <c r="L236" s="235"/>
      <c r="M236" s="235"/>
      <c r="N236" s="235"/>
      <c r="O236" s="235"/>
      <c r="P236" s="235"/>
      <c r="Q236" s="235"/>
      <c r="R236" s="235"/>
      <c r="S236" s="235"/>
      <c r="T236" s="235"/>
      <c r="U236" s="235"/>
      <c r="V236" s="235"/>
      <c r="W236" s="235"/>
    </row>
    <row r="237" spans="2:23" s="258" customFormat="1" hidden="1">
      <c r="B237" s="235"/>
      <c r="C237" s="263"/>
      <c r="D237" s="235"/>
      <c r="E237" s="263"/>
      <c r="F237" s="235"/>
      <c r="G237" s="235"/>
      <c r="H237" s="235"/>
      <c r="I237" s="235"/>
      <c r="J237" s="235"/>
      <c r="K237" s="235"/>
      <c r="L237" s="235"/>
      <c r="M237" s="235"/>
      <c r="N237" s="235"/>
      <c r="O237" s="235"/>
      <c r="P237" s="235"/>
      <c r="Q237" s="235"/>
      <c r="R237" s="235"/>
      <c r="S237" s="235"/>
      <c r="T237" s="235"/>
      <c r="U237" s="235"/>
      <c r="V237" s="235"/>
      <c r="W237" s="235"/>
    </row>
    <row r="238" spans="2:23" s="258" customFormat="1" hidden="1">
      <c r="B238" s="235"/>
      <c r="C238" s="263"/>
      <c r="D238" s="235"/>
      <c r="E238" s="263"/>
      <c r="F238" s="235"/>
      <c r="G238" s="235"/>
      <c r="H238" s="235"/>
      <c r="I238" s="235"/>
      <c r="J238" s="235"/>
      <c r="K238" s="235"/>
      <c r="L238" s="235"/>
      <c r="M238" s="235"/>
      <c r="N238" s="235"/>
      <c r="O238" s="235"/>
      <c r="P238" s="235"/>
      <c r="Q238" s="235"/>
      <c r="R238" s="235"/>
      <c r="S238" s="235"/>
      <c r="T238" s="235"/>
      <c r="U238" s="235"/>
      <c r="V238" s="235"/>
      <c r="W238" s="235"/>
    </row>
    <row r="239" spans="2:23" s="258" customFormat="1" hidden="1">
      <c r="B239" s="235"/>
      <c r="C239" s="263"/>
      <c r="D239" s="235"/>
      <c r="E239" s="263"/>
      <c r="F239" s="235"/>
      <c r="G239" s="235"/>
      <c r="H239" s="235"/>
      <c r="I239" s="235"/>
      <c r="J239" s="235"/>
      <c r="K239" s="235"/>
      <c r="L239" s="235"/>
      <c r="M239" s="235"/>
      <c r="N239" s="235"/>
      <c r="O239" s="235"/>
      <c r="P239" s="235"/>
      <c r="Q239" s="235"/>
      <c r="R239" s="235"/>
      <c r="S239" s="235"/>
      <c r="T239" s="235"/>
      <c r="U239" s="235"/>
      <c r="V239" s="235"/>
      <c r="W239" s="235"/>
    </row>
    <row r="240" spans="2:23" s="258" customFormat="1" hidden="1">
      <c r="B240" s="235"/>
      <c r="C240" s="263"/>
      <c r="D240" s="235"/>
      <c r="E240" s="263"/>
      <c r="F240" s="235"/>
      <c r="G240" s="235"/>
      <c r="H240" s="235"/>
      <c r="I240" s="235"/>
      <c r="J240" s="235"/>
      <c r="K240" s="235"/>
      <c r="L240" s="235"/>
      <c r="M240" s="235"/>
      <c r="N240" s="235"/>
      <c r="O240" s="235"/>
      <c r="P240" s="235"/>
      <c r="Q240" s="235"/>
      <c r="R240" s="235"/>
      <c r="S240" s="235"/>
      <c r="T240" s="235"/>
      <c r="U240" s="235"/>
      <c r="V240" s="235"/>
      <c r="W240" s="235"/>
    </row>
    <row r="241" spans="2:23" s="258" customFormat="1" hidden="1">
      <c r="B241" s="235"/>
      <c r="C241" s="263"/>
      <c r="D241" s="235"/>
      <c r="E241" s="263"/>
      <c r="F241" s="235"/>
      <c r="G241" s="235"/>
      <c r="H241" s="235"/>
      <c r="I241" s="235"/>
      <c r="J241" s="235"/>
      <c r="K241" s="235"/>
      <c r="L241" s="235"/>
      <c r="M241" s="235"/>
      <c r="N241" s="235"/>
      <c r="O241" s="235"/>
      <c r="P241" s="235"/>
      <c r="Q241" s="235"/>
      <c r="R241" s="235"/>
      <c r="S241" s="235"/>
      <c r="T241" s="235"/>
      <c r="U241" s="235"/>
      <c r="V241" s="235"/>
      <c r="W241" s="235"/>
    </row>
    <row r="242" spans="2:23" s="258" customFormat="1" hidden="1">
      <c r="B242" s="235"/>
      <c r="C242" s="263"/>
      <c r="D242" s="235"/>
      <c r="E242" s="263"/>
      <c r="F242" s="235"/>
      <c r="G242" s="235"/>
      <c r="H242" s="235"/>
      <c r="I242" s="235"/>
      <c r="J242" s="235"/>
      <c r="K242" s="235"/>
      <c r="L242" s="235"/>
      <c r="M242" s="235"/>
      <c r="N242" s="235"/>
      <c r="O242" s="235"/>
      <c r="P242" s="235"/>
      <c r="Q242" s="235"/>
      <c r="R242" s="235"/>
      <c r="S242" s="235"/>
      <c r="T242" s="235"/>
      <c r="U242" s="235"/>
      <c r="V242" s="235"/>
      <c r="W242" s="235"/>
    </row>
    <row r="243" spans="2:23" s="258" customFormat="1" hidden="1">
      <c r="B243" s="235"/>
      <c r="C243" s="263"/>
      <c r="D243" s="235"/>
      <c r="E243" s="263"/>
      <c r="F243" s="235"/>
      <c r="G243" s="235"/>
      <c r="H243" s="235"/>
      <c r="I243" s="235"/>
      <c r="J243" s="235"/>
      <c r="K243" s="235"/>
      <c r="L243" s="235"/>
      <c r="M243" s="235"/>
      <c r="N243" s="235"/>
      <c r="O243" s="235"/>
      <c r="P243" s="235"/>
      <c r="Q243" s="235"/>
      <c r="R243" s="235"/>
      <c r="S243" s="235"/>
      <c r="T243" s="235"/>
      <c r="U243" s="235"/>
      <c r="V243" s="235"/>
      <c r="W243" s="235"/>
    </row>
    <row r="244" spans="2:23" s="258" customFormat="1" hidden="1">
      <c r="B244" s="235"/>
      <c r="C244" s="263"/>
      <c r="D244" s="235"/>
      <c r="E244" s="263"/>
      <c r="F244" s="235"/>
      <c r="G244" s="235"/>
      <c r="H244" s="235"/>
      <c r="I244" s="235"/>
      <c r="J244" s="235"/>
      <c r="K244" s="235"/>
      <c r="L244" s="235"/>
      <c r="M244" s="235"/>
      <c r="N244" s="235"/>
      <c r="O244" s="235"/>
      <c r="P244" s="235"/>
      <c r="Q244" s="235"/>
      <c r="R244" s="235"/>
      <c r="S244" s="235"/>
      <c r="T244" s="235"/>
      <c r="U244" s="235"/>
      <c r="V244" s="235"/>
      <c r="W244" s="235"/>
    </row>
    <row r="245" spans="2:23" s="258" customFormat="1" hidden="1">
      <c r="B245" s="235"/>
      <c r="C245" s="263"/>
      <c r="D245" s="235"/>
      <c r="E245" s="263"/>
      <c r="F245" s="235"/>
      <c r="G245" s="235"/>
      <c r="H245" s="235"/>
      <c r="I245" s="235"/>
      <c r="J245" s="235"/>
      <c r="K245" s="235"/>
      <c r="L245" s="235"/>
      <c r="M245" s="235"/>
      <c r="N245" s="235"/>
      <c r="O245" s="235"/>
      <c r="P245" s="235"/>
      <c r="Q245" s="235"/>
      <c r="R245" s="235"/>
      <c r="S245" s="235"/>
      <c r="T245" s="235"/>
      <c r="U245" s="235"/>
      <c r="V245" s="235"/>
      <c r="W245" s="235"/>
    </row>
    <row r="246" spans="2:23" s="258" customFormat="1" hidden="1">
      <c r="B246" s="235"/>
      <c r="C246" s="263"/>
      <c r="D246" s="235"/>
      <c r="E246" s="263"/>
      <c r="F246" s="235"/>
      <c r="G246" s="235"/>
      <c r="H246" s="235"/>
      <c r="I246" s="235"/>
      <c r="J246" s="235"/>
      <c r="K246" s="235"/>
      <c r="L246" s="235"/>
      <c r="M246" s="235"/>
      <c r="N246" s="235"/>
      <c r="O246" s="235"/>
      <c r="P246" s="235"/>
      <c r="Q246" s="235"/>
      <c r="R246" s="235"/>
      <c r="S246" s="235"/>
      <c r="T246" s="235"/>
      <c r="U246" s="235"/>
      <c r="V246" s="235"/>
      <c r="W246" s="235"/>
    </row>
    <row r="247" spans="2:23" s="258" customFormat="1" hidden="1">
      <c r="B247" s="235"/>
      <c r="C247" s="263"/>
      <c r="D247" s="235"/>
      <c r="E247" s="263"/>
      <c r="F247" s="235"/>
      <c r="G247" s="235"/>
      <c r="H247" s="235"/>
      <c r="I247" s="235"/>
      <c r="J247" s="235"/>
      <c r="K247" s="235"/>
      <c r="L247" s="235"/>
      <c r="M247" s="235"/>
      <c r="N247" s="235"/>
      <c r="O247" s="235"/>
      <c r="P247" s="235"/>
      <c r="Q247" s="235"/>
      <c r="R247" s="235"/>
      <c r="S247" s="235"/>
      <c r="T247" s="235"/>
      <c r="U247" s="235"/>
      <c r="V247" s="235"/>
      <c r="W247" s="235"/>
    </row>
    <row r="248" spans="2:23" s="258" customFormat="1" hidden="1">
      <c r="B248" s="235"/>
      <c r="C248" s="263"/>
      <c r="D248" s="235"/>
      <c r="E248" s="263"/>
      <c r="F248" s="235"/>
      <c r="G248" s="235"/>
      <c r="H248" s="235"/>
      <c r="I248" s="235"/>
      <c r="J248" s="235"/>
      <c r="K248" s="235"/>
      <c r="L248" s="235"/>
      <c r="M248" s="235"/>
      <c r="N248" s="235"/>
      <c r="O248" s="235"/>
      <c r="P248" s="235"/>
      <c r="Q248" s="235"/>
      <c r="R248" s="235"/>
      <c r="S248" s="235"/>
      <c r="T248" s="235"/>
      <c r="U248" s="235"/>
      <c r="V248" s="235"/>
      <c r="W248" s="235"/>
    </row>
    <row r="249" spans="2:23" s="258" customFormat="1" hidden="1">
      <c r="B249" s="235"/>
      <c r="C249" s="263"/>
      <c r="D249" s="235"/>
      <c r="E249" s="263"/>
      <c r="F249" s="235"/>
      <c r="G249" s="235"/>
      <c r="H249" s="235"/>
      <c r="I249" s="235"/>
      <c r="J249" s="235"/>
      <c r="K249" s="235"/>
      <c r="L249" s="235"/>
      <c r="M249" s="235"/>
      <c r="N249" s="235"/>
      <c r="O249" s="235"/>
      <c r="P249" s="235"/>
      <c r="Q249" s="235"/>
      <c r="R249" s="235"/>
      <c r="S249" s="235"/>
      <c r="T249" s="235"/>
      <c r="U249" s="235"/>
      <c r="V249" s="235"/>
      <c r="W249" s="235"/>
    </row>
    <row r="250" spans="2:23" s="258" customFormat="1" hidden="1">
      <c r="B250" s="235"/>
      <c r="C250" s="263"/>
      <c r="D250" s="235"/>
      <c r="E250" s="263"/>
      <c r="F250" s="235"/>
      <c r="G250" s="235"/>
      <c r="H250" s="235"/>
      <c r="I250" s="235"/>
      <c r="J250" s="235"/>
      <c r="K250" s="235"/>
      <c r="L250" s="235"/>
      <c r="M250" s="235"/>
      <c r="N250" s="235"/>
      <c r="O250" s="235"/>
      <c r="P250" s="235"/>
      <c r="Q250" s="235"/>
      <c r="R250" s="235"/>
      <c r="S250" s="235"/>
      <c r="T250" s="235"/>
      <c r="U250" s="235"/>
      <c r="V250" s="235"/>
      <c r="W250" s="235"/>
    </row>
    <row r="251" spans="2:23" s="258" customFormat="1" hidden="1">
      <c r="B251" s="235"/>
      <c r="C251" s="263"/>
      <c r="D251" s="235"/>
      <c r="E251" s="263"/>
      <c r="F251" s="235"/>
      <c r="G251" s="235"/>
      <c r="H251" s="235"/>
      <c r="I251" s="235"/>
      <c r="J251" s="235"/>
      <c r="K251" s="235"/>
      <c r="L251" s="235"/>
      <c r="M251" s="235"/>
      <c r="N251" s="235"/>
      <c r="O251" s="235"/>
      <c r="P251" s="235"/>
      <c r="Q251" s="235"/>
      <c r="R251" s="235"/>
      <c r="S251" s="235"/>
      <c r="T251" s="235"/>
      <c r="U251" s="235"/>
      <c r="V251" s="235"/>
      <c r="W251" s="235"/>
    </row>
    <row r="252" spans="2:23" s="258" customFormat="1" hidden="1">
      <c r="B252" s="235"/>
      <c r="C252" s="263"/>
      <c r="D252" s="235"/>
      <c r="E252" s="263"/>
      <c r="F252" s="235"/>
      <c r="G252" s="235"/>
      <c r="H252" s="235"/>
      <c r="I252" s="235"/>
      <c r="J252" s="235"/>
      <c r="K252" s="235"/>
      <c r="L252" s="235"/>
      <c r="M252" s="235"/>
      <c r="N252" s="235"/>
      <c r="O252" s="235"/>
      <c r="P252" s="235"/>
      <c r="Q252" s="235"/>
      <c r="R252" s="235"/>
      <c r="S252" s="235"/>
      <c r="T252" s="235"/>
      <c r="U252" s="235"/>
      <c r="V252" s="235"/>
      <c r="W252" s="235"/>
    </row>
    <row r="253" spans="2:23" s="258" customFormat="1" hidden="1">
      <c r="B253" s="235"/>
      <c r="C253" s="263"/>
      <c r="D253" s="235"/>
      <c r="E253" s="263"/>
      <c r="F253" s="235"/>
      <c r="G253" s="235"/>
      <c r="H253" s="235"/>
      <c r="I253" s="235"/>
      <c r="J253" s="235"/>
      <c r="K253" s="235"/>
      <c r="L253" s="235"/>
      <c r="M253" s="235"/>
      <c r="N253" s="235"/>
      <c r="O253" s="235"/>
      <c r="P253" s="235"/>
      <c r="Q253" s="235"/>
      <c r="R253" s="235"/>
      <c r="S253" s="235"/>
      <c r="T253" s="235"/>
      <c r="U253" s="235"/>
      <c r="V253" s="235"/>
      <c r="W253" s="235"/>
    </row>
    <row r="254" spans="2:23" s="258" customFormat="1" hidden="1">
      <c r="B254" s="235"/>
      <c r="C254" s="263"/>
      <c r="D254" s="235"/>
      <c r="E254" s="263"/>
      <c r="F254" s="235"/>
      <c r="G254" s="235"/>
      <c r="H254" s="235"/>
      <c r="I254" s="235"/>
      <c r="J254" s="235"/>
      <c r="K254" s="235"/>
      <c r="L254" s="235"/>
      <c r="M254" s="235"/>
      <c r="N254" s="235"/>
      <c r="O254" s="235"/>
      <c r="P254" s="235"/>
      <c r="Q254" s="235"/>
      <c r="R254" s="235"/>
      <c r="S254" s="235"/>
      <c r="T254" s="235"/>
      <c r="U254" s="235"/>
      <c r="V254" s="235"/>
      <c r="W254" s="235"/>
    </row>
    <row r="255" spans="2:23" s="258" customFormat="1" hidden="1">
      <c r="B255" s="235"/>
      <c r="C255" s="263"/>
      <c r="D255" s="235"/>
      <c r="E255" s="263"/>
      <c r="F255" s="235"/>
      <c r="G255" s="235"/>
      <c r="H255" s="235"/>
      <c r="I255" s="235"/>
      <c r="J255" s="235"/>
      <c r="K255" s="235"/>
      <c r="L255" s="235"/>
      <c r="M255" s="235"/>
      <c r="N255" s="235"/>
      <c r="O255" s="235"/>
      <c r="P255" s="235"/>
      <c r="Q255" s="235"/>
      <c r="R255" s="235"/>
      <c r="S255" s="235"/>
      <c r="T255" s="235"/>
      <c r="U255" s="235"/>
      <c r="V255" s="235"/>
      <c r="W255" s="235"/>
    </row>
    <row r="256" spans="2:23" s="258" customFormat="1" hidden="1">
      <c r="B256" s="235"/>
      <c r="C256" s="263"/>
      <c r="D256" s="235"/>
      <c r="E256" s="263"/>
      <c r="F256" s="235"/>
      <c r="G256" s="235"/>
      <c r="H256" s="235"/>
      <c r="I256" s="235"/>
      <c r="J256" s="235"/>
      <c r="K256" s="235"/>
      <c r="L256" s="235"/>
      <c r="M256" s="235"/>
      <c r="N256" s="235"/>
      <c r="O256" s="235"/>
      <c r="P256" s="235"/>
      <c r="Q256" s="235"/>
      <c r="R256" s="235"/>
      <c r="S256" s="235"/>
      <c r="T256" s="235"/>
      <c r="U256" s="235"/>
      <c r="V256" s="235"/>
      <c r="W256" s="235"/>
    </row>
    <row r="257" spans="1:31" s="258" customFormat="1" hidden="1">
      <c r="B257" s="235"/>
      <c r="C257" s="263"/>
      <c r="D257" s="235"/>
      <c r="E257" s="263"/>
      <c r="F257" s="235"/>
      <c r="G257" s="235"/>
      <c r="H257" s="235"/>
      <c r="I257" s="235"/>
      <c r="J257" s="235"/>
      <c r="K257" s="235"/>
      <c r="L257" s="235"/>
      <c r="M257" s="235"/>
      <c r="N257" s="235"/>
      <c r="O257" s="235"/>
      <c r="P257" s="235"/>
      <c r="Q257" s="235"/>
      <c r="R257" s="235"/>
      <c r="S257" s="235"/>
      <c r="T257" s="235"/>
      <c r="U257" s="235"/>
      <c r="V257" s="235"/>
      <c r="W257" s="235"/>
    </row>
    <row r="258" spans="1:31" s="258" customFormat="1" hidden="1">
      <c r="B258" s="235"/>
      <c r="C258" s="263"/>
      <c r="D258" s="235"/>
      <c r="E258" s="263"/>
      <c r="F258" s="235"/>
      <c r="G258" s="235"/>
      <c r="H258" s="235"/>
      <c r="I258" s="235"/>
      <c r="J258" s="235"/>
      <c r="K258" s="235"/>
      <c r="L258" s="235"/>
      <c r="M258" s="235"/>
      <c r="N258" s="235"/>
      <c r="O258" s="235"/>
      <c r="P258" s="235"/>
      <c r="Q258" s="235"/>
      <c r="R258" s="235"/>
      <c r="S258" s="235"/>
      <c r="T258" s="235"/>
      <c r="U258" s="235"/>
      <c r="V258" s="235"/>
      <c r="W258" s="235"/>
    </row>
    <row r="259" spans="1:31" s="258" customFormat="1" hidden="1">
      <c r="B259" s="235"/>
      <c r="C259" s="263"/>
      <c r="D259" s="235"/>
      <c r="E259" s="263"/>
      <c r="F259" s="235"/>
      <c r="G259" s="235"/>
      <c r="H259" s="235"/>
      <c r="I259" s="235"/>
      <c r="J259" s="235"/>
      <c r="K259" s="235"/>
      <c r="L259" s="235"/>
      <c r="M259" s="235"/>
      <c r="N259" s="235"/>
      <c r="O259" s="235"/>
      <c r="P259" s="235"/>
      <c r="Q259" s="235"/>
      <c r="R259" s="235"/>
      <c r="S259" s="235"/>
      <c r="T259" s="235"/>
      <c r="U259" s="235"/>
      <c r="V259" s="235"/>
      <c r="W259" s="235"/>
    </row>
    <row r="260" spans="1:31" s="258" customFormat="1" hidden="1">
      <c r="B260" s="235"/>
      <c r="C260" s="263"/>
      <c r="D260" s="235"/>
      <c r="E260" s="263"/>
      <c r="F260" s="235"/>
      <c r="G260" s="235"/>
      <c r="H260" s="235"/>
      <c r="I260" s="235"/>
      <c r="J260" s="235"/>
      <c r="K260" s="235"/>
      <c r="L260" s="235"/>
      <c r="M260" s="235"/>
      <c r="N260" s="235"/>
      <c r="O260" s="235"/>
      <c r="P260" s="235"/>
      <c r="Q260" s="235"/>
      <c r="R260" s="235"/>
      <c r="S260" s="235"/>
      <c r="T260" s="235"/>
      <c r="U260" s="235"/>
      <c r="V260" s="235"/>
      <c r="W260" s="235"/>
    </row>
    <row r="261" spans="1:31" s="93" customFormat="1">
      <c r="A261" s="157" t="s">
        <v>368</v>
      </c>
      <c r="B261" s="91"/>
      <c r="C261" s="91"/>
      <c r="D261" s="91"/>
      <c r="E261" s="91"/>
      <c r="F261" s="91"/>
      <c r="G261" s="91"/>
      <c r="H261" s="91"/>
      <c r="I261" s="91"/>
      <c r="J261" s="91"/>
      <c r="K261" s="91"/>
      <c r="L261" s="91"/>
      <c r="M261" s="91"/>
      <c r="N261" s="91"/>
      <c r="O261" s="91"/>
      <c r="P261" s="91"/>
      <c r="Q261" s="91"/>
      <c r="R261" s="91"/>
      <c r="S261" s="91"/>
      <c r="T261" s="91"/>
      <c r="U261" s="91"/>
      <c r="V261" s="91"/>
      <c r="W261" s="91"/>
    </row>
    <row r="262" spans="1:31" s="93" customFormat="1" ht="15.75">
      <c r="B262" s="349" t="s">
        <v>488</v>
      </c>
      <c r="C262" s="237"/>
      <c r="D262" s="228"/>
      <c r="E262" s="237"/>
      <c r="F262" s="237"/>
      <c r="G262" s="91"/>
      <c r="H262" s="91"/>
      <c r="I262" s="91"/>
      <c r="J262" s="91"/>
      <c r="K262" s="91"/>
      <c r="L262" s="91"/>
      <c r="M262" s="91"/>
      <c r="N262" s="91"/>
      <c r="O262" s="91"/>
      <c r="P262" s="91"/>
      <c r="Q262" s="91"/>
      <c r="R262" s="91"/>
      <c r="S262" s="91"/>
      <c r="T262" s="91"/>
      <c r="U262" s="91"/>
      <c r="V262" s="91"/>
      <c r="W262" s="91"/>
    </row>
    <row r="263" spans="1:31" s="93" customFormat="1">
      <c r="B263" s="91"/>
      <c r="C263" s="155" t="s">
        <v>376</v>
      </c>
      <c r="D263" s="91"/>
      <c r="E263" s="155" t="s">
        <v>377</v>
      </c>
      <c r="F263" s="91"/>
      <c r="G263" s="91"/>
      <c r="H263" s="91"/>
      <c r="I263" s="91"/>
      <c r="J263" s="91"/>
      <c r="K263" s="91"/>
      <c r="L263" s="91"/>
      <c r="M263" s="91"/>
      <c r="N263" s="91"/>
      <c r="O263" s="91"/>
      <c r="P263" s="91"/>
      <c r="Q263" s="91"/>
      <c r="R263" s="91"/>
      <c r="S263" s="91"/>
      <c r="T263" s="91"/>
      <c r="U263" s="91"/>
      <c r="V263" s="91"/>
      <c r="W263" s="91"/>
    </row>
    <row r="264" spans="1:31" s="93" customFormat="1">
      <c r="B264" s="155" t="s">
        <v>357</v>
      </c>
      <c r="C264" s="158"/>
      <c r="D264" s="159"/>
      <c r="E264" s="159"/>
      <c r="F264" s="91"/>
      <c r="G264" s="91"/>
      <c r="H264" s="91"/>
      <c r="I264" s="91"/>
      <c r="J264" s="91"/>
      <c r="K264" s="91"/>
      <c r="L264" s="91"/>
      <c r="M264" s="91"/>
      <c r="N264" s="91"/>
      <c r="O264" s="91"/>
      <c r="P264" s="91"/>
      <c r="Q264" s="91"/>
      <c r="R264" s="91"/>
      <c r="S264" s="91"/>
      <c r="T264" s="91"/>
      <c r="U264" s="91"/>
      <c r="V264" s="91"/>
      <c r="W264" s="91"/>
    </row>
    <row r="265" spans="1:31" s="93" customFormat="1">
      <c r="B265" s="378" t="s">
        <v>218</v>
      </c>
      <c r="C265" s="270">
        <v>0</v>
      </c>
      <c r="D265" s="160"/>
      <c r="E265" s="270">
        <v>3000</v>
      </c>
      <c r="F265" s="91"/>
      <c r="G265" s="235"/>
      <c r="H265" s="235"/>
      <c r="I265" s="235"/>
      <c r="J265" s="235"/>
      <c r="K265" s="235"/>
      <c r="L265" s="235"/>
      <c r="M265" s="235"/>
      <c r="N265" s="235"/>
      <c r="O265" s="235"/>
      <c r="P265" s="235"/>
      <c r="Q265" s="235"/>
      <c r="R265" s="235"/>
      <c r="S265" s="235"/>
      <c r="T265" s="235"/>
      <c r="U265" s="235"/>
      <c r="V265" s="235"/>
      <c r="W265" s="235"/>
      <c r="X265" s="258"/>
      <c r="Y265" s="258"/>
      <c r="Z265" s="258"/>
      <c r="AA265" s="258"/>
      <c r="AB265" s="258"/>
      <c r="AC265" s="258"/>
      <c r="AD265" s="258"/>
      <c r="AE265" s="258"/>
    </row>
    <row r="266" spans="1:31" s="93" customFormat="1">
      <c r="B266" s="273" t="s">
        <v>219</v>
      </c>
      <c r="C266" s="270">
        <v>0</v>
      </c>
      <c r="D266" s="160"/>
      <c r="E266" s="270">
        <v>322934.84999999998</v>
      </c>
      <c r="F266" s="155"/>
      <c r="G266" s="263"/>
      <c r="H266" s="263"/>
      <c r="I266" s="263"/>
      <c r="J266" s="263"/>
      <c r="K266" s="263"/>
      <c r="L266" s="263"/>
      <c r="M266" s="263"/>
      <c r="N266" s="263"/>
      <c r="O266" s="263"/>
      <c r="P266" s="263"/>
      <c r="Q266" s="263"/>
      <c r="R266" s="263"/>
      <c r="S266" s="263"/>
      <c r="T266" s="263"/>
      <c r="U266" s="263"/>
      <c r="V266" s="263"/>
      <c r="W266" s="263"/>
      <c r="X266" s="264"/>
      <c r="Y266" s="264"/>
      <c r="Z266" s="264"/>
      <c r="AA266" s="264"/>
      <c r="AB266" s="264"/>
      <c r="AC266" s="264"/>
      <c r="AD266" s="258"/>
      <c r="AE266" s="258"/>
    </row>
    <row r="267" spans="1:31" s="93" customFormat="1">
      <c r="B267" s="273" t="s">
        <v>285</v>
      </c>
      <c r="C267" s="270">
        <v>0</v>
      </c>
      <c r="D267" s="160"/>
      <c r="E267" s="270">
        <v>0</v>
      </c>
      <c r="F267" s="155"/>
      <c r="G267" s="263"/>
      <c r="H267" s="263"/>
      <c r="I267" s="263"/>
      <c r="J267" s="263"/>
      <c r="K267" s="263"/>
      <c r="L267" s="263"/>
      <c r="M267" s="263"/>
      <c r="N267" s="263"/>
      <c r="O267" s="263"/>
      <c r="P267" s="263"/>
      <c r="Q267" s="263"/>
      <c r="R267" s="263"/>
      <c r="S267" s="263"/>
      <c r="T267" s="263"/>
      <c r="U267" s="263"/>
      <c r="V267" s="263"/>
      <c r="W267" s="263"/>
      <c r="X267" s="264"/>
      <c r="Y267" s="264"/>
      <c r="Z267" s="264"/>
      <c r="AA267" s="264"/>
      <c r="AB267" s="264"/>
      <c r="AC267" s="264"/>
      <c r="AD267" s="258"/>
      <c r="AE267" s="258"/>
    </row>
    <row r="268" spans="1:31" s="93" customFormat="1">
      <c r="B268" s="273" t="s">
        <v>220</v>
      </c>
      <c r="C268" s="270">
        <v>0</v>
      </c>
      <c r="D268" s="160"/>
      <c r="E268" s="270">
        <v>0</v>
      </c>
      <c r="F268" s="155"/>
      <c r="G268" s="263"/>
      <c r="H268" s="263"/>
      <c r="I268" s="263"/>
      <c r="J268" s="263"/>
      <c r="K268" s="263"/>
      <c r="L268" s="263"/>
      <c r="M268" s="263"/>
      <c r="N268" s="263"/>
      <c r="O268" s="263"/>
      <c r="P268" s="263"/>
      <c r="Q268" s="263"/>
      <c r="R268" s="263"/>
      <c r="S268" s="263"/>
      <c r="T268" s="263"/>
      <c r="U268" s="263"/>
      <c r="V268" s="263"/>
      <c r="W268" s="263"/>
      <c r="X268" s="264"/>
      <c r="Y268" s="264"/>
      <c r="Z268" s="264"/>
      <c r="AA268" s="264"/>
      <c r="AB268" s="264"/>
      <c r="AC268" s="264"/>
      <c r="AD268" s="258"/>
      <c r="AE268" s="258"/>
    </row>
    <row r="269" spans="1:31" s="93" customFormat="1">
      <c r="B269" s="379" t="s">
        <v>402</v>
      </c>
      <c r="C269" s="270">
        <v>0</v>
      </c>
      <c r="D269" s="160"/>
      <c r="E269" s="270">
        <v>0</v>
      </c>
      <c r="F269" s="155"/>
      <c r="G269" s="264"/>
      <c r="H269" s="264"/>
      <c r="I269" s="264"/>
      <c r="J269" s="264"/>
      <c r="K269" s="264"/>
      <c r="L269" s="264"/>
      <c r="M269" s="264"/>
      <c r="N269" s="264"/>
      <c r="O269" s="264"/>
      <c r="P269" s="264"/>
      <c r="Q269" s="264"/>
      <c r="R269" s="264"/>
      <c r="S269" s="264"/>
      <c r="T269" s="264"/>
      <c r="U269" s="264"/>
      <c r="V269" s="263"/>
      <c r="W269" s="263"/>
      <c r="X269" s="264"/>
      <c r="Y269" s="264"/>
      <c r="Z269" s="264"/>
      <c r="AA269" s="264"/>
      <c r="AB269" s="264"/>
      <c r="AC269" s="264"/>
      <c r="AD269" s="258"/>
      <c r="AE269" s="258"/>
    </row>
    <row r="270" spans="1:31" s="93" customFormat="1">
      <c r="B270" s="273" t="s">
        <v>284</v>
      </c>
      <c r="C270" s="270">
        <v>0</v>
      </c>
      <c r="D270" s="160"/>
      <c r="E270" s="270">
        <v>0</v>
      </c>
      <c r="F270" s="155"/>
      <c r="G270" s="263"/>
      <c r="H270" s="263"/>
      <c r="I270" s="263"/>
      <c r="J270" s="263"/>
      <c r="K270" s="263"/>
      <c r="L270" s="263"/>
      <c r="M270" s="263"/>
      <c r="N270" s="263"/>
      <c r="O270" s="263"/>
      <c r="P270" s="263"/>
      <c r="Q270" s="263"/>
      <c r="R270" s="263"/>
      <c r="S270" s="263"/>
      <c r="T270" s="263"/>
      <c r="U270" s="263"/>
      <c r="V270" s="263"/>
      <c r="W270" s="263"/>
      <c r="X270" s="264"/>
      <c r="Y270" s="264"/>
      <c r="Z270" s="264"/>
      <c r="AA270" s="264"/>
      <c r="AB270" s="264"/>
      <c r="AC270" s="264"/>
      <c r="AD270" s="258"/>
      <c r="AE270" s="258"/>
    </row>
    <row r="271" spans="1:31" s="93" customFormat="1">
      <c r="B271" s="273" t="s">
        <v>370</v>
      </c>
      <c r="C271" s="270">
        <v>0</v>
      </c>
      <c r="D271" s="160"/>
      <c r="E271" s="270">
        <v>-4595.66</v>
      </c>
      <c r="F271" s="155"/>
      <c r="G271" s="263"/>
      <c r="H271" s="263"/>
      <c r="I271" s="263"/>
      <c r="J271" s="263"/>
      <c r="K271" s="263"/>
      <c r="L271" s="263"/>
      <c r="M271" s="263"/>
      <c r="N271" s="263"/>
      <c r="O271" s="263"/>
      <c r="P271" s="263"/>
      <c r="Q271" s="263"/>
      <c r="R271" s="263"/>
      <c r="S271" s="263"/>
      <c r="T271" s="263"/>
      <c r="U271" s="263"/>
      <c r="V271" s="263"/>
      <c r="W271" s="263"/>
      <c r="X271" s="264"/>
      <c r="Y271" s="264"/>
      <c r="Z271" s="264"/>
      <c r="AA271" s="264"/>
      <c r="AB271" s="264"/>
      <c r="AC271" s="264"/>
      <c r="AD271" s="258"/>
      <c r="AE271" s="258"/>
    </row>
    <row r="272" spans="1:31" s="93" customFormat="1">
      <c r="B272" s="273" t="s">
        <v>268</v>
      </c>
      <c r="C272" s="270">
        <v>0</v>
      </c>
      <c r="D272" s="160"/>
      <c r="E272" s="270">
        <v>0</v>
      </c>
      <c r="F272" s="155"/>
      <c r="G272" s="263"/>
      <c r="H272" s="263"/>
      <c r="I272" s="263"/>
      <c r="J272" s="263"/>
      <c r="K272" s="263"/>
      <c r="L272" s="263"/>
      <c r="M272" s="263"/>
      <c r="N272" s="263"/>
      <c r="O272" s="263"/>
      <c r="P272" s="263"/>
      <c r="Q272" s="263"/>
      <c r="R272" s="263"/>
      <c r="S272" s="263"/>
      <c r="T272" s="263"/>
      <c r="U272" s="263"/>
      <c r="V272" s="263"/>
      <c r="W272" s="263"/>
      <c r="X272" s="264"/>
      <c r="Y272" s="264"/>
      <c r="Z272" s="264"/>
      <c r="AA272" s="264"/>
      <c r="AB272" s="264"/>
      <c r="AC272" s="264"/>
      <c r="AD272" s="258"/>
      <c r="AE272" s="258"/>
    </row>
    <row r="273" spans="1:31" s="93" customFormat="1">
      <c r="B273" s="273" t="s">
        <v>70</v>
      </c>
      <c r="C273" s="270">
        <v>0</v>
      </c>
      <c r="D273" s="160"/>
      <c r="E273" s="270">
        <v>-9</v>
      </c>
      <c r="F273" s="155"/>
      <c r="G273" s="263"/>
      <c r="H273" s="263"/>
      <c r="I273" s="263"/>
      <c r="J273" s="263"/>
      <c r="K273" s="263"/>
      <c r="L273" s="263"/>
      <c r="M273" s="263"/>
      <c r="N273" s="263"/>
      <c r="O273" s="263"/>
      <c r="P273" s="263"/>
      <c r="Q273" s="263"/>
      <c r="R273" s="263"/>
      <c r="S273" s="263"/>
      <c r="T273" s="263"/>
      <c r="U273" s="263"/>
      <c r="V273" s="263"/>
      <c r="W273" s="263"/>
      <c r="X273" s="264"/>
      <c r="Y273" s="264"/>
      <c r="Z273" s="264"/>
      <c r="AA273" s="264"/>
      <c r="AB273" s="264"/>
      <c r="AC273" s="264"/>
      <c r="AD273" s="258"/>
      <c r="AE273" s="258"/>
    </row>
    <row r="274" spans="1:31" s="93" customFormat="1">
      <c r="B274" s="273" t="s">
        <v>274</v>
      </c>
      <c r="C274" s="270">
        <v>0</v>
      </c>
      <c r="D274" s="160"/>
      <c r="E274" s="270">
        <v>0</v>
      </c>
      <c r="F274" s="155"/>
      <c r="G274" s="263"/>
      <c r="H274" s="263"/>
      <c r="I274" s="263"/>
      <c r="J274" s="263"/>
      <c r="K274" s="263"/>
      <c r="L274" s="263"/>
      <c r="M274" s="263"/>
      <c r="N274" s="263"/>
      <c r="O274" s="263"/>
      <c r="P274" s="263"/>
      <c r="Q274" s="263"/>
      <c r="R274" s="263"/>
      <c r="S274" s="263"/>
      <c r="T274" s="263"/>
      <c r="U274" s="263"/>
      <c r="V274" s="263"/>
      <c r="W274" s="263"/>
      <c r="X274" s="264"/>
      <c r="Y274" s="264"/>
      <c r="Z274" s="264"/>
      <c r="AA274" s="264"/>
      <c r="AB274" s="264"/>
      <c r="AC274" s="264"/>
      <c r="AD274" s="258"/>
      <c r="AE274" s="258"/>
    </row>
    <row r="275" spans="1:31" s="93" customFormat="1" ht="15" customHeight="1">
      <c r="B275" s="273" t="s">
        <v>222</v>
      </c>
      <c r="C275" s="270">
        <v>0</v>
      </c>
      <c r="D275" s="160"/>
      <c r="E275" s="270">
        <v>240768</v>
      </c>
      <c r="F275" s="155"/>
      <c r="G275" s="263"/>
      <c r="H275" s="263"/>
      <c r="I275" s="263"/>
      <c r="J275" s="263"/>
      <c r="K275" s="263"/>
      <c r="L275" s="263"/>
      <c r="M275" s="263"/>
      <c r="N275" s="263"/>
      <c r="O275" s="263"/>
      <c r="P275" s="263"/>
      <c r="Q275" s="263"/>
      <c r="R275" s="263"/>
      <c r="S275" s="263"/>
      <c r="T275" s="263"/>
      <c r="U275" s="263"/>
      <c r="V275" s="263"/>
      <c r="W275" s="263"/>
      <c r="X275" s="264"/>
      <c r="Y275" s="264"/>
      <c r="Z275" s="264"/>
      <c r="AA275" s="264"/>
      <c r="AB275" s="264"/>
      <c r="AC275" s="264"/>
      <c r="AD275" s="258"/>
      <c r="AE275" s="258"/>
    </row>
    <row r="276" spans="1:31" s="93" customFormat="1">
      <c r="B276" s="273" t="s">
        <v>349</v>
      </c>
      <c r="C276" s="270">
        <v>0</v>
      </c>
      <c r="D276" s="160"/>
      <c r="E276" s="270">
        <v>337162</v>
      </c>
      <c r="F276" s="155"/>
      <c r="G276" s="256"/>
      <c r="H276" s="256"/>
      <c r="I276" s="256"/>
      <c r="J276" s="256"/>
      <c r="K276" s="256"/>
      <c r="L276" s="256"/>
      <c r="M276" s="256"/>
      <c r="N276" s="256"/>
      <c r="O276" s="256"/>
      <c r="P276" s="263"/>
      <c r="Q276" s="263"/>
      <c r="R276" s="263"/>
      <c r="S276" s="263"/>
      <c r="T276" s="263"/>
      <c r="U276" s="263"/>
      <c r="V276" s="263"/>
      <c r="W276" s="263"/>
      <c r="X276" s="264"/>
      <c r="Y276" s="264"/>
      <c r="Z276" s="264"/>
      <c r="AA276" s="264"/>
      <c r="AB276" s="264"/>
      <c r="AC276" s="264"/>
      <c r="AD276" s="258"/>
      <c r="AE276" s="258"/>
    </row>
    <row r="277" spans="1:31" s="93" customFormat="1">
      <c r="B277" s="378" t="s">
        <v>223</v>
      </c>
      <c r="C277" s="161"/>
      <c r="D277" s="160"/>
      <c r="E277" s="111"/>
      <c r="F277" s="155"/>
      <c r="G277" s="256" t="s">
        <v>503</v>
      </c>
      <c r="H277" s="256"/>
      <c r="I277" s="256"/>
      <c r="J277" s="256"/>
      <c r="K277" s="256"/>
      <c r="L277" s="256"/>
      <c r="M277" s="259" t="s">
        <v>500</v>
      </c>
      <c r="N277" s="259"/>
      <c r="O277" s="259"/>
      <c r="P277" s="263"/>
      <c r="Q277" s="263"/>
      <c r="R277" s="263"/>
      <c r="S277" s="263"/>
      <c r="T277" s="263"/>
      <c r="U277" s="263"/>
      <c r="V277" s="263"/>
      <c r="W277" s="263"/>
      <c r="AA277" s="264"/>
      <c r="AB277" s="264"/>
      <c r="AC277" s="264"/>
      <c r="AD277" s="258"/>
      <c r="AE277" s="258"/>
    </row>
    <row r="278" spans="1:31" s="93" customFormat="1">
      <c r="B278" s="379" t="s">
        <v>407</v>
      </c>
      <c r="C278" s="380">
        <f>IF(Control!D37=1,0,'Dir info'!Q10)</f>
        <v>6000</v>
      </c>
      <c r="D278" s="195"/>
      <c r="E278" s="270">
        <f>+'Dir info'!Q10</f>
        <v>6000</v>
      </c>
      <c r="F278" s="155"/>
      <c r="G278" s="255">
        <f>+E278-'Dir info'!Q10</f>
        <v>0</v>
      </c>
      <c r="H278" s="255"/>
      <c r="I278" s="255"/>
      <c r="J278" s="256"/>
      <c r="K278" s="248" t="e">
        <f>+IF(#REF!="Not per Dir info!",1,0)</f>
        <v>#REF!</v>
      </c>
      <c r="L278" s="256"/>
      <c r="M278" s="260">
        <f>+E280-'Dir info'!O10</f>
        <v>0</v>
      </c>
      <c r="N278" s="259"/>
      <c r="O278" s="248" t="e">
        <f>+IF(#REF!="Not per Dir info!",1,0)</f>
        <v>#REF!</v>
      </c>
      <c r="P278" s="263"/>
      <c r="Q278" s="263"/>
      <c r="R278" s="263"/>
      <c r="S278" s="263"/>
      <c r="T278" s="263"/>
      <c r="U278" s="263"/>
      <c r="V278" s="263"/>
      <c r="W278" s="263"/>
      <c r="AA278" s="264"/>
      <c r="AB278" s="264"/>
      <c r="AC278" s="264"/>
      <c r="AD278" s="258"/>
      <c r="AE278" s="258"/>
    </row>
    <row r="279" spans="1:31" s="93" customFormat="1">
      <c r="B279" s="378" t="s">
        <v>224</v>
      </c>
      <c r="C279" s="272">
        <v>0</v>
      </c>
      <c r="D279" s="160"/>
      <c r="E279" s="270">
        <v>0</v>
      </c>
      <c r="F279" s="155"/>
      <c r="G279" s="248" t="s">
        <v>498</v>
      </c>
      <c r="H279" s="248"/>
      <c r="I279" s="248"/>
      <c r="J279" s="256"/>
      <c r="K279" s="248" t="str">
        <f>IF(Control!D37=1,"Yes","No")</f>
        <v>No</v>
      </c>
      <c r="L279" s="248"/>
      <c r="M279" s="248" t="s">
        <v>498</v>
      </c>
      <c r="N279" s="259"/>
      <c r="O279" s="248" t="str">
        <f>IF(Control!D37=1,"Yes","No")</f>
        <v>No</v>
      </c>
      <c r="P279" s="265"/>
      <c r="Q279" s="265"/>
      <c r="R279" s="265"/>
      <c r="S279" s="265"/>
      <c r="T279" s="265"/>
      <c r="U279" s="265"/>
      <c r="V279" s="263"/>
      <c r="W279" s="263"/>
      <c r="AA279" s="264"/>
      <c r="AB279" s="264"/>
      <c r="AC279" s="264"/>
      <c r="AD279" s="258"/>
      <c r="AE279" s="258"/>
    </row>
    <row r="280" spans="1:31" s="93" customFormat="1" ht="15.75" thickBot="1">
      <c r="B280" s="378" t="s">
        <v>225</v>
      </c>
      <c r="C280" s="381">
        <f>IF(Control!D37=1,0,'Dir info'!O10)</f>
        <v>0</v>
      </c>
      <c r="D280" s="160"/>
      <c r="E280" s="271">
        <v>0</v>
      </c>
      <c r="F280" s="155"/>
      <c r="G280" s="248" t="s">
        <v>499</v>
      </c>
      <c r="H280" s="248"/>
      <c r="I280" s="248"/>
      <c r="J280" s="256"/>
      <c r="K280" s="248" t="str">
        <f>+IF(G278=0,"Yes","No")</f>
        <v>Yes</v>
      </c>
      <c r="L280" s="248"/>
      <c r="M280" s="248" t="s">
        <v>499</v>
      </c>
      <c r="N280" s="259"/>
      <c r="O280" s="248" t="str">
        <f>+IF(M278=0,"Yes","No")</f>
        <v>Yes</v>
      </c>
      <c r="P280" s="265"/>
      <c r="Q280" s="265"/>
      <c r="R280" s="265"/>
      <c r="S280" s="265"/>
      <c r="T280" s="265"/>
      <c r="U280" s="265"/>
      <c r="V280" s="263"/>
      <c r="W280" s="263"/>
      <c r="AA280" s="264"/>
      <c r="AB280" s="264"/>
      <c r="AC280" s="264"/>
      <c r="AD280" s="258"/>
      <c r="AE280" s="258"/>
    </row>
    <row r="281" spans="1:31" s="258" customFormat="1" ht="15.75" thickTop="1">
      <c r="B281" s="235"/>
      <c r="C281" s="235"/>
      <c r="D281" s="235"/>
      <c r="E281" s="235"/>
      <c r="F281" s="263"/>
      <c r="G281" s="256"/>
      <c r="H281" s="256"/>
      <c r="I281" s="256"/>
      <c r="J281" s="256"/>
      <c r="K281" s="248">
        <f>IF(AND(K279="Yes",K280="Yes"),1,0)</f>
        <v>0</v>
      </c>
      <c r="L281" s="248"/>
      <c r="M281" s="259"/>
      <c r="N281" s="259"/>
      <c r="O281" s="248">
        <f>IF(AND(O279="Yes",O280="Yes"),1,0)</f>
        <v>0</v>
      </c>
      <c r="P281" s="265"/>
      <c r="Q281" s="265"/>
      <c r="R281" s="265"/>
      <c r="S281" s="265"/>
      <c r="T281" s="265"/>
      <c r="U281" s="265"/>
      <c r="V281" s="263"/>
      <c r="W281" s="263"/>
      <c r="AA281" s="264"/>
      <c r="AB281" s="264"/>
      <c r="AC281" s="264"/>
    </row>
    <row r="282" spans="1:31" s="262" customFormat="1" hidden="1">
      <c r="A282" s="236"/>
      <c r="B282" s="236"/>
      <c r="C282" s="236"/>
      <c r="D282" s="236"/>
      <c r="E282" s="236"/>
      <c r="F282" s="266"/>
      <c r="G282" s="257"/>
      <c r="H282" s="257"/>
      <c r="I282" s="257"/>
      <c r="J282" s="257"/>
      <c r="L282" s="248"/>
      <c r="M282" s="261"/>
      <c r="N282" s="261"/>
      <c r="P282" s="265"/>
      <c r="Q282" s="265"/>
      <c r="R282" s="265"/>
      <c r="S282" s="265"/>
      <c r="T282" s="265"/>
      <c r="U282" s="265"/>
      <c r="V282" s="266"/>
      <c r="W282" s="266"/>
      <c r="AA282" s="267"/>
      <c r="AB282" s="267"/>
      <c r="AC282" s="267"/>
    </row>
    <row r="283" spans="1:31" s="262" customFormat="1" hidden="1">
      <c r="A283" s="236"/>
      <c r="B283" s="236"/>
      <c r="C283" s="236"/>
      <c r="D283" s="236"/>
      <c r="E283" s="236"/>
      <c r="F283" s="236"/>
      <c r="G283" s="257"/>
      <c r="H283" s="257"/>
      <c r="I283" s="257"/>
      <c r="J283" s="257"/>
      <c r="K283" s="257"/>
      <c r="L283" s="257"/>
      <c r="M283" s="261"/>
      <c r="N283" s="261"/>
      <c r="O283" s="261"/>
      <c r="P283" s="236"/>
      <c r="Q283" s="236"/>
      <c r="R283" s="236"/>
      <c r="S283" s="236"/>
      <c r="T283" s="236"/>
      <c r="U283" s="236"/>
      <c r="V283" s="236"/>
      <c r="W283" s="236"/>
    </row>
    <row r="284" spans="1:31" s="262" customFormat="1" hidden="1">
      <c r="A284" s="236"/>
      <c r="B284" s="236"/>
      <c r="C284" s="236"/>
      <c r="D284" s="236"/>
      <c r="E284" s="236"/>
      <c r="F284" s="236"/>
      <c r="G284" s="257"/>
      <c r="H284" s="257"/>
      <c r="I284" s="257"/>
      <c r="J284" s="257"/>
      <c r="K284" s="257"/>
      <c r="L284" s="257"/>
      <c r="M284" s="261"/>
      <c r="N284" s="261"/>
      <c r="O284" s="261"/>
      <c r="P284" s="236"/>
      <c r="Q284" s="236"/>
      <c r="R284" s="236"/>
      <c r="S284" s="236"/>
      <c r="T284" s="236"/>
      <c r="U284" s="236"/>
      <c r="V284" s="236"/>
      <c r="W284" s="236"/>
    </row>
    <row r="285" spans="1:31" s="262" customFormat="1" hidden="1">
      <c r="A285" s="236"/>
      <c r="B285" s="236"/>
      <c r="C285" s="236"/>
      <c r="D285" s="236"/>
      <c r="E285" s="236"/>
      <c r="F285" s="236"/>
      <c r="G285" s="257"/>
      <c r="H285" s="257"/>
      <c r="I285" s="257"/>
      <c r="J285" s="257"/>
      <c r="K285" s="257"/>
      <c r="L285" s="257"/>
      <c r="M285" s="261"/>
      <c r="N285" s="261"/>
      <c r="O285" s="261"/>
      <c r="P285" s="236"/>
      <c r="Q285" s="236"/>
      <c r="R285" s="236"/>
      <c r="S285" s="236"/>
      <c r="T285" s="236"/>
      <c r="U285" s="236"/>
      <c r="V285" s="236"/>
      <c r="W285" s="236"/>
    </row>
    <row r="286" spans="1:31" s="262" customFormat="1" hidden="1">
      <c r="A286" s="236"/>
      <c r="B286" s="236"/>
      <c r="C286" s="236"/>
      <c r="D286" s="236"/>
      <c r="E286" s="236"/>
      <c r="F286" s="236"/>
      <c r="G286" s="257"/>
      <c r="H286" s="257"/>
      <c r="I286" s="257"/>
      <c r="J286" s="257"/>
      <c r="K286" s="257"/>
      <c r="L286" s="257"/>
      <c r="M286" s="261"/>
      <c r="N286" s="261"/>
      <c r="O286" s="261"/>
      <c r="P286" s="236"/>
      <c r="Q286" s="236"/>
      <c r="R286" s="236"/>
      <c r="S286" s="236"/>
      <c r="T286" s="236"/>
      <c r="U286" s="236"/>
      <c r="V286" s="236"/>
      <c r="W286" s="236"/>
    </row>
    <row r="287" spans="1:31" s="262" customFormat="1" hidden="1">
      <c r="A287" s="236"/>
      <c r="B287" s="236"/>
      <c r="C287" s="236"/>
      <c r="D287" s="236"/>
      <c r="E287" s="236"/>
      <c r="F287" s="236"/>
      <c r="G287" s="257"/>
      <c r="H287" s="257"/>
      <c r="I287" s="257"/>
      <c r="J287" s="257"/>
      <c r="K287" s="257"/>
      <c r="L287" s="257"/>
      <c r="M287" s="261"/>
      <c r="N287" s="261"/>
      <c r="O287" s="261"/>
      <c r="P287" s="236"/>
      <c r="Q287" s="236"/>
      <c r="R287" s="236"/>
      <c r="S287" s="236"/>
      <c r="T287" s="236"/>
      <c r="U287" s="236"/>
      <c r="V287" s="236"/>
      <c r="W287" s="236"/>
    </row>
    <row r="288" spans="1:31" s="262" customFormat="1" hidden="1">
      <c r="A288" s="236"/>
      <c r="B288" s="236"/>
      <c r="C288" s="236"/>
      <c r="D288" s="236"/>
      <c r="E288" s="236"/>
      <c r="F288" s="236"/>
      <c r="G288" s="257"/>
      <c r="H288" s="257"/>
      <c r="I288" s="257"/>
      <c r="J288" s="257"/>
      <c r="K288" s="257"/>
      <c r="L288" s="257"/>
      <c r="M288" s="261"/>
      <c r="N288" s="261"/>
      <c r="O288" s="261"/>
      <c r="P288" s="236"/>
      <c r="Q288" s="236"/>
      <c r="R288" s="236"/>
      <c r="S288" s="236"/>
      <c r="T288" s="236"/>
      <c r="U288" s="236"/>
      <c r="V288" s="236"/>
      <c r="W288" s="236"/>
    </row>
    <row r="289" spans="1:23" s="262" customFormat="1" hidden="1">
      <c r="A289" s="236"/>
      <c r="B289" s="236"/>
      <c r="C289" s="236"/>
      <c r="D289" s="236"/>
      <c r="E289" s="236"/>
      <c r="F289" s="236"/>
      <c r="G289" s="257"/>
      <c r="H289" s="257"/>
      <c r="I289" s="257"/>
      <c r="J289" s="257"/>
      <c r="K289" s="257"/>
      <c r="L289" s="257"/>
      <c r="M289" s="261"/>
      <c r="N289" s="261"/>
      <c r="O289" s="261"/>
      <c r="P289" s="236"/>
      <c r="Q289" s="236"/>
      <c r="R289" s="236"/>
      <c r="S289" s="236"/>
      <c r="T289" s="236"/>
      <c r="U289" s="236"/>
      <c r="V289" s="236"/>
      <c r="W289" s="236"/>
    </row>
    <row r="290" spans="1:23" s="262" customFormat="1" hidden="1">
      <c r="A290" s="236"/>
      <c r="B290" s="236"/>
      <c r="C290" s="236"/>
      <c r="D290" s="236"/>
      <c r="E290" s="236"/>
      <c r="F290" s="236"/>
      <c r="G290" s="257"/>
      <c r="H290" s="257"/>
      <c r="I290" s="257"/>
      <c r="J290" s="257"/>
      <c r="K290" s="257"/>
      <c r="L290" s="257"/>
      <c r="M290" s="261"/>
      <c r="N290" s="261"/>
      <c r="O290" s="261"/>
      <c r="P290" s="236"/>
      <c r="Q290" s="236"/>
      <c r="R290" s="236"/>
      <c r="S290" s="236"/>
      <c r="T290" s="236"/>
      <c r="U290" s="236"/>
      <c r="V290" s="236"/>
      <c r="W290" s="236"/>
    </row>
    <row r="291" spans="1:23" s="262" customFormat="1" hidden="1">
      <c r="A291" s="236"/>
      <c r="B291" s="236"/>
      <c r="C291" s="236"/>
      <c r="D291" s="236"/>
      <c r="E291" s="236"/>
      <c r="F291" s="236"/>
      <c r="G291" s="257"/>
      <c r="H291" s="257"/>
      <c r="I291" s="257"/>
      <c r="J291" s="257"/>
      <c r="K291" s="257"/>
      <c r="L291" s="257"/>
      <c r="M291" s="261"/>
      <c r="N291" s="261"/>
      <c r="O291" s="261"/>
      <c r="P291" s="236"/>
      <c r="Q291" s="236"/>
      <c r="R291" s="236"/>
      <c r="S291" s="236"/>
      <c r="T291" s="236"/>
      <c r="U291" s="236"/>
      <c r="V291" s="236"/>
      <c r="W291" s="236"/>
    </row>
    <row r="292" spans="1:23" s="262" customFormat="1" hidden="1">
      <c r="A292" s="236"/>
      <c r="B292" s="236"/>
      <c r="C292" s="236"/>
      <c r="D292" s="236"/>
      <c r="E292" s="236"/>
      <c r="F292" s="236"/>
      <c r="G292" s="257"/>
      <c r="H292" s="257"/>
      <c r="I292" s="257"/>
      <c r="J292" s="257"/>
      <c r="K292" s="257"/>
      <c r="L292" s="257"/>
      <c r="M292" s="261"/>
      <c r="N292" s="261"/>
      <c r="O292" s="261"/>
      <c r="P292" s="236"/>
      <c r="Q292" s="236"/>
      <c r="R292" s="236"/>
      <c r="S292" s="236"/>
      <c r="T292" s="236"/>
      <c r="U292" s="236"/>
      <c r="V292" s="236"/>
      <c r="W292" s="236"/>
    </row>
    <row r="293" spans="1:23" s="262" customFormat="1" hidden="1">
      <c r="A293" s="236"/>
      <c r="B293" s="236"/>
      <c r="C293" s="236"/>
      <c r="D293" s="236"/>
      <c r="E293" s="236"/>
      <c r="F293" s="236"/>
      <c r="G293" s="257"/>
      <c r="H293" s="257"/>
      <c r="I293" s="257"/>
      <c r="J293" s="257"/>
      <c r="K293" s="257"/>
      <c r="L293" s="257"/>
      <c r="M293" s="261"/>
      <c r="N293" s="261"/>
      <c r="O293" s="261"/>
      <c r="P293" s="236"/>
      <c r="Q293" s="236"/>
      <c r="R293" s="236"/>
      <c r="S293" s="236"/>
      <c r="T293" s="236"/>
      <c r="U293" s="236"/>
      <c r="V293" s="236"/>
      <c r="W293" s="236"/>
    </row>
    <row r="294" spans="1:23" s="262" customFormat="1" hidden="1">
      <c r="A294" s="236"/>
      <c r="B294" s="236"/>
      <c r="C294" s="236"/>
      <c r="D294" s="236"/>
      <c r="E294" s="236"/>
      <c r="F294" s="236"/>
      <c r="G294" s="257"/>
      <c r="H294" s="257"/>
      <c r="I294" s="257"/>
      <c r="J294" s="257"/>
      <c r="K294" s="257"/>
      <c r="L294" s="257"/>
      <c r="M294" s="261"/>
      <c r="N294" s="261"/>
      <c r="O294" s="261"/>
      <c r="P294" s="236"/>
      <c r="Q294" s="236"/>
      <c r="R294" s="236"/>
      <c r="S294" s="236"/>
      <c r="T294" s="236"/>
      <c r="U294" s="236"/>
      <c r="V294" s="236"/>
      <c r="W294" s="236"/>
    </row>
    <row r="295" spans="1:23" s="262" customFormat="1" hidden="1">
      <c r="A295" s="236"/>
      <c r="B295" s="236"/>
      <c r="C295" s="236"/>
      <c r="D295" s="236"/>
      <c r="E295" s="236"/>
      <c r="F295" s="236"/>
      <c r="G295" s="257"/>
      <c r="H295" s="257"/>
      <c r="I295" s="257"/>
      <c r="J295" s="257"/>
      <c r="K295" s="257"/>
      <c r="L295" s="257"/>
      <c r="M295" s="261"/>
      <c r="N295" s="261"/>
      <c r="O295" s="261"/>
      <c r="P295" s="236"/>
      <c r="Q295" s="236"/>
      <c r="R295" s="236"/>
      <c r="S295" s="236"/>
      <c r="T295" s="236"/>
      <c r="U295" s="236"/>
      <c r="V295" s="236"/>
      <c r="W295" s="236"/>
    </row>
    <row r="296" spans="1:23" s="262" customFormat="1" hidden="1">
      <c r="A296" s="236"/>
      <c r="B296" s="236"/>
      <c r="C296" s="236"/>
      <c r="D296" s="236"/>
      <c r="E296" s="236"/>
      <c r="F296" s="236"/>
      <c r="G296" s="257"/>
      <c r="H296" s="257"/>
      <c r="I296" s="257"/>
      <c r="J296" s="257"/>
      <c r="K296" s="257"/>
      <c r="L296" s="257"/>
      <c r="M296" s="261"/>
      <c r="N296" s="261"/>
      <c r="O296" s="261"/>
      <c r="P296" s="236"/>
      <c r="Q296" s="236"/>
      <c r="R296" s="236"/>
      <c r="S296" s="236"/>
      <c r="T296" s="236"/>
      <c r="U296" s="236"/>
      <c r="V296" s="236"/>
      <c r="W296" s="236"/>
    </row>
    <row r="297" spans="1:23" s="262" customFormat="1" hidden="1">
      <c r="A297" s="236"/>
      <c r="B297" s="236"/>
      <c r="C297" s="236"/>
      <c r="D297" s="236"/>
      <c r="E297" s="236"/>
      <c r="F297" s="236"/>
      <c r="G297" s="257"/>
      <c r="H297" s="257"/>
      <c r="I297" s="257"/>
      <c r="J297" s="257"/>
      <c r="K297" s="257"/>
      <c r="L297" s="257"/>
      <c r="M297" s="261"/>
      <c r="N297" s="261"/>
      <c r="O297" s="261"/>
      <c r="P297" s="236"/>
      <c r="Q297" s="236"/>
      <c r="R297" s="236"/>
      <c r="S297" s="236"/>
      <c r="T297" s="236"/>
      <c r="U297" s="236"/>
      <c r="V297" s="236"/>
      <c r="W297" s="236"/>
    </row>
    <row r="298" spans="1:23" s="262" customFormat="1" hidden="1">
      <c r="A298" s="236"/>
      <c r="B298" s="236"/>
      <c r="C298" s="236"/>
      <c r="D298" s="236"/>
      <c r="E298" s="236"/>
      <c r="F298" s="236"/>
      <c r="G298" s="257"/>
      <c r="H298" s="257"/>
      <c r="I298" s="257"/>
      <c r="J298" s="257"/>
      <c r="K298" s="257"/>
      <c r="L298" s="257"/>
      <c r="M298" s="261"/>
      <c r="N298" s="261"/>
      <c r="O298" s="261"/>
      <c r="P298" s="236"/>
      <c r="Q298" s="236"/>
      <c r="R298" s="236"/>
      <c r="S298" s="236"/>
      <c r="T298" s="236"/>
      <c r="U298" s="236"/>
      <c r="V298" s="236"/>
      <c r="W298" s="236"/>
    </row>
    <row r="299" spans="1:23" s="262" customFormat="1" hidden="1">
      <c r="A299" s="236"/>
      <c r="B299" s="236"/>
      <c r="C299" s="236"/>
      <c r="D299" s="236"/>
      <c r="E299" s="236"/>
      <c r="F299" s="236"/>
      <c r="G299" s="257"/>
      <c r="H299" s="257"/>
      <c r="I299" s="257"/>
      <c r="J299" s="257"/>
      <c r="K299" s="257"/>
      <c r="L299" s="257"/>
      <c r="M299" s="261"/>
      <c r="N299" s="261"/>
      <c r="O299" s="261"/>
      <c r="P299" s="236"/>
      <c r="Q299" s="236"/>
      <c r="R299" s="236"/>
      <c r="S299" s="236"/>
      <c r="T299" s="236"/>
      <c r="U299" s="236"/>
      <c r="V299" s="236"/>
      <c r="W299" s="236"/>
    </row>
    <row r="300" spans="1:23" s="262" customFormat="1" hidden="1">
      <c r="A300" s="236"/>
      <c r="B300" s="236"/>
      <c r="C300" s="236"/>
      <c r="D300" s="236"/>
      <c r="E300" s="236"/>
      <c r="F300" s="236"/>
      <c r="G300" s="257"/>
      <c r="H300" s="257"/>
      <c r="I300" s="257"/>
      <c r="J300" s="257"/>
      <c r="K300" s="257"/>
      <c r="L300" s="257"/>
      <c r="M300" s="261"/>
      <c r="N300" s="261"/>
      <c r="O300" s="261"/>
      <c r="P300" s="236"/>
      <c r="Q300" s="236"/>
      <c r="R300" s="236"/>
      <c r="S300" s="236"/>
      <c r="T300" s="236"/>
      <c r="U300" s="236"/>
      <c r="V300" s="236"/>
      <c r="W300" s="236"/>
    </row>
    <row r="301" spans="1:23" s="262" customFormat="1" hidden="1">
      <c r="A301" s="236"/>
      <c r="B301" s="236"/>
      <c r="C301" s="236"/>
      <c r="D301" s="236"/>
      <c r="E301" s="236"/>
      <c r="F301" s="236"/>
      <c r="G301" s="257"/>
      <c r="H301" s="257"/>
      <c r="I301" s="257"/>
      <c r="J301" s="257"/>
      <c r="K301" s="257"/>
      <c r="L301" s="257"/>
      <c r="M301" s="261"/>
      <c r="N301" s="261"/>
      <c r="O301" s="261"/>
      <c r="P301" s="236"/>
      <c r="Q301" s="236"/>
      <c r="R301" s="236"/>
      <c r="S301" s="236"/>
      <c r="T301" s="236"/>
      <c r="U301" s="236"/>
      <c r="V301" s="236"/>
      <c r="W301" s="236"/>
    </row>
    <row r="302" spans="1:23" s="262" customFormat="1" hidden="1">
      <c r="A302" s="236"/>
      <c r="B302" s="236"/>
      <c r="C302" s="236"/>
      <c r="D302" s="236"/>
      <c r="E302" s="236"/>
      <c r="F302" s="236"/>
      <c r="G302" s="257"/>
      <c r="H302" s="257"/>
      <c r="I302" s="257"/>
      <c r="J302" s="257"/>
      <c r="K302" s="257"/>
      <c r="L302" s="257"/>
      <c r="M302" s="261"/>
      <c r="N302" s="261"/>
      <c r="O302" s="261"/>
      <c r="P302" s="236"/>
      <c r="Q302" s="236"/>
      <c r="R302" s="236"/>
      <c r="S302" s="236"/>
      <c r="T302" s="236"/>
      <c r="U302" s="236"/>
      <c r="V302" s="236"/>
      <c r="W302" s="236"/>
    </row>
    <row r="303" spans="1:23" s="262" customFormat="1" hidden="1">
      <c r="A303" s="236"/>
      <c r="B303" s="236"/>
      <c r="C303" s="236"/>
      <c r="D303" s="236"/>
      <c r="E303" s="236"/>
      <c r="F303" s="236"/>
      <c r="G303" s="257"/>
      <c r="H303" s="257"/>
      <c r="I303" s="257"/>
      <c r="J303" s="257"/>
      <c r="K303" s="257"/>
      <c r="L303" s="257"/>
      <c r="M303" s="261"/>
      <c r="N303" s="261"/>
      <c r="O303" s="261"/>
      <c r="P303" s="236"/>
      <c r="Q303" s="236"/>
      <c r="R303" s="236"/>
      <c r="S303" s="236"/>
      <c r="T303" s="236"/>
      <c r="U303" s="236"/>
      <c r="V303" s="236"/>
      <c r="W303" s="236"/>
    </row>
    <row r="304" spans="1:23" s="262" customFormat="1" hidden="1">
      <c r="A304" s="236"/>
      <c r="B304" s="236"/>
      <c r="C304" s="236"/>
      <c r="D304" s="236"/>
      <c r="E304" s="236"/>
      <c r="F304" s="236"/>
      <c r="G304" s="257"/>
      <c r="H304" s="257"/>
      <c r="I304" s="257"/>
      <c r="J304" s="257"/>
      <c r="K304" s="257"/>
      <c r="L304" s="257"/>
      <c r="M304" s="261"/>
      <c r="N304" s="261"/>
      <c r="O304" s="261"/>
      <c r="P304" s="236"/>
      <c r="Q304" s="236"/>
      <c r="R304" s="236"/>
      <c r="S304" s="236"/>
      <c r="T304" s="236"/>
      <c r="U304" s="236"/>
      <c r="V304" s="236"/>
      <c r="W304" s="236"/>
    </row>
    <row r="305" spans="1:23" s="262" customFormat="1" hidden="1">
      <c r="A305" s="236"/>
      <c r="B305" s="236"/>
      <c r="C305" s="236"/>
      <c r="D305" s="236"/>
      <c r="E305" s="236"/>
      <c r="F305" s="236"/>
      <c r="G305" s="257"/>
      <c r="H305" s="257"/>
      <c r="I305" s="257"/>
      <c r="J305" s="257"/>
      <c r="K305" s="257"/>
      <c r="L305" s="257"/>
      <c r="M305" s="261"/>
      <c r="N305" s="261"/>
      <c r="O305" s="261"/>
      <c r="P305" s="236"/>
      <c r="Q305" s="236"/>
      <c r="R305" s="236"/>
      <c r="S305" s="236"/>
      <c r="T305" s="236"/>
      <c r="U305" s="236"/>
      <c r="V305" s="236"/>
      <c r="W305" s="236"/>
    </row>
    <row r="306" spans="1:23" s="262" customFormat="1" hidden="1">
      <c r="A306" s="236"/>
      <c r="B306" s="236"/>
      <c r="C306" s="236"/>
      <c r="D306" s="236"/>
      <c r="E306" s="236"/>
      <c r="F306" s="236"/>
      <c r="G306" s="257"/>
      <c r="H306" s="257"/>
      <c r="I306" s="257"/>
      <c r="J306" s="257"/>
      <c r="K306" s="257"/>
      <c r="L306" s="257"/>
      <c r="M306" s="261"/>
      <c r="N306" s="261"/>
      <c r="O306" s="261"/>
      <c r="P306" s="236"/>
      <c r="Q306" s="236"/>
      <c r="R306" s="236"/>
      <c r="S306" s="236"/>
      <c r="T306" s="236"/>
      <c r="U306" s="236"/>
      <c r="V306" s="236"/>
      <c r="W306" s="236"/>
    </row>
    <row r="307" spans="1:23" s="262" customFormat="1" hidden="1">
      <c r="A307" s="236"/>
      <c r="B307" s="236"/>
      <c r="C307" s="236"/>
      <c r="D307" s="236"/>
      <c r="E307" s="236"/>
      <c r="F307" s="236"/>
      <c r="G307" s="257"/>
      <c r="H307" s="257"/>
      <c r="I307" s="257"/>
      <c r="J307" s="257"/>
      <c r="K307" s="257"/>
      <c r="L307" s="257"/>
      <c r="M307" s="261"/>
      <c r="N307" s="261"/>
      <c r="O307" s="261"/>
      <c r="P307" s="236"/>
      <c r="Q307" s="236"/>
      <c r="R307" s="236"/>
      <c r="S307" s="236"/>
      <c r="T307" s="236"/>
      <c r="U307" s="236"/>
      <c r="V307" s="236"/>
      <c r="W307" s="236"/>
    </row>
    <row r="308" spans="1:23" s="262" customFormat="1" hidden="1">
      <c r="A308" s="236"/>
      <c r="B308" s="236"/>
      <c r="C308" s="236"/>
      <c r="D308" s="236"/>
      <c r="E308" s="236"/>
      <c r="F308" s="236"/>
      <c r="G308" s="257"/>
      <c r="H308" s="257"/>
      <c r="I308" s="257"/>
      <c r="J308" s="257"/>
      <c r="K308" s="257"/>
      <c r="L308" s="257"/>
      <c r="M308" s="261"/>
      <c r="N308" s="261"/>
      <c r="O308" s="261"/>
      <c r="P308" s="236"/>
      <c r="Q308" s="236"/>
      <c r="R308" s="236"/>
      <c r="S308" s="236"/>
      <c r="T308" s="236"/>
      <c r="U308" s="236"/>
      <c r="V308" s="236"/>
      <c r="W308" s="236"/>
    </row>
    <row r="309" spans="1:23" s="262" customFormat="1" hidden="1">
      <c r="A309" s="236"/>
      <c r="B309" s="236"/>
      <c r="C309" s="236"/>
      <c r="D309" s="236"/>
      <c r="E309" s="236"/>
      <c r="F309" s="236"/>
      <c r="G309" s="257"/>
      <c r="H309" s="257"/>
      <c r="I309" s="257"/>
      <c r="J309" s="257"/>
      <c r="K309" s="257"/>
      <c r="L309" s="257"/>
      <c r="M309" s="261"/>
      <c r="N309" s="261"/>
      <c r="O309" s="261"/>
      <c r="P309" s="236"/>
      <c r="Q309" s="236"/>
      <c r="R309" s="236"/>
      <c r="S309" s="236"/>
      <c r="T309" s="236"/>
      <c r="U309" s="236"/>
      <c r="V309" s="236"/>
      <c r="W309" s="236"/>
    </row>
    <row r="310" spans="1:23" s="262" customFormat="1" hidden="1">
      <c r="A310" s="236"/>
      <c r="B310" s="236"/>
      <c r="C310" s="236"/>
      <c r="D310" s="236"/>
      <c r="E310" s="236"/>
      <c r="F310" s="236"/>
      <c r="G310" s="257"/>
      <c r="H310" s="257"/>
      <c r="I310" s="257"/>
      <c r="J310" s="257"/>
      <c r="K310" s="257"/>
      <c r="L310" s="257"/>
      <c r="M310" s="261"/>
      <c r="N310" s="261"/>
      <c r="O310" s="261"/>
      <c r="P310" s="236"/>
      <c r="Q310" s="236"/>
      <c r="R310" s="236"/>
      <c r="S310" s="236"/>
      <c r="T310" s="236"/>
      <c r="U310" s="236"/>
      <c r="V310" s="236"/>
      <c r="W310" s="236"/>
    </row>
    <row r="311" spans="1:23" s="262" customFormat="1" hidden="1">
      <c r="A311" s="236"/>
      <c r="B311" s="236"/>
      <c r="C311" s="236"/>
      <c r="D311" s="236"/>
      <c r="E311" s="236"/>
      <c r="F311" s="236"/>
      <c r="G311" s="257"/>
      <c r="H311" s="257"/>
      <c r="I311" s="257"/>
      <c r="J311" s="257"/>
      <c r="K311" s="257"/>
      <c r="L311" s="257"/>
      <c r="M311" s="261"/>
      <c r="N311" s="261"/>
      <c r="O311" s="261"/>
      <c r="P311" s="236"/>
      <c r="Q311" s="236"/>
      <c r="R311" s="236"/>
      <c r="S311" s="236"/>
      <c r="T311" s="236"/>
      <c r="U311" s="236"/>
      <c r="V311" s="236"/>
      <c r="W311" s="236"/>
    </row>
    <row r="312" spans="1:23" s="262" customFormat="1" hidden="1">
      <c r="A312" s="236"/>
      <c r="B312" s="236"/>
      <c r="C312" s="236"/>
      <c r="D312" s="236"/>
      <c r="E312" s="236"/>
      <c r="F312" s="236"/>
      <c r="G312" s="257"/>
      <c r="H312" s="257"/>
      <c r="I312" s="257"/>
      <c r="J312" s="257"/>
      <c r="K312" s="257"/>
      <c r="L312" s="257"/>
      <c r="M312" s="261"/>
      <c r="N312" s="261"/>
      <c r="O312" s="261"/>
      <c r="P312" s="236"/>
      <c r="Q312" s="236"/>
      <c r="R312" s="236"/>
      <c r="S312" s="236"/>
      <c r="T312" s="236"/>
      <c r="U312" s="236"/>
      <c r="V312" s="236"/>
      <c r="W312" s="236"/>
    </row>
    <row r="313" spans="1:23" s="262" customFormat="1" hidden="1">
      <c r="A313" s="236"/>
      <c r="B313" s="236"/>
      <c r="C313" s="236"/>
      <c r="D313" s="236"/>
      <c r="E313" s="236"/>
      <c r="F313" s="236"/>
      <c r="G313" s="257"/>
      <c r="H313" s="257"/>
      <c r="I313" s="257"/>
      <c r="J313" s="257"/>
      <c r="K313" s="257"/>
      <c r="L313" s="257"/>
      <c r="M313" s="261"/>
      <c r="N313" s="261"/>
      <c r="O313" s="261"/>
      <c r="P313" s="236"/>
      <c r="Q313" s="236"/>
      <c r="R313" s="236"/>
      <c r="S313" s="236"/>
      <c r="T313" s="236"/>
      <c r="U313" s="236"/>
      <c r="V313" s="236"/>
      <c r="W313" s="236"/>
    </row>
    <row r="314" spans="1:23" s="262" customFormat="1" hidden="1">
      <c r="A314" s="236"/>
      <c r="B314" s="236"/>
      <c r="C314" s="236"/>
      <c r="D314" s="236"/>
      <c r="E314" s="236"/>
      <c r="F314" s="236"/>
      <c r="G314" s="257"/>
      <c r="H314" s="257"/>
      <c r="I314" s="257"/>
      <c r="J314" s="257"/>
      <c r="K314" s="257"/>
      <c r="L314" s="257"/>
      <c r="M314" s="261"/>
      <c r="N314" s="261"/>
      <c r="O314" s="261"/>
      <c r="P314" s="236"/>
      <c r="Q314" s="236"/>
      <c r="R314" s="236"/>
      <c r="S314" s="236"/>
      <c r="T314" s="236"/>
      <c r="U314" s="236"/>
      <c r="V314" s="236"/>
      <c r="W314" s="236"/>
    </row>
    <row r="315" spans="1:23" s="262" customFormat="1" hidden="1">
      <c r="A315" s="236"/>
      <c r="B315" s="236"/>
      <c r="C315" s="236"/>
      <c r="D315" s="236"/>
      <c r="E315" s="236"/>
      <c r="F315" s="236"/>
      <c r="G315" s="257"/>
      <c r="H315" s="257"/>
      <c r="I315" s="257"/>
      <c r="J315" s="257"/>
      <c r="K315" s="257"/>
      <c r="L315" s="257"/>
      <c r="M315" s="261"/>
      <c r="N315" s="261"/>
      <c r="O315" s="261"/>
      <c r="P315" s="236"/>
      <c r="Q315" s="236"/>
      <c r="R315" s="236"/>
      <c r="S315" s="236"/>
      <c r="T315" s="236"/>
      <c r="U315" s="236"/>
      <c r="V315" s="236"/>
      <c r="W315" s="236"/>
    </row>
    <row r="316" spans="1:23" s="262" customFormat="1" hidden="1">
      <c r="A316" s="236"/>
      <c r="B316" s="236"/>
      <c r="C316" s="236"/>
      <c r="D316" s="236"/>
      <c r="E316" s="236"/>
      <c r="F316" s="236"/>
      <c r="G316" s="257"/>
      <c r="H316" s="257"/>
      <c r="I316" s="257"/>
      <c r="J316" s="257"/>
      <c r="K316" s="257"/>
      <c r="L316" s="257"/>
      <c r="M316" s="261"/>
      <c r="N316" s="261"/>
      <c r="O316" s="261"/>
      <c r="P316" s="236"/>
      <c r="Q316" s="236"/>
      <c r="R316" s="236"/>
      <c r="S316" s="236"/>
      <c r="T316" s="236"/>
      <c r="U316" s="236"/>
      <c r="V316" s="236"/>
      <c r="W316" s="236"/>
    </row>
    <row r="317" spans="1:23" s="262" customFormat="1" hidden="1">
      <c r="A317" s="236"/>
      <c r="B317" s="236"/>
      <c r="C317" s="236"/>
      <c r="D317" s="236"/>
      <c r="E317" s="236"/>
      <c r="F317" s="236"/>
      <c r="G317" s="257"/>
      <c r="H317" s="257"/>
      <c r="I317" s="257"/>
      <c r="J317" s="257"/>
      <c r="K317" s="257"/>
      <c r="L317" s="257"/>
      <c r="M317" s="261"/>
      <c r="N317" s="261"/>
      <c r="O317" s="261"/>
      <c r="P317" s="236"/>
      <c r="Q317" s="236"/>
      <c r="R317" s="236"/>
      <c r="S317" s="236"/>
      <c r="T317" s="236"/>
      <c r="U317" s="236"/>
      <c r="V317" s="236"/>
      <c r="W317" s="236"/>
    </row>
    <row r="318" spans="1:23" s="262" customFormat="1" hidden="1">
      <c r="A318" s="236"/>
      <c r="B318" s="236"/>
      <c r="C318" s="236"/>
      <c r="D318" s="236"/>
      <c r="E318" s="236"/>
      <c r="F318" s="236"/>
      <c r="G318" s="257"/>
      <c r="H318" s="257"/>
      <c r="I318" s="257"/>
      <c r="J318" s="257"/>
      <c r="K318" s="257"/>
      <c r="L318" s="257"/>
      <c r="M318" s="261"/>
      <c r="N318" s="261"/>
      <c r="O318" s="261"/>
      <c r="P318" s="236"/>
      <c r="Q318" s="236"/>
      <c r="R318" s="236"/>
      <c r="S318" s="236"/>
      <c r="T318" s="236"/>
      <c r="U318" s="236"/>
      <c r="V318" s="236"/>
      <c r="W318" s="236"/>
    </row>
    <row r="319" spans="1:23" s="262" customFormat="1" hidden="1">
      <c r="A319" s="236"/>
      <c r="B319" s="236"/>
      <c r="C319" s="236"/>
      <c r="D319" s="236"/>
      <c r="E319" s="236"/>
      <c r="F319" s="236"/>
      <c r="G319" s="257"/>
      <c r="H319" s="257"/>
      <c r="I319" s="257"/>
      <c r="J319" s="257"/>
      <c r="K319" s="257"/>
      <c r="L319" s="257"/>
      <c r="M319" s="261"/>
      <c r="N319" s="261"/>
      <c r="O319" s="261"/>
      <c r="P319" s="236"/>
      <c r="Q319" s="236"/>
      <c r="R319" s="236"/>
      <c r="S319" s="236"/>
      <c r="T319" s="236"/>
      <c r="U319" s="236"/>
      <c r="V319" s="236"/>
      <c r="W319" s="236"/>
    </row>
    <row r="320" spans="1:23" s="262" customFormat="1" hidden="1">
      <c r="A320" s="236"/>
      <c r="B320" s="236"/>
      <c r="C320" s="236"/>
      <c r="D320" s="236"/>
      <c r="E320" s="236"/>
      <c r="F320" s="236"/>
      <c r="G320" s="257"/>
      <c r="H320" s="257"/>
      <c r="I320" s="257"/>
      <c r="J320" s="257"/>
      <c r="K320" s="257"/>
      <c r="L320" s="257"/>
      <c r="M320" s="261"/>
      <c r="N320" s="261"/>
      <c r="O320" s="261"/>
      <c r="P320" s="236"/>
      <c r="Q320" s="236"/>
      <c r="R320" s="236"/>
      <c r="S320" s="236"/>
      <c r="T320" s="236"/>
      <c r="U320" s="236"/>
      <c r="V320" s="236"/>
      <c r="W320" s="236"/>
    </row>
    <row r="321" spans="1:31" s="262" customFormat="1" hidden="1">
      <c r="A321" s="236"/>
      <c r="B321" s="236"/>
      <c r="C321" s="236"/>
      <c r="D321" s="236"/>
      <c r="E321" s="236"/>
      <c r="F321" s="236"/>
      <c r="G321" s="257"/>
      <c r="H321" s="257"/>
      <c r="I321" s="257"/>
      <c r="J321" s="257"/>
      <c r="K321" s="257"/>
      <c r="L321" s="257"/>
      <c r="M321" s="261"/>
      <c r="N321" s="261"/>
      <c r="O321" s="261"/>
      <c r="P321" s="236"/>
      <c r="Q321" s="236"/>
      <c r="R321" s="236"/>
      <c r="S321" s="236"/>
      <c r="T321" s="236"/>
      <c r="U321" s="236"/>
      <c r="V321" s="236"/>
      <c r="W321" s="236"/>
    </row>
    <row r="322" spans="1:31" s="262" customFormat="1" hidden="1">
      <c r="A322" s="236"/>
      <c r="B322" s="236"/>
      <c r="C322" s="236"/>
      <c r="D322" s="236"/>
      <c r="E322" s="236"/>
      <c r="F322" s="236"/>
      <c r="G322" s="257"/>
      <c r="H322" s="257"/>
      <c r="I322" s="257"/>
      <c r="J322" s="257"/>
      <c r="K322" s="257"/>
      <c r="L322" s="257"/>
      <c r="M322" s="261"/>
      <c r="N322" s="261"/>
      <c r="O322" s="261"/>
      <c r="P322" s="236"/>
      <c r="Q322" s="236"/>
      <c r="R322" s="236"/>
      <c r="S322" s="236"/>
      <c r="T322" s="236"/>
      <c r="U322" s="236"/>
      <c r="V322" s="236"/>
      <c r="W322" s="236"/>
    </row>
    <row r="323" spans="1:31" s="262" customFormat="1" hidden="1">
      <c r="A323" s="236"/>
      <c r="B323" s="236"/>
      <c r="C323" s="236"/>
      <c r="D323" s="236"/>
      <c r="E323" s="236"/>
      <c r="F323" s="236"/>
      <c r="G323" s="257"/>
      <c r="H323" s="257"/>
      <c r="I323" s="257"/>
      <c r="J323" s="257"/>
      <c r="K323" s="257"/>
      <c r="L323" s="257"/>
      <c r="M323" s="261"/>
      <c r="N323" s="261"/>
      <c r="O323" s="261"/>
      <c r="P323" s="236"/>
      <c r="Q323" s="236"/>
      <c r="R323" s="236"/>
      <c r="S323" s="236"/>
      <c r="T323" s="236"/>
      <c r="U323" s="236"/>
      <c r="V323" s="236"/>
      <c r="W323" s="236"/>
    </row>
    <row r="324" spans="1:31" s="262" customFormat="1" hidden="1">
      <c r="A324" s="236"/>
      <c r="B324" s="236"/>
      <c r="C324" s="236"/>
      <c r="D324" s="236"/>
      <c r="E324" s="236"/>
      <c r="F324" s="236"/>
      <c r="G324" s="257"/>
      <c r="H324" s="257"/>
      <c r="I324" s="257"/>
      <c r="J324" s="257"/>
      <c r="K324" s="257"/>
      <c r="L324" s="257"/>
      <c r="M324" s="261"/>
      <c r="N324" s="261"/>
      <c r="O324" s="261"/>
      <c r="P324" s="236"/>
      <c r="Q324" s="236"/>
      <c r="R324" s="236"/>
      <c r="S324" s="236"/>
      <c r="T324" s="236"/>
      <c r="U324" s="236"/>
      <c r="V324" s="236"/>
      <c r="W324" s="236"/>
    </row>
    <row r="325" spans="1:31" s="93" customFormat="1">
      <c r="A325" s="157" t="s">
        <v>226</v>
      </c>
      <c r="B325" s="91"/>
      <c r="C325" s="91"/>
      <c r="D325" s="91"/>
      <c r="E325" s="91"/>
      <c r="F325" s="91"/>
      <c r="G325" s="235"/>
      <c r="H325" s="235"/>
      <c r="I325" s="235"/>
      <c r="J325" s="235"/>
      <c r="K325" s="235"/>
      <c r="L325" s="235"/>
      <c r="M325" s="235"/>
      <c r="N325" s="235"/>
      <c r="O325" s="235"/>
      <c r="P325" s="235"/>
      <c r="Q325" s="235"/>
      <c r="R325" s="235"/>
      <c r="S325" s="235"/>
      <c r="T325" s="235"/>
      <c r="U325" s="235"/>
      <c r="V325" s="235"/>
      <c r="W325" s="235"/>
      <c r="X325" s="258"/>
      <c r="Y325" s="258"/>
      <c r="Z325" s="258"/>
      <c r="AA325" s="258"/>
      <c r="AB325" s="258"/>
      <c r="AC325" s="258"/>
      <c r="AD325" s="258"/>
      <c r="AE325" s="258"/>
    </row>
    <row r="326" spans="1:31" s="93" customFormat="1">
      <c r="A326" s="91"/>
      <c r="B326" s="91"/>
      <c r="C326" s="91"/>
      <c r="D326" s="91"/>
      <c r="E326" s="91"/>
      <c r="F326" s="91"/>
      <c r="G326" s="91"/>
      <c r="H326" s="91"/>
      <c r="I326" s="91"/>
      <c r="J326" s="91"/>
      <c r="K326" s="91"/>
      <c r="L326" s="91"/>
      <c r="M326" s="91"/>
      <c r="N326" s="91"/>
      <c r="O326" s="91"/>
      <c r="P326" s="91"/>
      <c r="Q326" s="91"/>
      <c r="R326" s="91"/>
      <c r="S326" s="91"/>
      <c r="T326" s="91"/>
      <c r="U326" s="91"/>
      <c r="V326" s="91"/>
      <c r="W326" s="91"/>
    </row>
    <row r="327" spans="1:31" s="93" customFormat="1" ht="15.75">
      <c r="B327" s="91"/>
      <c r="C327" s="382" t="str">
        <f>+B161</f>
        <v>Furniture and fixtures</v>
      </c>
      <c r="D327" s="290"/>
      <c r="E327" s="382" t="str">
        <f>+B162</f>
        <v>Musical equipment</v>
      </c>
      <c r="F327" s="290"/>
      <c r="G327" s="382" t="str">
        <f>+B163</f>
        <v>Office equipment</v>
      </c>
      <c r="H327" s="290"/>
      <c r="I327" s="382" t="str">
        <f>+B164</f>
        <v>ABC</v>
      </c>
      <c r="J327" s="290"/>
      <c r="K327" s="382" t="str">
        <f>+B165</f>
        <v>A</v>
      </c>
      <c r="L327" s="291"/>
      <c r="M327" s="382" t="str">
        <f>+B166</f>
        <v>B</v>
      </c>
      <c r="N327" s="291"/>
      <c r="O327" s="382" t="str">
        <f>+B167</f>
        <v>C</v>
      </c>
      <c r="P327" s="291"/>
      <c r="Q327" s="382" t="str">
        <f>+B168</f>
        <v>D</v>
      </c>
      <c r="R327" s="291"/>
      <c r="S327" s="382" t="str">
        <f>+B169</f>
        <v>E</v>
      </c>
      <c r="T327" s="291"/>
      <c r="U327" s="382" t="str">
        <f>+B170</f>
        <v>F</v>
      </c>
      <c r="V327" s="291"/>
      <c r="W327" s="383" t="s">
        <v>227</v>
      </c>
    </row>
    <row r="328" spans="1:31" s="93" customFormat="1" ht="15.75">
      <c r="B328" s="162" t="s">
        <v>228</v>
      </c>
      <c r="C328" s="158"/>
      <c r="D328" s="158"/>
      <c r="E328" s="158"/>
      <c r="F328" s="158"/>
      <c r="G328" s="163"/>
      <c r="H328" s="164"/>
      <c r="I328" s="164"/>
      <c r="J328" s="164"/>
      <c r="K328" s="163"/>
      <c r="L328" s="165"/>
      <c r="M328" s="163"/>
      <c r="N328" s="165"/>
      <c r="O328" s="163"/>
      <c r="P328" s="165"/>
      <c r="Q328" s="163"/>
      <c r="R328" s="165"/>
      <c r="S328" s="163"/>
      <c r="T328" s="165"/>
      <c r="U328" s="163"/>
      <c r="V328" s="165"/>
      <c r="W328" s="165"/>
    </row>
    <row r="329" spans="1:31" s="93" customFormat="1">
      <c r="B329" s="166" t="s">
        <v>371</v>
      </c>
      <c r="C329" s="274">
        <v>0</v>
      </c>
      <c r="D329" s="275"/>
      <c r="E329" s="274">
        <v>0</v>
      </c>
      <c r="F329" s="275"/>
      <c r="G329" s="274">
        <v>0</v>
      </c>
      <c r="H329" s="275"/>
      <c r="I329" s="274">
        <v>0</v>
      </c>
      <c r="J329" s="275"/>
      <c r="K329" s="274">
        <v>0</v>
      </c>
      <c r="L329" s="275"/>
      <c r="M329" s="274">
        <v>0</v>
      </c>
      <c r="N329" s="275"/>
      <c r="O329" s="274">
        <v>0</v>
      </c>
      <c r="P329" s="275"/>
      <c r="Q329" s="274">
        <v>0</v>
      </c>
      <c r="R329" s="275"/>
      <c r="S329" s="274">
        <v>0</v>
      </c>
      <c r="T329" s="275"/>
      <c r="U329" s="274">
        <v>0</v>
      </c>
      <c r="V329" s="167"/>
      <c r="W329" s="385">
        <f>SUM(C329:V329)</f>
        <v>0</v>
      </c>
    </row>
    <row r="330" spans="1:31" s="93" customFormat="1">
      <c r="B330" s="166" t="s">
        <v>229</v>
      </c>
      <c r="C330" s="274">
        <v>0</v>
      </c>
      <c r="D330" s="275"/>
      <c r="E330" s="274">
        <v>0</v>
      </c>
      <c r="F330" s="275"/>
      <c r="G330" s="274">
        <v>125237</v>
      </c>
      <c r="H330" s="275"/>
      <c r="I330" s="274">
        <v>0</v>
      </c>
      <c r="J330" s="275"/>
      <c r="K330" s="274">
        <v>349796</v>
      </c>
      <c r="L330" s="275"/>
      <c r="M330" s="274">
        <v>349796</v>
      </c>
      <c r="N330" s="275"/>
      <c r="O330" s="274">
        <v>349796</v>
      </c>
      <c r="P330" s="275"/>
      <c r="Q330" s="274">
        <v>349796</v>
      </c>
      <c r="R330" s="275"/>
      <c r="S330" s="274">
        <v>349796</v>
      </c>
      <c r="T330" s="275"/>
      <c r="U330" s="274">
        <v>349796</v>
      </c>
      <c r="V330" s="167"/>
      <c r="W330" s="385">
        <f>SUM(C330:V330)</f>
        <v>2224013</v>
      </c>
    </row>
    <row r="331" spans="1:31" s="93" customFormat="1">
      <c r="B331" s="166" t="s">
        <v>262</v>
      </c>
      <c r="C331" s="274">
        <v>0</v>
      </c>
      <c r="D331" s="275"/>
      <c r="E331" s="274">
        <v>0</v>
      </c>
      <c r="F331" s="275"/>
      <c r="G331" s="274">
        <v>0</v>
      </c>
      <c r="H331" s="275"/>
      <c r="I331" s="274">
        <v>0</v>
      </c>
      <c r="J331" s="275"/>
      <c r="K331" s="274">
        <v>0</v>
      </c>
      <c r="L331" s="275"/>
      <c r="M331" s="274">
        <v>0</v>
      </c>
      <c r="N331" s="275"/>
      <c r="O331" s="274">
        <v>0</v>
      </c>
      <c r="P331" s="275"/>
      <c r="Q331" s="274">
        <v>0</v>
      </c>
      <c r="R331" s="275"/>
      <c r="S331" s="274">
        <v>0</v>
      </c>
      <c r="T331" s="275"/>
      <c r="U331" s="274">
        <v>0</v>
      </c>
      <c r="V331" s="167"/>
      <c r="W331" s="385">
        <f>SUM(C331:V331)</f>
        <v>0</v>
      </c>
    </row>
    <row r="332" spans="1:31" s="258" customFormat="1" hidden="1">
      <c r="B332" s="350"/>
      <c r="C332" s="351"/>
      <c r="D332" s="351"/>
      <c r="E332" s="351"/>
      <c r="F332" s="351"/>
      <c r="G332" s="351"/>
      <c r="H332" s="351"/>
      <c r="I332" s="351"/>
      <c r="J332" s="351"/>
      <c r="K332" s="351"/>
      <c r="L332" s="351"/>
      <c r="M332" s="351"/>
      <c r="N332" s="351"/>
      <c r="O332" s="351"/>
      <c r="P332" s="351"/>
      <c r="Q332" s="351"/>
      <c r="R332" s="351"/>
      <c r="S332" s="351"/>
      <c r="T332" s="351"/>
      <c r="U332" s="351"/>
      <c r="V332" s="351"/>
      <c r="W332" s="351"/>
    </row>
    <row r="333" spans="1:31" s="93" customFormat="1">
      <c r="B333" s="166" t="s">
        <v>372</v>
      </c>
      <c r="C333" s="384">
        <f>SUM(C329:C331)</f>
        <v>0</v>
      </c>
      <c r="D333" s="167"/>
      <c r="E333" s="384">
        <f>SUM(E329:E331)</f>
        <v>0</v>
      </c>
      <c r="F333" s="167"/>
      <c r="G333" s="384">
        <f>SUM(G329:G331)</f>
        <v>125237</v>
      </c>
      <c r="H333" s="167"/>
      <c r="I333" s="384">
        <f>SUM(I329:I331)</f>
        <v>0</v>
      </c>
      <c r="J333" s="167"/>
      <c r="K333" s="384">
        <f>SUM(K329:K331)</f>
        <v>349796</v>
      </c>
      <c r="L333" s="167"/>
      <c r="M333" s="384">
        <f>SUM(M329:M331)</f>
        <v>349796</v>
      </c>
      <c r="N333" s="167"/>
      <c r="O333" s="384">
        <f>SUM(O329:O331)</f>
        <v>349796</v>
      </c>
      <c r="P333" s="167"/>
      <c r="Q333" s="384">
        <f>SUM(Q329:Q331)</f>
        <v>349796</v>
      </c>
      <c r="R333" s="167"/>
      <c r="S333" s="384">
        <f>SUM(S329:S331)</f>
        <v>349796</v>
      </c>
      <c r="T333" s="167"/>
      <c r="U333" s="384">
        <f>SUM(U329:U331)</f>
        <v>349796</v>
      </c>
      <c r="V333" s="167"/>
      <c r="W333" s="384">
        <f>SUM(W329:W331)</f>
        <v>2224013</v>
      </c>
    </row>
    <row r="334" spans="1:31" s="93" customFormat="1" ht="15.75">
      <c r="B334" s="168"/>
      <c r="C334" s="167"/>
      <c r="D334" s="167"/>
      <c r="E334" s="167"/>
      <c r="F334" s="167"/>
      <c r="G334" s="167"/>
      <c r="H334" s="167"/>
      <c r="I334" s="167"/>
      <c r="J334" s="167"/>
      <c r="K334" s="167"/>
      <c r="L334" s="167"/>
      <c r="M334" s="167"/>
      <c r="N334" s="167"/>
      <c r="O334" s="167"/>
      <c r="P334" s="167"/>
      <c r="Q334" s="167"/>
      <c r="R334" s="167"/>
      <c r="S334" s="167"/>
      <c r="T334" s="167"/>
      <c r="U334" s="167"/>
      <c r="V334" s="167"/>
      <c r="W334" s="167"/>
    </row>
    <row r="335" spans="1:31" s="93" customFormat="1" ht="15.75">
      <c r="B335" s="169" t="s">
        <v>230</v>
      </c>
      <c r="C335" s="167"/>
      <c r="D335" s="167"/>
      <c r="E335" s="167"/>
      <c r="F335" s="167"/>
      <c r="G335" s="167"/>
      <c r="H335" s="167"/>
      <c r="I335" s="167"/>
      <c r="J335" s="167"/>
      <c r="K335" s="167"/>
      <c r="L335" s="167"/>
      <c r="M335" s="167"/>
      <c r="N335" s="167"/>
      <c r="O335" s="167"/>
      <c r="P335" s="167"/>
      <c r="Q335" s="167"/>
      <c r="R335" s="167"/>
      <c r="S335" s="167"/>
      <c r="T335" s="167"/>
      <c r="U335" s="167"/>
      <c r="V335" s="167"/>
      <c r="W335" s="167"/>
    </row>
    <row r="336" spans="1:31" s="93" customFormat="1">
      <c r="B336" s="166" t="s">
        <v>371</v>
      </c>
      <c r="C336" s="274">
        <v>0</v>
      </c>
      <c r="D336" s="275"/>
      <c r="E336" s="274">
        <v>0</v>
      </c>
      <c r="F336" s="275"/>
      <c r="G336" s="274">
        <v>0</v>
      </c>
      <c r="H336" s="275"/>
      <c r="I336" s="274">
        <v>0</v>
      </c>
      <c r="J336" s="275"/>
      <c r="K336" s="274">
        <v>0</v>
      </c>
      <c r="L336" s="275"/>
      <c r="M336" s="274">
        <v>0</v>
      </c>
      <c r="N336" s="275"/>
      <c r="O336" s="274">
        <v>0</v>
      </c>
      <c r="P336" s="275"/>
      <c r="Q336" s="274">
        <v>0</v>
      </c>
      <c r="R336" s="275"/>
      <c r="S336" s="274">
        <v>0</v>
      </c>
      <c r="T336" s="275"/>
      <c r="U336" s="274">
        <v>0</v>
      </c>
      <c r="V336" s="167"/>
      <c r="W336" s="385">
        <f>SUM(C336:V336)</f>
        <v>0</v>
      </c>
    </row>
    <row r="337" spans="1:23" s="93" customFormat="1" ht="15.75">
      <c r="B337" s="165" t="s">
        <v>373</v>
      </c>
      <c r="C337" s="274">
        <v>0</v>
      </c>
      <c r="D337" s="275"/>
      <c r="E337" s="274">
        <v>0</v>
      </c>
      <c r="F337" s="275"/>
      <c r="G337" s="274">
        <v>40748</v>
      </c>
      <c r="H337" s="275"/>
      <c r="I337" s="274">
        <v>0</v>
      </c>
      <c r="J337" s="275"/>
      <c r="K337" s="274">
        <v>107078</v>
      </c>
      <c r="L337" s="275"/>
      <c r="M337" s="274">
        <v>107078</v>
      </c>
      <c r="N337" s="275"/>
      <c r="O337" s="274">
        <v>107078</v>
      </c>
      <c r="P337" s="275"/>
      <c r="Q337" s="274">
        <v>107078</v>
      </c>
      <c r="R337" s="275"/>
      <c r="S337" s="274">
        <v>107078</v>
      </c>
      <c r="T337" s="275"/>
      <c r="U337" s="274">
        <v>107078</v>
      </c>
      <c r="V337" s="167"/>
      <c r="W337" s="385">
        <f>SUM(C337:V337)</f>
        <v>683216</v>
      </c>
    </row>
    <row r="338" spans="1:23" s="93" customFormat="1">
      <c r="B338" s="166" t="s">
        <v>262</v>
      </c>
      <c r="C338" s="274">
        <v>0</v>
      </c>
      <c r="D338" s="275"/>
      <c r="E338" s="274">
        <v>0</v>
      </c>
      <c r="F338" s="275"/>
      <c r="G338" s="274">
        <v>0</v>
      </c>
      <c r="H338" s="275"/>
      <c r="I338" s="274">
        <v>0</v>
      </c>
      <c r="J338" s="275"/>
      <c r="K338" s="274">
        <v>0</v>
      </c>
      <c r="L338" s="275"/>
      <c r="M338" s="274">
        <v>0</v>
      </c>
      <c r="N338" s="275"/>
      <c r="O338" s="274">
        <v>0</v>
      </c>
      <c r="P338" s="275"/>
      <c r="Q338" s="274">
        <v>0</v>
      </c>
      <c r="R338" s="275"/>
      <c r="S338" s="274">
        <v>0</v>
      </c>
      <c r="T338" s="275"/>
      <c r="U338" s="274">
        <v>0</v>
      </c>
      <c r="V338" s="167"/>
      <c r="W338" s="385">
        <f>SUM(C338:V338)</f>
        <v>0</v>
      </c>
    </row>
    <row r="339" spans="1:23" s="258" customFormat="1" hidden="1">
      <c r="B339" s="350"/>
      <c r="C339" s="351"/>
      <c r="D339" s="351"/>
      <c r="E339" s="351"/>
      <c r="F339" s="351"/>
      <c r="G339" s="351"/>
      <c r="H339" s="351"/>
      <c r="I339" s="351"/>
      <c r="J339" s="351"/>
      <c r="K339" s="351"/>
      <c r="L339" s="351"/>
      <c r="M339" s="351"/>
      <c r="N339" s="351"/>
      <c r="O339" s="351"/>
      <c r="P339" s="351"/>
      <c r="Q339" s="351"/>
      <c r="R339" s="351"/>
      <c r="S339" s="351"/>
      <c r="T339" s="351"/>
      <c r="U339" s="351"/>
      <c r="V339" s="351"/>
      <c r="W339" s="351"/>
    </row>
    <row r="340" spans="1:23" s="93" customFormat="1">
      <c r="B340" s="166" t="s">
        <v>372</v>
      </c>
      <c r="C340" s="384">
        <f>SUM(C336:C338)</f>
        <v>0</v>
      </c>
      <c r="D340" s="167"/>
      <c r="E340" s="384">
        <f>SUM(E336:E338)</f>
        <v>0</v>
      </c>
      <c r="F340" s="167"/>
      <c r="G340" s="384">
        <f>SUM(G336:G338)</f>
        <v>40748</v>
      </c>
      <c r="H340" s="167"/>
      <c r="I340" s="384">
        <f>SUM(I336:I338)</f>
        <v>0</v>
      </c>
      <c r="J340" s="167"/>
      <c r="K340" s="384">
        <f>SUM(K336:K338)</f>
        <v>107078</v>
      </c>
      <c r="L340" s="167"/>
      <c r="M340" s="384">
        <f>SUM(M336:M338)</f>
        <v>107078</v>
      </c>
      <c r="N340" s="167"/>
      <c r="O340" s="384">
        <f>SUM(O336:O338)</f>
        <v>107078</v>
      </c>
      <c r="P340" s="167"/>
      <c r="Q340" s="384">
        <f>SUM(Q336:Q338)</f>
        <v>107078</v>
      </c>
      <c r="R340" s="167"/>
      <c r="S340" s="384">
        <f>SUM(S336:S338)</f>
        <v>107078</v>
      </c>
      <c r="T340" s="167"/>
      <c r="U340" s="384">
        <f>SUM(U336:U338)</f>
        <v>107078</v>
      </c>
      <c r="V340" s="167"/>
      <c r="W340" s="384">
        <f>SUM(W336:W338)</f>
        <v>683216</v>
      </c>
    </row>
    <row r="341" spans="1:23" s="93" customFormat="1" ht="15.75">
      <c r="B341" s="165"/>
      <c r="C341" s="167"/>
      <c r="D341" s="167"/>
      <c r="E341" s="167"/>
      <c r="F341" s="167"/>
      <c r="G341" s="167"/>
      <c r="H341" s="167"/>
      <c r="I341" s="167"/>
      <c r="J341" s="167"/>
      <c r="K341" s="167"/>
      <c r="L341" s="167"/>
      <c r="M341" s="167"/>
      <c r="N341" s="167"/>
      <c r="O341" s="167"/>
      <c r="P341" s="167"/>
      <c r="Q341" s="167"/>
      <c r="R341" s="167"/>
      <c r="S341" s="167"/>
      <c r="T341" s="167"/>
      <c r="U341" s="167"/>
      <c r="V341" s="167"/>
      <c r="W341" s="167"/>
    </row>
    <row r="342" spans="1:23" s="93" customFormat="1" ht="15.75">
      <c r="B342" s="169" t="s">
        <v>231</v>
      </c>
      <c r="C342" s="167"/>
      <c r="D342" s="167"/>
      <c r="E342" s="167"/>
      <c r="F342" s="167"/>
      <c r="G342" s="167"/>
      <c r="H342" s="167"/>
      <c r="I342" s="167"/>
      <c r="J342" s="167"/>
      <c r="K342" s="167"/>
      <c r="L342" s="167"/>
      <c r="M342" s="167"/>
      <c r="N342" s="167"/>
      <c r="O342" s="167"/>
      <c r="P342" s="167"/>
      <c r="Q342" s="167"/>
      <c r="R342" s="167"/>
      <c r="S342" s="167"/>
      <c r="T342" s="167"/>
      <c r="U342" s="167"/>
      <c r="V342" s="167"/>
      <c r="W342" s="167"/>
    </row>
    <row r="343" spans="1:23" s="93" customFormat="1" ht="15.75" thickBot="1">
      <c r="B343" s="166" t="s">
        <v>372</v>
      </c>
      <c r="C343" s="386">
        <f>+C333-C340</f>
        <v>0</v>
      </c>
      <c r="D343" s="167"/>
      <c r="E343" s="386">
        <f>+E333-E340</f>
        <v>0</v>
      </c>
      <c r="F343" s="167"/>
      <c r="G343" s="386">
        <f>+G333-G340</f>
        <v>84489</v>
      </c>
      <c r="H343" s="167"/>
      <c r="I343" s="386">
        <f>+I333-I340</f>
        <v>0</v>
      </c>
      <c r="J343" s="167"/>
      <c r="K343" s="386">
        <f>+K333-K340</f>
        <v>242718</v>
      </c>
      <c r="L343" s="167"/>
      <c r="M343" s="386">
        <f>+M333-M340</f>
        <v>242718</v>
      </c>
      <c r="N343" s="167"/>
      <c r="O343" s="386">
        <f>+O333-O340</f>
        <v>242718</v>
      </c>
      <c r="P343" s="167"/>
      <c r="Q343" s="386">
        <f>+Q333-Q340</f>
        <v>242718</v>
      </c>
      <c r="R343" s="167"/>
      <c r="S343" s="386">
        <f>+S333-S340</f>
        <v>242718</v>
      </c>
      <c r="T343" s="167"/>
      <c r="U343" s="386">
        <f>+U333-U340</f>
        <v>242718</v>
      </c>
      <c r="V343" s="167"/>
      <c r="W343" s="386">
        <f>+W333-W340</f>
        <v>1540797</v>
      </c>
    </row>
    <row r="344" spans="1:23" s="93" customFormat="1" ht="16.5" thickTop="1">
      <c r="B344" s="165"/>
      <c r="C344" s="167"/>
      <c r="D344" s="167"/>
      <c r="E344" s="167"/>
      <c r="F344" s="167"/>
      <c r="G344" s="167"/>
      <c r="H344" s="167"/>
      <c r="I344" s="167"/>
      <c r="J344" s="167"/>
      <c r="K344" s="167"/>
      <c r="L344" s="167"/>
      <c r="M344" s="167"/>
      <c r="N344" s="167"/>
      <c r="O344" s="167"/>
      <c r="P344" s="167"/>
      <c r="Q344" s="167"/>
      <c r="R344" s="167"/>
      <c r="S344" s="167"/>
      <c r="T344" s="167"/>
      <c r="U344" s="167"/>
      <c r="V344" s="167"/>
      <c r="W344" s="167"/>
    </row>
    <row r="345" spans="1:23" s="93" customFormat="1" ht="15.75" thickBot="1">
      <c r="B345" s="166" t="s">
        <v>378</v>
      </c>
      <c r="C345" s="386">
        <f>+C329-C336</f>
        <v>0</v>
      </c>
      <c r="D345" s="167"/>
      <c r="E345" s="386">
        <f>+E329-E336</f>
        <v>0</v>
      </c>
      <c r="F345" s="167"/>
      <c r="G345" s="386">
        <f>+G329-G336</f>
        <v>0</v>
      </c>
      <c r="H345" s="167"/>
      <c r="I345" s="386">
        <f>+I329-I336</f>
        <v>0</v>
      </c>
      <c r="J345" s="167"/>
      <c r="K345" s="386">
        <f>+K329-K336</f>
        <v>0</v>
      </c>
      <c r="L345" s="167"/>
      <c r="M345" s="386">
        <f>+M329-M336</f>
        <v>0</v>
      </c>
      <c r="N345" s="167"/>
      <c r="O345" s="386">
        <f>+O329-O336</f>
        <v>0</v>
      </c>
      <c r="P345" s="167"/>
      <c r="Q345" s="386">
        <f>+Q329-Q336</f>
        <v>0</v>
      </c>
      <c r="R345" s="167"/>
      <c r="S345" s="386">
        <f>+S329-S336</f>
        <v>0</v>
      </c>
      <c r="T345" s="167"/>
      <c r="U345" s="386">
        <f>+U329-U336</f>
        <v>0</v>
      </c>
      <c r="V345" s="167"/>
      <c r="W345" s="386">
        <f>SUM(C345:V345)</f>
        <v>0</v>
      </c>
    </row>
    <row r="346" spans="1:23" s="258" customFormat="1" ht="15.75" thickTop="1">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row>
    <row r="347" spans="1:23" s="258" customFormat="1" hidden="1">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row>
    <row r="348" spans="1:23" s="258" customFormat="1" hidden="1">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row>
    <row r="349" spans="1:23" s="258" customFormat="1" hidden="1">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row>
    <row r="350" spans="1:23" s="258" customFormat="1" hidden="1">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row>
    <row r="351" spans="1:23" s="258" customFormat="1" hidden="1">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row>
    <row r="352" spans="1:23">
      <c r="A352" s="196" t="str">
        <f>+UPPER(Section4!A13)</f>
        <v>INVESTMENT IN TAXI CABS AND LICENSES</v>
      </c>
    </row>
    <row r="354" spans="1:23">
      <c r="B354" s="273"/>
      <c r="C354" s="352"/>
      <c r="D354" s="352"/>
      <c r="E354" s="273" t="s">
        <v>515</v>
      </c>
      <c r="F354" s="273"/>
      <c r="G354" s="273"/>
      <c r="H354" s="273"/>
      <c r="I354" s="273"/>
      <c r="J354" s="332"/>
      <c r="K354" s="273"/>
      <c r="L354" s="273"/>
      <c r="M354" s="273"/>
      <c r="N354" s="273"/>
      <c r="O354" s="273"/>
      <c r="P354" s="273"/>
      <c r="Q354" s="273"/>
      <c r="R354" s="273"/>
      <c r="S354" s="273"/>
      <c r="T354" s="273"/>
      <c r="U354" s="273"/>
      <c r="V354" s="273"/>
    </row>
    <row r="355" spans="1:23">
      <c r="B355" s="273"/>
      <c r="C355" s="352"/>
      <c r="D355" s="352"/>
      <c r="E355" s="282" t="s">
        <v>516</v>
      </c>
      <c r="F355" s="273"/>
      <c r="G355" s="328" t="s">
        <v>517</v>
      </c>
      <c r="H355" s="273"/>
      <c r="I355" s="328" t="s">
        <v>227</v>
      </c>
      <c r="J355" s="332"/>
      <c r="K355" s="273"/>
      <c r="L355" s="273"/>
      <c r="M355" s="273"/>
      <c r="N355" s="273"/>
      <c r="O355" s="273"/>
      <c r="P355" s="273"/>
      <c r="Q355" s="273"/>
      <c r="R355" s="273"/>
      <c r="S355" s="273"/>
      <c r="T355" s="273"/>
      <c r="U355" s="273"/>
      <c r="V355" s="273"/>
    </row>
    <row r="356" spans="1:23">
      <c r="B356" s="273" t="s">
        <v>228</v>
      </c>
      <c r="C356" s="352"/>
      <c r="D356" s="352"/>
      <c r="E356" s="273"/>
      <c r="F356" s="273"/>
      <c r="G356" s="273"/>
      <c r="H356" s="273"/>
      <c r="I356" s="273"/>
      <c r="J356" s="332"/>
      <c r="K356" s="273"/>
      <c r="L356" s="273"/>
      <c r="M356" s="273"/>
      <c r="N356" s="273"/>
      <c r="O356" s="273"/>
      <c r="P356" s="273"/>
      <c r="Q356" s="273"/>
      <c r="R356" s="273"/>
      <c r="S356" s="273"/>
      <c r="T356" s="273"/>
      <c r="U356" s="273"/>
      <c r="V356" s="273"/>
    </row>
    <row r="357" spans="1:23">
      <c r="B357" s="273" t="s">
        <v>518</v>
      </c>
      <c r="C357" s="352"/>
      <c r="D357" s="352"/>
      <c r="E357" s="329"/>
      <c r="F357" s="329"/>
      <c r="G357" s="329"/>
      <c r="H357" s="329"/>
      <c r="I357" s="329"/>
      <c r="J357" s="332"/>
      <c r="K357" s="273"/>
      <c r="L357" s="273"/>
      <c r="M357" s="273"/>
      <c r="N357" s="273"/>
      <c r="O357" s="273"/>
      <c r="P357" s="273"/>
      <c r="Q357" s="273"/>
      <c r="R357" s="273"/>
      <c r="S357" s="273"/>
      <c r="T357" s="273"/>
      <c r="U357" s="273"/>
      <c r="V357" s="273"/>
    </row>
    <row r="358" spans="1:23">
      <c r="B358" s="273" t="s">
        <v>519</v>
      </c>
      <c r="C358" s="352"/>
      <c r="D358" s="352"/>
      <c r="E358" s="329">
        <v>9117000</v>
      </c>
      <c r="F358" s="329"/>
      <c r="G358" s="329">
        <v>265000</v>
      </c>
      <c r="H358" s="329"/>
      <c r="I358" s="329">
        <f>+E358+G358</f>
        <v>9382000</v>
      </c>
      <c r="J358" s="332"/>
      <c r="K358" s="273"/>
      <c r="L358" s="273"/>
      <c r="M358" s="273"/>
      <c r="N358" s="273"/>
      <c r="O358" s="273"/>
      <c r="P358" s="273"/>
      <c r="Q358" s="273"/>
      <c r="R358" s="273"/>
      <c r="S358" s="273"/>
      <c r="T358" s="273"/>
      <c r="U358" s="273"/>
      <c r="V358" s="273"/>
    </row>
    <row r="359" spans="1:23">
      <c r="B359" s="273"/>
      <c r="C359" s="352"/>
      <c r="D359" s="352"/>
      <c r="E359" s="329"/>
      <c r="F359" s="329"/>
      <c r="G359" s="329"/>
      <c r="H359" s="329"/>
      <c r="I359" s="329"/>
      <c r="J359" s="332"/>
      <c r="K359" s="273"/>
      <c r="L359" s="273"/>
      <c r="M359" s="273"/>
      <c r="N359" s="273"/>
      <c r="O359" s="273"/>
      <c r="P359" s="273"/>
      <c r="Q359" s="273"/>
      <c r="R359" s="273"/>
      <c r="S359" s="273"/>
      <c r="T359" s="273"/>
      <c r="U359" s="273"/>
      <c r="V359" s="273"/>
    </row>
    <row r="360" spans="1:23">
      <c r="B360" s="273" t="s">
        <v>230</v>
      </c>
      <c r="C360" s="352"/>
      <c r="D360" s="352"/>
      <c r="E360" s="329"/>
      <c r="F360" s="329"/>
      <c r="G360" s="329"/>
      <c r="H360" s="329"/>
      <c r="I360" s="329"/>
      <c r="J360" s="332"/>
      <c r="K360" s="273"/>
      <c r="L360" s="273"/>
      <c r="M360" s="273"/>
      <c r="N360" s="273"/>
      <c r="O360" s="273"/>
      <c r="P360" s="273"/>
      <c r="Q360" s="273"/>
      <c r="R360" s="273"/>
      <c r="S360" s="273"/>
      <c r="T360" s="273"/>
      <c r="U360" s="273"/>
      <c r="V360" s="273"/>
    </row>
    <row r="361" spans="1:23">
      <c r="B361" s="273" t="s">
        <v>520</v>
      </c>
      <c r="C361" s="352"/>
      <c r="D361" s="352"/>
      <c r="E361" s="329"/>
      <c r="F361" s="329"/>
      <c r="G361" s="329"/>
      <c r="H361" s="329"/>
      <c r="I361" s="329"/>
      <c r="J361" s="332"/>
      <c r="K361" s="273"/>
      <c r="L361" s="273"/>
      <c r="M361" s="273"/>
      <c r="N361" s="273"/>
      <c r="O361" s="273"/>
      <c r="P361" s="273"/>
      <c r="Q361" s="273"/>
      <c r="R361" s="273"/>
      <c r="S361" s="273"/>
      <c r="T361" s="273"/>
      <c r="U361" s="273"/>
      <c r="V361" s="273"/>
    </row>
    <row r="362" spans="1:23">
      <c r="B362" s="273" t="s">
        <v>519</v>
      </c>
      <c r="C362" s="352"/>
      <c r="D362" s="352"/>
      <c r="E362" s="330">
        <v>0</v>
      </c>
      <c r="F362" s="329"/>
      <c r="G362" s="330">
        <v>79500</v>
      </c>
      <c r="H362" s="329"/>
      <c r="I362" s="330">
        <f>+E362+G362</f>
        <v>79500</v>
      </c>
      <c r="J362" s="332"/>
      <c r="K362" s="273"/>
      <c r="L362" s="273"/>
      <c r="M362" s="273"/>
      <c r="N362" s="273"/>
      <c r="O362" s="273"/>
      <c r="P362" s="273"/>
      <c r="Q362" s="273"/>
      <c r="R362" s="273"/>
      <c r="S362" s="273"/>
      <c r="T362" s="273"/>
      <c r="U362" s="273"/>
      <c r="V362" s="273"/>
    </row>
    <row r="363" spans="1:23">
      <c r="B363" s="273"/>
      <c r="C363" s="352"/>
      <c r="D363" s="352"/>
      <c r="E363" s="329"/>
      <c r="F363" s="329"/>
      <c r="G363" s="329"/>
      <c r="H363" s="329"/>
      <c r="I363" s="329"/>
      <c r="J363" s="332"/>
      <c r="K363" s="273"/>
      <c r="L363" s="273"/>
      <c r="M363" s="273"/>
      <c r="N363" s="273"/>
      <c r="O363" s="273"/>
      <c r="P363" s="273"/>
      <c r="Q363" s="273"/>
      <c r="R363" s="273"/>
      <c r="S363" s="273"/>
      <c r="T363" s="273"/>
      <c r="U363" s="273"/>
      <c r="V363" s="273"/>
    </row>
    <row r="364" spans="1:23">
      <c r="B364" s="273" t="s">
        <v>521</v>
      </c>
      <c r="C364" s="352"/>
      <c r="D364" s="352"/>
      <c r="E364" s="329"/>
      <c r="F364" s="329"/>
      <c r="G364" s="329"/>
      <c r="H364" s="329"/>
      <c r="I364" s="329"/>
      <c r="J364" s="332"/>
      <c r="K364" s="273"/>
      <c r="L364" s="273"/>
      <c r="M364" s="273"/>
      <c r="N364" s="273"/>
      <c r="O364" s="273"/>
      <c r="P364" s="273"/>
      <c r="Q364" s="273"/>
      <c r="R364" s="273"/>
      <c r="S364" s="273"/>
      <c r="T364" s="273"/>
      <c r="U364" s="273"/>
      <c r="V364" s="273"/>
    </row>
    <row r="365" spans="1:23" ht="15.75" thickBot="1">
      <c r="B365" s="273" t="s">
        <v>522</v>
      </c>
      <c r="C365" s="352"/>
      <c r="D365" s="352"/>
      <c r="E365" s="331">
        <f>+E358-E362</f>
        <v>9117000</v>
      </c>
      <c r="F365" s="329"/>
      <c r="G365" s="331">
        <f>+G358-G362</f>
        <v>185500</v>
      </c>
      <c r="H365" s="329"/>
      <c r="I365" s="331">
        <f>+I358-I362</f>
        <v>9302500</v>
      </c>
      <c r="J365" s="332"/>
      <c r="K365" s="273"/>
      <c r="L365" s="273"/>
      <c r="M365" s="273"/>
      <c r="N365" s="273"/>
      <c r="O365" s="273"/>
      <c r="P365" s="273"/>
      <c r="Q365" s="273"/>
      <c r="R365" s="273"/>
      <c r="S365" s="273"/>
      <c r="T365" s="273"/>
      <c r="U365" s="273"/>
      <c r="V365" s="273"/>
    </row>
    <row r="366" spans="1:23" ht="15.75" thickTop="1">
      <c r="C366" s="89"/>
      <c r="D366" s="89"/>
      <c r="J366" s="89"/>
    </row>
    <row r="367" spans="1:23">
      <c r="B367" s="273" t="s">
        <v>523</v>
      </c>
      <c r="C367" s="273"/>
      <c r="D367" s="273"/>
      <c r="E367" s="273"/>
      <c r="F367" s="273"/>
      <c r="G367" s="273"/>
      <c r="H367" s="273"/>
      <c r="I367" s="273"/>
      <c r="J367" s="273"/>
      <c r="K367" s="273"/>
      <c r="L367" s="273"/>
      <c r="M367" s="273"/>
      <c r="N367" s="273"/>
      <c r="O367" s="273"/>
      <c r="P367" s="273"/>
      <c r="Q367" s="273"/>
      <c r="R367" s="273"/>
      <c r="S367" s="273"/>
      <c r="T367" s="273"/>
      <c r="U367" s="273"/>
      <c r="V367" s="273"/>
    </row>
    <row r="368" spans="1:23" s="262" customFormat="1">
      <c r="A368" s="236"/>
      <c r="B368" s="236"/>
      <c r="C368" s="236"/>
      <c r="D368" s="236"/>
      <c r="E368" s="236"/>
      <c r="F368" s="236"/>
      <c r="G368" s="236"/>
      <c r="H368" s="236"/>
      <c r="I368" s="236"/>
      <c r="J368" s="236"/>
      <c r="K368" s="236"/>
      <c r="L368" s="236"/>
      <c r="M368" s="236"/>
      <c r="N368" s="236"/>
      <c r="O368" s="236"/>
      <c r="P368" s="236"/>
      <c r="Q368" s="236"/>
      <c r="R368" s="236"/>
      <c r="S368" s="236"/>
      <c r="T368" s="236"/>
      <c r="U368" s="236"/>
      <c r="V368" s="236"/>
      <c r="W368" s="236"/>
    </row>
    <row r="369" spans="1:23" s="262" customFormat="1" hidden="1">
      <c r="A369" s="236"/>
      <c r="B369" s="236"/>
      <c r="C369" s="236"/>
      <c r="D369" s="236"/>
      <c r="E369" s="236"/>
      <c r="F369" s="236"/>
      <c r="G369" s="236"/>
      <c r="H369" s="236"/>
      <c r="I369" s="236"/>
      <c r="J369" s="236"/>
      <c r="K369" s="236"/>
      <c r="L369" s="236"/>
      <c r="M369" s="236"/>
      <c r="N369" s="236"/>
      <c r="O369" s="236"/>
      <c r="P369" s="236"/>
      <c r="Q369" s="236"/>
      <c r="R369" s="236"/>
      <c r="S369" s="236"/>
      <c r="T369" s="236"/>
      <c r="U369" s="236"/>
      <c r="V369" s="236"/>
      <c r="W369" s="236"/>
    </row>
    <row r="370" spans="1:23" s="262" customFormat="1" hidden="1">
      <c r="A370" s="236"/>
      <c r="B370" s="236"/>
      <c r="C370" s="236"/>
      <c r="D370" s="236"/>
      <c r="E370" s="236"/>
      <c r="F370" s="236"/>
      <c r="G370" s="236"/>
      <c r="H370" s="236"/>
      <c r="I370" s="236"/>
      <c r="J370" s="236"/>
      <c r="K370" s="236"/>
      <c r="L370" s="236"/>
      <c r="M370" s="236"/>
      <c r="N370" s="236"/>
      <c r="O370" s="236"/>
      <c r="P370" s="236"/>
      <c r="Q370" s="236"/>
      <c r="R370" s="236"/>
      <c r="S370" s="236"/>
      <c r="T370" s="236"/>
      <c r="U370" s="236"/>
      <c r="V370" s="236"/>
      <c r="W370" s="236"/>
    </row>
    <row r="371" spans="1:23" s="262" customFormat="1" hidden="1">
      <c r="A371" s="236"/>
      <c r="B371" s="236"/>
      <c r="C371" s="236"/>
      <c r="D371" s="236"/>
      <c r="E371" s="236"/>
      <c r="F371" s="236"/>
      <c r="G371" s="236"/>
      <c r="H371" s="236"/>
      <c r="I371" s="236"/>
      <c r="J371" s="236"/>
      <c r="K371" s="236"/>
      <c r="L371" s="236"/>
      <c r="M371" s="236"/>
      <c r="N371" s="236"/>
      <c r="O371" s="236"/>
      <c r="P371" s="236"/>
      <c r="Q371" s="236"/>
      <c r="R371" s="236"/>
      <c r="S371" s="236"/>
      <c r="T371" s="236"/>
      <c r="U371" s="236"/>
      <c r="V371" s="236"/>
      <c r="W371" s="236"/>
    </row>
    <row r="372" spans="1:23" s="262" customFormat="1" hidden="1">
      <c r="A372" s="236"/>
      <c r="B372" s="236"/>
      <c r="C372" s="236"/>
      <c r="D372" s="236"/>
      <c r="E372" s="236"/>
      <c r="F372" s="236"/>
      <c r="G372" s="236"/>
      <c r="H372" s="236"/>
      <c r="I372" s="236"/>
      <c r="J372" s="236"/>
      <c r="K372" s="236"/>
      <c r="L372" s="236"/>
      <c r="M372" s="236"/>
      <c r="N372" s="236"/>
      <c r="O372" s="236"/>
      <c r="P372" s="236"/>
      <c r="Q372" s="236"/>
      <c r="R372" s="236"/>
      <c r="S372" s="236"/>
      <c r="T372" s="236"/>
      <c r="U372" s="236"/>
      <c r="V372" s="236"/>
      <c r="W372" s="236"/>
    </row>
    <row r="373" spans="1:23" s="262" customFormat="1">
      <c r="A373" s="353" t="s">
        <v>537</v>
      </c>
      <c r="B373" s="236"/>
      <c r="C373" s="236"/>
      <c r="D373" s="236"/>
      <c r="E373" s="236"/>
      <c r="F373" s="236"/>
      <c r="G373" s="236"/>
      <c r="H373" s="236"/>
      <c r="I373" s="236"/>
      <c r="J373" s="236"/>
      <c r="K373" s="236"/>
      <c r="L373" s="236"/>
      <c r="M373" s="236"/>
      <c r="N373" s="236"/>
      <c r="O373" s="236"/>
      <c r="P373" s="236"/>
      <c r="Q373" s="236"/>
      <c r="R373" s="236"/>
      <c r="S373" s="236"/>
      <c r="T373" s="236"/>
      <c r="U373" s="236"/>
      <c r="V373" s="236"/>
      <c r="W373" s="236"/>
    </row>
    <row r="375" spans="1:23">
      <c r="A375" s="89"/>
      <c r="B375" s="156" t="s">
        <v>411</v>
      </c>
      <c r="C375" s="156"/>
      <c r="D375" s="156"/>
      <c r="E375" s="276">
        <v>0</v>
      </c>
      <c r="F375" s="276"/>
      <c r="G375" s="276">
        <v>0</v>
      </c>
    </row>
    <row r="376" spans="1:23">
      <c r="A376" s="89"/>
      <c r="B376" s="156" t="s">
        <v>412</v>
      </c>
      <c r="C376" s="156"/>
      <c r="D376" s="156"/>
      <c r="E376" s="276">
        <v>0</v>
      </c>
      <c r="F376" s="276"/>
      <c r="G376" s="276">
        <v>0</v>
      </c>
    </row>
    <row r="377" spans="1:23">
      <c r="A377" s="89"/>
      <c r="B377" s="341" t="s">
        <v>538</v>
      </c>
      <c r="C377" s="156"/>
      <c r="D377" s="156"/>
      <c r="E377" s="277">
        <v>0</v>
      </c>
      <c r="F377" s="276"/>
      <c r="G377" s="277">
        <v>0</v>
      </c>
    </row>
    <row r="378" spans="1:23" ht="15.75" thickBot="1">
      <c r="A378" s="89"/>
      <c r="B378" s="156"/>
      <c r="C378" s="156"/>
      <c r="D378" s="156"/>
      <c r="E378" s="198">
        <f>SUM(E375:E377)</f>
        <v>0</v>
      </c>
      <c r="F378" s="197"/>
      <c r="G378" s="198">
        <f>SUM(G375:G377)</f>
        <v>0</v>
      </c>
    </row>
    <row r="379" spans="1:23" ht="15.75" thickTop="1">
      <c r="A379" s="89"/>
      <c r="B379" s="156"/>
      <c r="C379" s="156"/>
      <c r="D379" s="156"/>
      <c r="E379" s="156"/>
      <c r="F379" s="156"/>
      <c r="G379" s="156"/>
    </row>
    <row r="380" spans="1:23" s="262" customFormat="1">
      <c r="B380" s="266"/>
      <c r="C380" s="266"/>
      <c r="D380" s="266"/>
      <c r="E380" s="266"/>
      <c r="F380" s="266"/>
      <c r="G380" s="266"/>
      <c r="H380" s="236"/>
      <c r="I380" s="236"/>
      <c r="J380" s="236"/>
      <c r="K380" s="236"/>
      <c r="L380" s="236"/>
      <c r="M380" s="236"/>
      <c r="N380" s="236"/>
      <c r="O380" s="236"/>
      <c r="P380" s="236"/>
      <c r="Q380" s="236"/>
      <c r="R380" s="236"/>
      <c r="S380" s="236"/>
      <c r="T380" s="236"/>
      <c r="U380" s="236"/>
      <c r="V380" s="236"/>
      <c r="W380" s="236"/>
    </row>
    <row r="381" spans="1:23" s="262" customFormat="1">
      <c r="B381" s="266"/>
      <c r="C381" s="266"/>
      <c r="D381" s="266"/>
      <c r="E381" s="266"/>
      <c r="F381" s="266"/>
      <c r="G381" s="266"/>
      <c r="H381" s="236"/>
      <c r="I381" s="236"/>
      <c r="J381" s="236"/>
      <c r="K381" s="236"/>
      <c r="L381" s="236"/>
      <c r="M381" s="236"/>
      <c r="N381" s="236"/>
      <c r="O381" s="236"/>
      <c r="P381" s="236"/>
      <c r="Q381" s="236"/>
      <c r="R381" s="236"/>
      <c r="S381" s="236"/>
      <c r="T381" s="236"/>
      <c r="U381" s="236"/>
      <c r="V381" s="236"/>
      <c r="W381" s="236"/>
    </row>
    <row r="382" spans="1:23">
      <c r="A382" s="89"/>
      <c r="B382" s="156" t="s">
        <v>539</v>
      </c>
      <c r="C382" s="156"/>
      <c r="D382" s="156"/>
      <c r="E382" s="156"/>
      <c r="F382" s="156"/>
      <c r="G382" s="89"/>
      <c r="H382" s="156"/>
      <c r="I382" s="156"/>
      <c r="J382" s="156"/>
      <c r="K382" s="156"/>
    </row>
    <row r="383" spans="1:23">
      <c r="A383" s="89"/>
      <c r="B383" s="156"/>
      <c r="C383" s="156"/>
      <c r="D383" s="156"/>
      <c r="E383" s="156"/>
      <c r="F383" s="156"/>
      <c r="G383" s="156" t="s">
        <v>414</v>
      </c>
      <c r="H383" s="156"/>
      <c r="I383" s="156"/>
      <c r="J383" s="156"/>
      <c r="K383" s="156"/>
    </row>
    <row r="384" spans="1:23">
      <c r="A384" s="89"/>
      <c r="B384" s="156"/>
      <c r="C384" s="156"/>
      <c r="D384" s="156"/>
      <c r="E384" s="156"/>
      <c r="F384" s="156"/>
      <c r="G384" s="199" t="s">
        <v>415</v>
      </c>
      <c r="H384" s="156"/>
      <c r="I384" s="156"/>
      <c r="J384" s="156"/>
      <c r="K384" s="156"/>
    </row>
    <row r="385" spans="1:23">
      <c r="A385" s="89"/>
      <c r="B385" s="89"/>
      <c r="C385" s="156" t="s">
        <v>416</v>
      </c>
      <c r="D385" s="156"/>
      <c r="E385" s="156" t="s">
        <v>417</v>
      </c>
      <c r="F385" s="156"/>
      <c r="G385" s="156" t="s">
        <v>418</v>
      </c>
      <c r="H385" s="156"/>
      <c r="I385" s="156"/>
      <c r="J385" s="156"/>
      <c r="K385" s="156" t="s">
        <v>419</v>
      </c>
    </row>
    <row r="386" spans="1:23">
      <c r="A386" s="89"/>
      <c r="B386" s="200" t="s">
        <v>420</v>
      </c>
      <c r="C386" s="201" t="s">
        <v>421</v>
      </c>
      <c r="D386" s="156"/>
      <c r="E386" s="202" t="s">
        <v>422</v>
      </c>
      <c r="F386" s="156"/>
      <c r="G386" s="202" t="s">
        <v>42</v>
      </c>
      <c r="H386" s="156"/>
      <c r="I386" s="156"/>
      <c r="J386" s="156"/>
      <c r="K386" s="202" t="s">
        <v>423</v>
      </c>
    </row>
    <row r="387" spans="1:23">
      <c r="A387" s="89"/>
      <c r="B387" s="156"/>
      <c r="C387" s="156"/>
      <c r="D387" s="156"/>
      <c r="E387" s="156"/>
      <c r="F387" s="156"/>
      <c r="G387" s="156"/>
      <c r="H387" s="156"/>
      <c r="I387" s="156"/>
      <c r="J387" s="156"/>
      <c r="K387" s="156"/>
    </row>
    <row r="388" spans="1:23">
      <c r="A388" s="89"/>
      <c r="B388" s="268" t="s">
        <v>424</v>
      </c>
      <c r="C388" s="268" t="s">
        <v>425</v>
      </c>
      <c r="D388" s="156"/>
      <c r="E388" s="268" t="s">
        <v>426</v>
      </c>
      <c r="F388" s="156"/>
      <c r="G388" s="268" t="s">
        <v>427</v>
      </c>
      <c r="H388" s="156"/>
      <c r="I388" s="156"/>
      <c r="J388" s="156"/>
      <c r="K388" s="268" t="s">
        <v>428</v>
      </c>
    </row>
    <row r="389" spans="1:23" s="262" customFormat="1">
      <c r="A389" s="266"/>
      <c r="B389" s="266"/>
      <c r="C389" s="266"/>
      <c r="D389" s="266"/>
      <c r="E389" s="266"/>
      <c r="F389" s="266"/>
      <c r="G389" s="266"/>
      <c r="H389" s="266"/>
      <c r="I389" s="266"/>
      <c r="J389" s="266"/>
      <c r="K389" s="236"/>
      <c r="L389" s="236"/>
      <c r="M389" s="236"/>
      <c r="N389" s="236"/>
      <c r="O389" s="236"/>
      <c r="P389" s="236"/>
      <c r="Q389" s="236"/>
      <c r="R389" s="236"/>
      <c r="S389" s="236"/>
      <c r="T389" s="236"/>
      <c r="U389" s="236"/>
      <c r="V389" s="236"/>
      <c r="W389" s="236"/>
    </row>
    <row r="390" spans="1:23" s="262" customFormat="1" hidden="1">
      <c r="A390" s="266"/>
      <c r="B390" s="266"/>
      <c r="C390" s="266"/>
      <c r="D390" s="266"/>
      <c r="E390" s="266"/>
      <c r="F390" s="266"/>
      <c r="G390" s="266"/>
      <c r="H390" s="266"/>
      <c r="I390" s="266"/>
      <c r="J390" s="266"/>
      <c r="K390" s="236"/>
      <c r="L390" s="236"/>
      <c r="M390" s="236"/>
      <c r="N390" s="236"/>
      <c r="O390" s="236"/>
      <c r="P390" s="236"/>
      <c r="Q390" s="236"/>
      <c r="R390" s="236"/>
      <c r="S390" s="236"/>
      <c r="T390" s="236"/>
      <c r="U390" s="236"/>
      <c r="V390" s="236"/>
      <c r="W390" s="236"/>
    </row>
    <row r="391" spans="1:23" s="262" customFormat="1" hidden="1">
      <c r="A391" s="266"/>
      <c r="B391" s="266"/>
      <c r="C391" s="266"/>
      <c r="D391" s="266"/>
      <c r="E391" s="266"/>
      <c r="F391" s="266"/>
      <c r="G391" s="266"/>
      <c r="H391" s="266"/>
      <c r="I391" s="266"/>
      <c r="J391" s="266"/>
      <c r="K391" s="236"/>
      <c r="L391" s="236"/>
      <c r="M391" s="236"/>
      <c r="N391" s="236"/>
      <c r="O391" s="236"/>
      <c r="P391" s="236"/>
      <c r="Q391" s="236"/>
      <c r="R391" s="236"/>
      <c r="S391" s="236"/>
      <c r="T391" s="236"/>
      <c r="U391" s="236"/>
      <c r="V391" s="236"/>
      <c r="W391" s="236"/>
    </row>
    <row r="392" spans="1:23" s="262" customFormat="1" hidden="1">
      <c r="A392" s="266"/>
      <c r="B392" s="266"/>
      <c r="C392" s="266"/>
      <c r="D392" s="266"/>
      <c r="E392" s="266"/>
      <c r="F392" s="266"/>
      <c r="G392" s="266"/>
      <c r="H392" s="266"/>
      <c r="I392" s="266"/>
      <c r="J392" s="266"/>
      <c r="K392" s="236"/>
      <c r="L392" s="236"/>
      <c r="M392" s="236"/>
      <c r="N392" s="236"/>
      <c r="O392" s="236"/>
      <c r="P392" s="236"/>
      <c r="Q392" s="236"/>
      <c r="R392" s="236"/>
      <c r="S392" s="236"/>
      <c r="T392" s="236"/>
      <c r="U392" s="236"/>
      <c r="V392" s="236"/>
      <c r="W392" s="236"/>
    </row>
    <row r="393" spans="1:23" s="262" customFormat="1" hidden="1">
      <c r="A393" s="266"/>
      <c r="B393" s="266"/>
      <c r="C393" s="266"/>
      <c r="D393" s="266"/>
      <c r="E393" s="266"/>
      <c r="F393" s="266"/>
      <c r="G393" s="266"/>
      <c r="H393" s="266"/>
      <c r="I393" s="266"/>
      <c r="J393" s="266"/>
      <c r="K393" s="236"/>
      <c r="L393" s="236"/>
      <c r="M393" s="236"/>
      <c r="N393" s="236"/>
      <c r="O393" s="236"/>
      <c r="P393" s="236"/>
      <c r="Q393" s="236"/>
      <c r="R393" s="236"/>
      <c r="S393" s="236"/>
      <c r="T393" s="236"/>
      <c r="U393" s="236"/>
      <c r="V393" s="236"/>
      <c r="W393" s="236"/>
    </row>
    <row r="394" spans="1:23" s="262" customFormat="1" hidden="1">
      <c r="A394" s="266"/>
      <c r="B394" s="266"/>
      <c r="C394" s="266"/>
      <c r="D394" s="266"/>
      <c r="E394" s="266"/>
      <c r="F394" s="266"/>
      <c r="G394" s="266"/>
      <c r="H394" s="266"/>
      <c r="I394" s="266"/>
      <c r="J394" s="266"/>
      <c r="K394" s="236"/>
      <c r="L394" s="236"/>
      <c r="M394" s="236"/>
      <c r="N394" s="236"/>
      <c r="O394" s="236"/>
      <c r="P394" s="236"/>
      <c r="Q394" s="236"/>
      <c r="R394" s="236"/>
      <c r="S394" s="236"/>
      <c r="T394" s="236"/>
      <c r="U394" s="236"/>
      <c r="V394" s="236"/>
      <c r="W394" s="236"/>
    </row>
    <row r="395" spans="1:23" s="262" customFormat="1" hidden="1">
      <c r="A395" s="266"/>
      <c r="B395" s="266"/>
      <c r="C395" s="266"/>
      <c r="D395" s="266"/>
      <c r="E395" s="266"/>
      <c r="F395" s="266"/>
      <c r="G395" s="266"/>
      <c r="H395" s="266"/>
      <c r="I395" s="266"/>
      <c r="J395" s="266"/>
      <c r="K395" s="236"/>
      <c r="L395" s="236"/>
      <c r="M395" s="236"/>
      <c r="N395" s="236"/>
      <c r="O395" s="236"/>
      <c r="P395" s="236"/>
      <c r="Q395" s="236"/>
      <c r="R395" s="236"/>
      <c r="S395" s="236"/>
      <c r="T395" s="236"/>
      <c r="U395" s="236"/>
      <c r="V395" s="236"/>
      <c r="W395" s="236"/>
    </row>
    <row r="396" spans="1:23" s="262" customFormat="1" hidden="1">
      <c r="A396" s="266"/>
      <c r="B396" s="266"/>
      <c r="C396" s="266"/>
      <c r="D396" s="266"/>
      <c r="E396" s="266"/>
      <c r="F396" s="266"/>
      <c r="G396" s="266"/>
      <c r="H396" s="266"/>
      <c r="I396" s="266"/>
      <c r="J396" s="266"/>
      <c r="K396" s="236"/>
      <c r="L396" s="236"/>
      <c r="M396" s="236"/>
      <c r="N396" s="236"/>
      <c r="O396" s="236"/>
      <c r="P396" s="236"/>
      <c r="Q396" s="236"/>
      <c r="R396" s="236"/>
      <c r="S396" s="236"/>
      <c r="T396" s="236"/>
      <c r="U396" s="236"/>
      <c r="V396" s="236"/>
      <c r="W396" s="236"/>
    </row>
    <row r="397" spans="1:23" s="262" customFormat="1" hidden="1">
      <c r="A397" s="266"/>
      <c r="B397" s="266"/>
      <c r="C397" s="266"/>
      <c r="D397" s="266"/>
      <c r="E397" s="266"/>
      <c r="F397" s="266"/>
      <c r="G397" s="266"/>
      <c r="H397" s="266"/>
      <c r="I397" s="266"/>
      <c r="J397" s="266"/>
      <c r="K397" s="236"/>
      <c r="L397" s="236"/>
      <c r="M397" s="236"/>
      <c r="N397" s="236"/>
      <c r="O397" s="236"/>
      <c r="P397" s="236"/>
      <c r="Q397" s="236"/>
      <c r="R397" s="236"/>
      <c r="S397" s="236"/>
      <c r="T397" s="236"/>
      <c r="U397" s="236"/>
      <c r="V397" s="236"/>
      <c r="W397" s="236"/>
    </row>
    <row r="398" spans="1:23">
      <c r="A398" s="196" t="s">
        <v>410</v>
      </c>
    </row>
    <row r="400" spans="1:23">
      <c r="A400" s="89"/>
      <c r="B400" s="156" t="s">
        <v>411</v>
      </c>
      <c r="C400" s="156"/>
      <c r="D400" s="156"/>
      <c r="E400" s="276">
        <v>0</v>
      </c>
      <c r="F400" s="276"/>
      <c r="G400" s="276">
        <v>0</v>
      </c>
    </row>
    <row r="401" spans="1:23">
      <c r="A401" s="89"/>
      <c r="B401" s="156" t="s">
        <v>412</v>
      </c>
      <c r="C401" s="156"/>
      <c r="D401" s="156"/>
      <c r="E401" s="276">
        <v>0</v>
      </c>
      <c r="F401" s="276"/>
      <c r="G401" s="276">
        <v>0</v>
      </c>
    </row>
    <row r="402" spans="1:23">
      <c r="A402" s="89"/>
      <c r="B402" s="156" t="s">
        <v>413</v>
      </c>
      <c r="C402" s="156"/>
      <c r="D402" s="156"/>
      <c r="E402" s="277">
        <v>0</v>
      </c>
      <c r="F402" s="276"/>
      <c r="G402" s="277">
        <v>0</v>
      </c>
    </row>
    <row r="403" spans="1:23" ht="15.75" thickBot="1">
      <c r="A403" s="89"/>
      <c r="B403" s="156"/>
      <c r="C403" s="156"/>
      <c r="D403" s="156"/>
      <c r="E403" s="198">
        <f>SUM(E400:E402)</f>
        <v>0</v>
      </c>
      <c r="F403" s="197"/>
      <c r="G403" s="198">
        <f>SUM(G400:G402)</f>
        <v>0</v>
      </c>
    </row>
    <row r="404" spans="1:23" ht="15.75" thickTop="1">
      <c r="A404" s="89"/>
      <c r="B404" s="156"/>
      <c r="C404" s="156"/>
      <c r="D404" s="156"/>
      <c r="E404" s="156"/>
      <c r="F404" s="156"/>
      <c r="G404" s="156"/>
    </row>
    <row r="405" spans="1:23">
      <c r="A405" s="89"/>
      <c r="B405" s="156" t="s">
        <v>430</v>
      </c>
      <c r="C405" s="156"/>
      <c r="D405" s="156"/>
      <c r="E405" s="156"/>
      <c r="F405" s="156"/>
      <c r="G405" s="89"/>
      <c r="H405" s="156"/>
      <c r="I405" s="156"/>
      <c r="J405" s="156"/>
      <c r="K405" s="156"/>
    </row>
    <row r="406" spans="1:23">
      <c r="A406" s="89"/>
      <c r="B406" s="156"/>
      <c r="C406" s="156"/>
      <c r="D406" s="156"/>
      <c r="E406" s="156"/>
      <c r="F406" s="156"/>
      <c r="G406" s="89"/>
      <c r="H406" s="156"/>
      <c r="I406" s="156"/>
      <c r="J406" s="156"/>
      <c r="K406" s="156"/>
    </row>
    <row r="407" spans="1:23">
      <c r="A407" s="89"/>
      <c r="B407" s="156"/>
      <c r="C407" s="156"/>
      <c r="D407" s="156"/>
      <c r="E407" s="156"/>
      <c r="F407" s="156"/>
      <c r="G407" s="89"/>
      <c r="H407" s="156"/>
      <c r="I407" s="156"/>
      <c r="J407" s="156"/>
      <c r="K407" s="156"/>
    </row>
    <row r="408" spans="1:23">
      <c r="A408" s="89"/>
      <c r="B408" s="156"/>
      <c r="C408" s="156"/>
      <c r="D408" s="156"/>
      <c r="E408" s="156"/>
      <c r="F408" s="156"/>
      <c r="G408" s="156" t="s">
        <v>414</v>
      </c>
      <c r="H408" s="156"/>
      <c r="I408" s="156"/>
      <c r="J408" s="156"/>
      <c r="K408" s="156"/>
    </row>
    <row r="409" spans="1:23">
      <c r="A409" s="89"/>
      <c r="B409" s="156"/>
      <c r="C409" s="156"/>
      <c r="D409" s="156"/>
      <c r="E409" s="156"/>
      <c r="F409" s="156"/>
      <c r="G409" s="199" t="s">
        <v>415</v>
      </c>
      <c r="H409" s="156"/>
      <c r="I409" s="156"/>
      <c r="J409" s="156"/>
      <c r="K409" s="156"/>
    </row>
    <row r="410" spans="1:23">
      <c r="A410" s="89"/>
      <c r="B410" s="89"/>
      <c r="C410" s="156" t="s">
        <v>416</v>
      </c>
      <c r="D410" s="156"/>
      <c r="E410" s="156" t="s">
        <v>417</v>
      </c>
      <c r="F410" s="156"/>
      <c r="G410" s="156" t="s">
        <v>418</v>
      </c>
      <c r="H410" s="156"/>
      <c r="I410" s="156"/>
      <c r="J410" s="156"/>
      <c r="K410" s="156" t="s">
        <v>419</v>
      </c>
    </row>
    <row r="411" spans="1:23">
      <c r="A411" s="89"/>
      <c r="B411" s="200" t="s">
        <v>420</v>
      </c>
      <c r="C411" s="201" t="s">
        <v>421</v>
      </c>
      <c r="D411" s="156"/>
      <c r="E411" s="202" t="s">
        <v>422</v>
      </c>
      <c r="F411" s="156"/>
      <c r="G411" s="202" t="s">
        <v>429</v>
      </c>
      <c r="H411" s="156"/>
      <c r="I411" s="156"/>
      <c r="J411" s="156"/>
      <c r="K411" s="202" t="s">
        <v>423</v>
      </c>
    </row>
    <row r="412" spans="1:23">
      <c r="A412" s="89"/>
      <c r="B412" s="156"/>
      <c r="C412" s="156"/>
      <c r="D412" s="156"/>
      <c r="E412" s="156"/>
      <c r="F412" s="156"/>
      <c r="G412" s="156"/>
      <c r="H412" s="156"/>
      <c r="I412" s="156"/>
      <c r="J412" s="156"/>
      <c r="K412" s="156"/>
    </row>
    <row r="413" spans="1:23">
      <c r="A413" s="89"/>
      <c r="B413" s="268" t="s">
        <v>424</v>
      </c>
      <c r="C413" s="268" t="s">
        <v>425</v>
      </c>
      <c r="D413" s="156"/>
      <c r="E413" s="268" t="s">
        <v>426</v>
      </c>
      <c r="F413" s="156"/>
      <c r="G413" s="268" t="s">
        <v>427</v>
      </c>
      <c r="H413" s="156"/>
      <c r="I413" s="156"/>
      <c r="J413" s="156"/>
      <c r="K413" s="268" t="s">
        <v>428</v>
      </c>
    </row>
    <row r="414" spans="1:23" s="262" customFormat="1" hidden="1">
      <c r="B414" s="266"/>
      <c r="C414" s="266"/>
      <c r="D414" s="266"/>
      <c r="E414" s="266"/>
      <c r="F414" s="266"/>
      <c r="G414" s="266"/>
      <c r="H414" s="266"/>
      <c r="I414" s="266"/>
      <c r="J414" s="266"/>
      <c r="K414" s="266"/>
      <c r="L414" s="236"/>
      <c r="M414" s="236"/>
      <c r="N414" s="236"/>
      <c r="O414" s="236"/>
      <c r="P414" s="236"/>
      <c r="Q414" s="236"/>
      <c r="R414" s="236"/>
      <c r="S414" s="236"/>
      <c r="T414" s="236"/>
      <c r="U414" s="236"/>
      <c r="V414" s="236"/>
      <c r="W414" s="236"/>
    </row>
    <row r="415" spans="1:23" s="262" customFormat="1" hidden="1">
      <c r="B415" s="266"/>
      <c r="C415" s="266"/>
      <c r="D415" s="266"/>
      <c r="E415" s="266"/>
      <c r="F415" s="266"/>
      <c r="G415" s="266"/>
      <c r="H415" s="266"/>
      <c r="I415" s="266"/>
      <c r="J415" s="266"/>
      <c r="K415" s="266"/>
      <c r="L415" s="236"/>
      <c r="M415" s="236"/>
      <c r="N415" s="236"/>
      <c r="O415" s="236"/>
      <c r="P415" s="236"/>
      <c r="Q415" s="236"/>
      <c r="R415" s="236"/>
      <c r="S415" s="236"/>
      <c r="T415" s="236"/>
      <c r="U415" s="236"/>
      <c r="V415" s="236"/>
      <c r="W415" s="236"/>
    </row>
    <row r="416" spans="1:23" s="262" customFormat="1" hidden="1">
      <c r="B416" s="266"/>
      <c r="C416" s="266"/>
      <c r="D416" s="266"/>
      <c r="E416" s="266"/>
      <c r="F416" s="266"/>
      <c r="G416" s="266"/>
      <c r="H416" s="266"/>
      <c r="I416" s="266"/>
      <c r="J416" s="266"/>
      <c r="K416" s="266"/>
      <c r="L416" s="236"/>
      <c r="M416" s="236"/>
      <c r="N416" s="236"/>
      <c r="O416" s="236"/>
      <c r="P416" s="236"/>
      <c r="Q416" s="236"/>
      <c r="R416" s="236"/>
      <c r="S416" s="236"/>
      <c r="T416" s="236"/>
      <c r="U416" s="236"/>
      <c r="V416" s="236"/>
      <c r="W416" s="236"/>
    </row>
    <row r="417" spans="2:23" s="262" customFormat="1" hidden="1">
      <c r="B417" s="266"/>
      <c r="C417" s="266"/>
      <c r="D417" s="266"/>
      <c r="E417" s="266"/>
      <c r="F417" s="266"/>
      <c r="G417" s="266"/>
      <c r="H417" s="266"/>
      <c r="I417" s="266"/>
      <c r="J417" s="266"/>
      <c r="K417" s="266"/>
      <c r="L417" s="236"/>
      <c r="M417" s="236"/>
      <c r="N417" s="236"/>
      <c r="O417" s="236"/>
      <c r="P417" s="236"/>
      <c r="Q417" s="236"/>
      <c r="R417" s="236"/>
      <c r="S417" s="236"/>
      <c r="T417" s="236"/>
      <c r="U417" s="236"/>
      <c r="V417" s="236"/>
      <c r="W417" s="236"/>
    </row>
    <row r="418" spans="2:23" s="262" customFormat="1" hidden="1">
      <c r="B418" s="266"/>
      <c r="C418" s="266"/>
      <c r="D418" s="266"/>
      <c r="E418" s="266"/>
      <c r="F418" s="266"/>
      <c r="G418" s="266"/>
      <c r="H418" s="266"/>
      <c r="I418" s="266"/>
      <c r="J418" s="266"/>
      <c r="K418" s="266"/>
      <c r="L418" s="236"/>
      <c r="M418" s="236"/>
      <c r="N418" s="236"/>
      <c r="O418" s="236"/>
      <c r="P418" s="236"/>
      <c r="Q418" s="236"/>
      <c r="R418" s="236"/>
      <c r="S418" s="236"/>
      <c r="T418" s="236"/>
      <c r="U418" s="236"/>
      <c r="V418" s="236"/>
      <c r="W418" s="236"/>
    </row>
    <row r="419" spans="2:23" s="262" customFormat="1" hidden="1">
      <c r="B419" s="266"/>
      <c r="C419" s="266"/>
      <c r="D419" s="266"/>
      <c r="E419" s="266"/>
      <c r="F419" s="266"/>
      <c r="G419" s="266"/>
      <c r="H419" s="266"/>
      <c r="I419" s="266"/>
      <c r="J419" s="266"/>
      <c r="K419" s="266"/>
      <c r="L419" s="236"/>
      <c r="M419" s="236"/>
      <c r="N419" s="236"/>
      <c r="O419" s="236"/>
      <c r="P419" s="236"/>
      <c r="Q419" s="236"/>
      <c r="R419" s="236"/>
      <c r="S419" s="236"/>
      <c r="T419" s="236"/>
      <c r="U419" s="236"/>
      <c r="V419" s="236"/>
      <c r="W419" s="236"/>
    </row>
    <row r="420" spans="2:23" s="262" customFormat="1" hidden="1">
      <c r="B420" s="266"/>
      <c r="C420" s="266"/>
      <c r="D420" s="266"/>
      <c r="E420" s="266"/>
      <c r="F420" s="266"/>
      <c r="G420" s="266"/>
      <c r="H420" s="266"/>
      <c r="I420" s="266"/>
      <c r="J420" s="266"/>
      <c r="K420" s="266"/>
      <c r="L420" s="236"/>
      <c r="M420" s="236"/>
      <c r="N420" s="236"/>
      <c r="O420" s="236"/>
      <c r="P420" s="236"/>
      <c r="Q420" s="236"/>
      <c r="R420" s="236"/>
      <c r="S420" s="236"/>
      <c r="T420" s="236"/>
      <c r="U420" s="236"/>
      <c r="V420" s="236"/>
      <c r="W420" s="236"/>
    </row>
    <row r="421" spans="2:23" s="262" customFormat="1" hidden="1">
      <c r="B421" s="266"/>
      <c r="C421" s="266"/>
      <c r="D421" s="266"/>
      <c r="E421" s="266"/>
      <c r="F421" s="266"/>
      <c r="G421" s="266"/>
      <c r="H421" s="266"/>
      <c r="I421" s="266"/>
      <c r="J421" s="266"/>
      <c r="K421" s="266"/>
      <c r="L421" s="236"/>
      <c r="M421" s="236"/>
      <c r="N421" s="236"/>
      <c r="O421" s="236"/>
      <c r="P421" s="236"/>
      <c r="Q421" s="236"/>
      <c r="R421" s="236"/>
      <c r="S421" s="236"/>
      <c r="T421" s="236"/>
      <c r="U421" s="236"/>
      <c r="V421" s="236"/>
      <c r="W421" s="236"/>
    </row>
    <row r="422" spans="2:23" s="262" customFormat="1" hidden="1">
      <c r="B422" s="266"/>
      <c r="C422" s="266"/>
      <c r="D422" s="266"/>
      <c r="E422" s="266"/>
      <c r="F422" s="266"/>
      <c r="G422" s="266"/>
      <c r="H422" s="266"/>
      <c r="I422" s="266"/>
      <c r="J422" s="266"/>
      <c r="K422" s="266"/>
      <c r="L422" s="236"/>
      <c r="M422" s="236"/>
      <c r="N422" s="236"/>
      <c r="O422" s="236"/>
      <c r="P422" s="236"/>
      <c r="Q422" s="236"/>
      <c r="R422" s="236"/>
      <c r="S422" s="236"/>
      <c r="T422" s="236"/>
      <c r="U422" s="236"/>
      <c r="V422" s="236"/>
      <c r="W422" s="236"/>
    </row>
    <row r="423" spans="2:23" s="262" customFormat="1" hidden="1">
      <c r="B423" s="266"/>
      <c r="C423" s="266"/>
      <c r="D423" s="266"/>
      <c r="E423" s="266"/>
      <c r="F423" s="266"/>
      <c r="G423" s="266"/>
      <c r="H423" s="266"/>
      <c r="I423" s="266"/>
      <c r="J423" s="266"/>
      <c r="K423" s="266"/>
      <c r="L423" s="236"/>
      <c r="M423" s="236"/>
      <c r="N423" s="236"/>
      <c r="O423" s="236"/>
      <c r="P423" s="236"/>
      <c r="Q423" s="236"/>
      <c r="R423" s="236"/>
      <c r="S423" s="236"/>
      <c r="T423" s="236"/>
      <c r="U423" s="236"/>
      <c r="V423" s="236"/>
      <c r="W423" s="236"/>
    </row>
    <row r="424" spans="2:23" s="262" customFormat="1" hidden="1">
      <c r="B424" s="266"/>
      <c r="C424" s="266"/>
      <c r="D424" s="266"/>
      <c r="E424" s="266"/>
      <c r="F424" s="266"/>
      <c r="G424" s="266"/>
      <c r="H424" s="266"/>
      <c r="I424" s="266"/>
      <c r="J424" s="266"/>
      <c r="K424" s="266"/>
      <c r="L424" s="236"/>
      <c r="M424" s="236"/>
      <c r="N424" s="236"/>
      <c r="O424" s="236"/>
      <c r="P424" s="236"/>
      <c r="Q424" s="236"/>
      <c r="R424" s="236"/>
      <c r="S424" s="236"/>
      <c r="T424" s="236"/>
      <c r="U424" s="236"/>
      <c r="V424" s="236"/>
      <c r="W424" s="236"/>
    </row>
    <row r="425" spans="2:23" s="262" customFormat="1" hidden="1">
      <c r="B425" s="266"/>
      <c r="C425" s="266"/>
      <c r="D425" s="266"/>
      <c r="E425" s="266"/>
      <c r="F425" s="266"/>
      <c r="G425" s="266"/>
      <c r="H425" s="266"/>
      <c r="I425" s="266"/>
      <c r="J425" s="266"/>
      <c r="K425" s="266"/>
      <c r="L425" s="236"/>
      <c r="M425" s="236"/>
      <c r="N425" s="236"/>
      <c r="O425" s="236"/>
      <c r="P425" s="236"/>
      <c r="Q425" s="236"/>
      <c r="R425" s="236"/>
      <c r="S425" s="236"/>
      <c r="T425" s="236"/>
      <c r="U425" s="236"/>
      <c r="V425" s="236"/>
      <c r="W425" s="236"/>
    </row>
    <row r="426" spans="2:23" s="262" customFormat="1" hidden="1">
      <c r="B426" s="266"/>
      <c r="C426" s="266"/>
      <c r="D426" s="266"/>
      <c r="E426" s="266"/>
      <c r="F426" s="266"/>
      <c r="G426" s="266"/>
      <c r="H426" s="266"/>
      <c r="I426" s="266"/>
      <c r="J426" s="266"/>
      <c r="K426" s="266"/>
      <c r="L426" s="236"/>
      <c r="M426" s="236"/>
      <c r="N426" s="236"/>
      <c r="O426" s="236"/>
      <c r="P426" s="236"/>
      <c r="Q426" s="236"/>
      <c r="R426" s="236"/>
      <c r="S426" s="236"/>
      <c r="T426" s="236"/>
      <c r="U426" s="236"/>
      <c r="V426" s="236"/>
      <c r="W426" s="236"/>
    </row>
    <row r="427" spans="2:23" s="262" customFormat="1" hidden="1">
      <c r="B427" s="266"/>
      <c r="C427" s="266"/>
      <c r="D427" s="266"/>
      <c r="E427" s="266"/>
      <c r="F427" s="266"/>
      <c r="G427" s="266"/>
      <c r="H427" s="266"/>
      <c r="I427" s="266"/>
      <c r="J427" s="266"/>
      <c r="K427" s="266"/>
      <c r="L427" s="236"/>
      <c r="M427" s="236"/>
      <c r="N427" s="236"/>
      <c r="O427" s="236"/>
      <c r="P427" s="236"/>
      <c r="Q427" s="236"/>
      <c r="R427" s="236"/>
      <c r="S427" s="236"/>
      <c r="T427" s="236"/>
      <c r="U427" s="236"/>
      <c r="V427" s="236"/>
      <c r="W427" s="236"/>
    </row>
    <row r="428" spans="2:23" s="262" customFormat="1" hidden="1">
      <c r="B428" s="266"/>
      <c r="C428" s="266"/>
      <c r="D428" s="266"/>
      <c r="E428" s="266"/>
      <c r="F428" s="266"/>
      <c r="G428" s="266"/>
      <c r="H428" s="266"/>
      <c r="I428" s="266"/>
      <c r="J428" s="266"/>
      <c r="K428" s="266"/>
      <c r="L428" s="236"/>
      <c r="M428" s="236"/>
      <c r="N428" s="236"/>
      <c r="O428" s="236"/>
      <c r="P428" s="236"/>
      <c r="Q428" s="236"/>
      <c r="R428" s="236"/>
      <c r="S428" s="236"/>
      <c r="T428" s="236"/>
      <c r="U428" s="236"/>
      <c r="V428" s="236"/>
      <c r="W428" s="236"/>
    </row>
    <row r="429" spans="2:23" s="262" customFormat="1" hidden="1">
      <c r="B429" s="266"/>
      <c r="C429" s="266"/>
      <c r="D429" s="266"/>
      <c r="E429" s="266"/>
      <c r="F429" s="266"/>
      <c r="G429" s="266"/>
      <c r="H429" s="266"/>
      <c r="I429" s="266"/>
      <c r="J429" s="266"/>
      <c r="K429" s="266"/>
      <c r="L429" s="236"/>
      <c r="M429" s="236"/>
      <c r="N429" s="236"/>
      <c r="O429" s="236"/>
      <c r="P429" s="236"/>
      <c r="Q429" s="236"/>
      <c r="R429" s="236"/>
      <c r="S429" s="236"/>
      <c r="T429" s="236"/>
      <c r="U429" s="236"/>
      <c r="V429" s="236"/>
      <c r="W429" s="236"/>
    </row>
    <row r="430" spans="2:23" s="262" customFormat="1" hidden="1">
      <c r="B430" s="266"/>
      <c r="C430" s="266"/>
      <c r="D430" s="266"/>
      <c r="E430" s="266"/>
      <c r="F430" s="266"/>
      <c r="G430" s="266"/>
      <c r="H430" s="266"/>
      <c r="I430" s="266"/>
      <c r="J430" s="266"/>
      <c r="K430" s="266"/>
      <c r="L430" s="236"/>
      <c r="M430" s="236"/>
      <c r="N430" s="236"/>
      <c r="O430" s="236"/>
      <c r="P430" s="236"/>
      <c r="Q430" s="236"/>
      <c r="R430" s="236"/>
      <c r="S430" s="236"/>
      <c r="T430" s="236"/>
      <c r="U430" s="236"/>
      <c r="V430" s="236"/>
      <c r="W430" s="236"/>
    </row>
    <row r="431" spans="2:23" s="262" customFormat="1" hidden="1">
      <c r="B431" s="266"/>
      <c r="C431" s="266"/>
      <c r="D431" s="266"/>
      <c r="E431" s="266"/>
      <c r="F431" s="266"/>
      <c r="G431" s="266"/>
      <c r="H431" s="266"/>
      <c r="I431" s="266"/>
      <c r="J431" s="266"/>
      <c r="K431" s="266"/>
      <c r="L431" s="236"/>
      <c r="M431" s="236"/>
      <c r="N431" s="236"/>
      <c r="O431" s="236"/>
      <c r="P431" s="236"/>
      <c r="Q431" s="236"/>
      <c r="R431" s="236"/>
      <c r="S431" s="236"/>
      <c r="T431" s="236"/>
      <c r="U431" s="236"/>
      <c r="V431" s="236"/>
      <c r="W431" s="236"/>
    </row>
    <row r="432" spans="2:23" s="262" customFormat="1" hidden="1">
      <c r="B432" s="266"/>
      <c r="C432" s="266"/>
      <c r="D432" s="266"/>
      <c r="E432" s="266"/>
      <c r="F432" s="266"/>
      <c r="G432" s="266"/>
      <c r="H432" s="266"/>
      <c r="I432" s="266"/>
      <c r="J432" s="266"/>
      <c r="K432" s="266"/>
      <c r="L432" s="236"/>
      <c r="M432" s="236"/>
      <c r="N432" s="236"/>
      <c r="O432" s="236"/>
      <c r="P432" s="236"/>
      <c r="Q432" s="236"/>
      <c r="R432" s="236"/>
      <c r="S432" s="236"/>
      <c r="T432" s="236"/>
      <c r="U432" s="236"/>
      <c r="V432" s="236"/>
      <c r="W432" s="236"/>
    </row>
    <row r="433" spans="2:23" s="262" customFormat="1" hidden="1">
      <c r="B433" s="266"/>
      <c r="C433" s="266"/>
      <c r="D433" s="266"/>
      <c r="E433" s="266"/>
      <c r="F433" s="266"/>
      <c r="G433" s="266"/>
      <c r="H433" s="266"/>
      <c r="I433" s="266"/>
      <c r="J433" s="266"/>
      <c r="K433" s="266"/>
      <c r="L433" s="236"/>
      <c r="M433" s="236"/>
      <c r="N433" s="236"/>
      <c r="O433" s="236"/>
      <c r="P433" s="236"/>
      <c r="Q433" s="236"/>
      <c r="R433" s="236"/>
      <c r="S433" s="236"/>
      <c r="T433" s="236"/>
      <c r="U433" s="236"/>
      <c r="V433" s="236"/>
      <c r="W433" s="236"/>
    </row>
    <row r="434" spans="2:23" s="262" customFormat="1" hidden="1">
      <c r="B434" s="266"/>
      <c r="C434" s="266"/>
      <c r="D434" s="266"/>
      <c r="E434" s="266"/>
      <c r="F434" s="266"/>
      <c r="G434" s="266"/>
      <c r="H434" s="266"/>
      <c r="I434" s="266"/>
      <c r="J434" s="266"/>
      <c r="K434" s="266"/>
      <c r="L434" s="236"/>
      <c r="M434" s="236"/>
      <c r="N434" s="236"/>
      <c r="O434" s="236"/>
      <c r="P434" s="236"/>
      <c r="Q434" s="236"/>
      <c r="R434" s="236"/>
      <c r="S434" s="236"/>
      <c r="T434" s="236"/>
      <c r="U434" s="236"/>
      <c r="V434" s="236"/>
      <c r="W434" s="236"/>
    </row>
    <row r="435" spans="2:23" s="262" customFormat="1" hidden="1">
      <c r="B435" s="266"/>
      <c r="C435" s="266"/>
      <c r="D435" s="266"/>
      <c r="E435" s="266"/>
      <c r="F435" s="266"/>
      <c r="G435" s="266"/>
      <c r="H435" s="266"/>
      <c r="I435" s="266"/>
      <c r="J435" s="266"/>
      <c r="K435" s="266"/>
      <c r="L435" s="236"/>
      <c r="M435" s="236"/>
      <c r="N435" s="236"/>
      <c r="O435" s="236"/>
      <c r="P435" s="236"/>
      <c r="Q435" s="236"/>
      <c r="R435" s="236"/>
      <c r="S435" s="236"/>
      <c r="T435" s="236"/>
      <c r="U435" s="236"/>
      <c r="V435" s="236"/>
      <c r="W435" s="236"/>
    </row>
    <row r="436" spans="2:23" s="262" customFormat="1" hidden="1">
      <c r="B436" s="266"/>
      <c r="C436" s="266"/>
      <c r="D436" s="266"/>
      <c r="E436" s="266"/>
      <c r="F436" s="266"/>
      <c r="G436" s="266"/>
      <c r="H436" s="266"/>
      <c r="I436" s="266"/>
      <c r="J436" s="266"/>
      <c r="K436" s="266"/>
      <c r="L436" s="236"/>
      <c r="M436" s="236"/>
      <c r="N436" s="236"/>
      <c r="O436" s="236"/>
      <c r="P436" s="236"/>
      <c r="Q436" s="236"/>
      <c r="R436" s="236"/>
      <c r="S436" s="236"/>
      <c r="T436" s="236"/>
      <c r="U436" s="236"/>
      <c r="V436" s="236"/>
      <c r="W436" s="236"/>
    </row>
    <row r="437" spans="2:23" s="262" customFormat="1" hidden="1">
      <c r="B437" s="266"/>
      <c r="C437" s="266"/>
      <c r="D437" s="266"/>
      <c r="E437" s="266"/>
      <c r="F437" s="266"/>
      <c r="G437" s="266"/>
      <c r="H437" s="266"/>
      <c r="I437" s="266"/>
      <c r="J437" s="266"/>
      <c r="K437" s="266"/>
      <c r="L437" s="236"/>
      <c r="M437" s="236"/>
      <c r="N437" s="236"/>
      <c r="O437" s="236"/>
      <c r="P437" s="236"/>
      <c r="Q437" s="236"/>
      <c r="R437" s="236"/>
      <c r="S437" s="236"/>
      <c r="T437" s="236"/>
      <c r="U437" s="236"/>
      <c r="V437" s="236"/>
      <c r="W437" s="236"/>
    </row>
    <row r="438" spans="2:23" s="262" customFormat="1" hidden="1">
      <c r="B438" s="266"/>
      <c r="C438" s="266"/>
      <c r="D438" s="266"/>
      <c r="E438" s="266"/>
      <c r="F438" s="266"/>
      <c r="G438" s="266"/>
      <c r="H438" s="266"/>
      <c r="I438" s="266"/>
      <c r="J438" s="266"/>
      <c r="K438" s="266"/>
      <c r="L438" s="236"/>
      <c r="M438" s="236"/>
      <c r="N438" s="236"/>
      <c r="O438" s="236"/>
      <c r="P438" s="236"/>
      <c r="Q438" s="236"/>
      <c r="R438" s="236"/>
      <c r="S438" s="236"/>
      <c r="T438" s="236"/>
      <c r="U438" s="236"/>
      <c r="V438" s="236"/>
      <c r="W438" s="236"/>
    </row>
    <row r="439" spans="2:23" s="262" customFormat="1" hidden="1">
      <c r="B439" s="266"/>
      <c r="C439" s="266"/>
      <c r="D439" s="266"/>
      <c r="E439" s="266"/>
      <c r="F439" s="266"/>
      <c r="G439" s="266"/>
      <c r="H439" s="266"/>
      <c r="I439" s="266"/>
      <c r="J439" s="266"/>
      <c r="K439" s="266"/>
      <c r="L439" s="236"/>
      <c r="M439" s="236"/>
      <c r="N439" s="236"/>
      <c r="O439" s="236"/>
      <c r="P439" s="236"/>
      <c r="Q439" s="236"/>
      <c r="R439" s="236"/>
      <c r="S439" s="236"/>
      <c r="T439" s="236"/>
      <c r="U439" s="236"/>
      <c r="V439" s="236"/>
      <c r="W439" s="236"/>
    </row>
    <row r="440" spans="2:23" s="262" customFormat="1" hidden="1">
      <c r="B440" s="266"/>
      <c r="C440" s="266"/>
      <c r="D440" s="266"/>
      <c r="E440" s="266"/>
      <c r="F440" s="266"/>
      <c r="G440" s="266"/>
      <c r="H440" s="266"/>
      <c r="I440" s="266"/>
      <c r="J440" s="266"/>
      <c r="K440" s="266"/>
      <c r="L440" s="236"/>
      <c r="M440" s="236"/>
      <c r="N440" s="236"/>
      <c r="O440" s="236"/>
      <c r="P440" s="236"/>
      <c r="Q440" s="236"/>
      <c r="R440" s="236"/>
      <c r="S440" s="236"/>
      <c r="T440" s="236"/>
      <c r="U440" s="236"/>
      <c r="V440" s="236"/>
      <c r="W440" s="236"/>
    </row>
    <row r="441" spans="2:23" s="262" customFormat="1" hidden="1">
      <c r="B441" s="266"/>
      <c r="C441" s="266"/>
      <c r="D441" s="266"/>
      <c r="E441" s="266"/>
      <c r="F441" s="266"/>
      <c r="G441" s="266"/>
      <c r="H441" s="266"/>
      <c r="I441" s="266"/>
      <c r="J441" s="266"/>
      <c r="K441" s="266"/>
      <c r="L441" s="236"/>
      <c r="M441" s="236"/>
      <c r="N441" s="236"/>
      <c r="O441" s="236"/>
      <c r="P441" s="236"/>
      <c r="Q441" s="236"/>
      <c r="R441" s="236"/>
      <c r="S441" s="236"/>
      <c r="T441" s="236"/>
      <c r="U441" s="236"/>
      <c r="V441" s="236"/>
      <c r="W441" s="236"/>
    </row>
    <row r="442" spans="2:23" s="262" customFormat="1" hidden="1">
      <c r="B442" s="266"/>
      <c r="C442" s="266"/>
      <c r="D442" s="266"/>
      <c r="E442" s="266"/>
      <c r="F442" s="266"/>
      <c r="G442" s="266"/>
      <c r="H442" s="266"/>
      <c r="I442" s="266"/>
      <c r="J442" s="266"/>
      <c r="K442" s="266"/>
      <c r="L442" s="236"/>
      <c r="M442" s="236"/>
      <c r="N442" s="236"/>
      <c r="O442" s="236"/>
      <c r="P442" s="236"/>
      <c r="Q442" s="236"/>
      <c r="R442" s="236"/>
      <c r="S442" s="236"/>
      <c r="T442" s="236"/>
      <c r="U442" s="236"/>
      <c r="V442" s="236"/>
      <c r="W442" s="236"/>
    </row>
    <row r="443" spans="2:23" s="262" customFormat="1" hidden="1">
      <c r="B443" s="266"/>
      <c r="C443" s="266"/>
      <c r="D443" s="266"/>
      <c r="E443" s="266"/>
      <c r="F443" s="266"/>
      <c r="G443" s="266"/>
      <c r="H443" s="266"/>
      <c r="I443" s="266"/>
      <c r="J443" s="266"/>
      <c r="K443" s="266"/>
      <c r="L443" s="236"/>
      <c r="M443" s="236"/>
      <c r="N443" s="236"/>
      <c r="O443" s="236"/>
      <c r="P443" s="236"/>
      <c r="Q443" s="236"/>
      <c r="R443" s="236"/>
      <c r="S443" s="236"/>
      <c r="T443" s="236"/>
      <c r="U443" s="236"/>
      <c r="V443" s="236"/>
      <c r="W443" s="236"/>
    </row>
    <row r="444" spans="2:23" s="262" customFormat="1" hidden="1">
      <c r="B444" s="266"/>
      <c r="C444" s="266"/>
      <c r="D444" s="266"/>
      <c r="E444" s="266"/>
      <c r="F444" s="266"/>
      <c r="G444" s="266"/>
      <c r="H444" s="266"/>
      <c r="I444" s="266"/>
      <c r="J444" s="266"/>
      <c r="K444" s="266"/>
      <c r="L444" s="236"/>
      <c r="M444" s="236"/>
      <c r="N444" s="236"/>
      <c r="O444" s="236"/>
      <c r="P444" s="236"/>
      <c r="Q444" s="236"/>
      <c r="R444" s="236"/>
      <c r="S444" s="236"/>
      <c r="T444" s="236"/>
      <c r="U444" s="236"/>
      <c r="V444" s="236"/>
      <c r="W444" s="236"/>
    </row>
    <row r="445" spans="2:23" s="262" customFormat="1" hidden="1">
      <c r="B445" s="266"/>
      <c r="C445" s="266"/>
      <c r="D445" s="266"/>
      <c r="E445" s="266"/>
      <c r="F445" s="266"/>
      <c r="G445" s="266"/>
      <c r="H445" s="266"/>
      <c r="I445" s="266"/>
      <c r="J445" s="266"/>
      <c r="K445" s="266"/>
      <c r="L445" s="236"/>
      <c r="M445" s="236"/>
      <c r="N445" s="236"/>
      <c r="O445" s="236"/>
      <c r="P445" s="236"/>
      <c r="Q445" s="236"/>
      <c r="R445" s="236"/>
      <c r="S445" s="236"/>
      <c r="T445" s="236"/>
      <c r="U445" s="236"/>
      <c r="V445" s="236"/>
      <c r="W445" s="236"/>
    </row>
    <row r="446" spans="2:23" s="262" customFormat="1" hidden="1">
      <c r="B446" s="266"/>
      <c r="C446" s="266"/>
      <c r="D446" s="266"/>
      <c r="E446" s="266"/>
      <c r="F446" s="266"/>
      <c r="G446" s="266"/>
      <c r="H446" s="266"/>
      <c r="I446" s="266"/>
      <c r="J446" s="266"/>
      <c r="K446" s="266"/>
      <c r="L446" s="236"/>
      <c r="M446" s="236"/>
      <c r="N446" s="236"/>
      <c r="O446" s="236"/>
      <c r="P446" s="236"/>
      <c r="Q446" s="236"/>
      <c r="R446" s="236"/>
      <c r="S446" s="236"/>
      <c r="T446" s="236"/>
      <c r="U446" s="236"/>
      <c r="V446" s="236"/>
      <c r="W446" s="236"/>
    </row>
    <row r="447" spans="2:23" s="262" customFormat="1" hidden="1">
      <c r="B447" s="266"/>
      <c r="C447" s="266"/>
      <c r="D447" s="266"/>
      <c r="E447" s="266"/>
      <c r="F447" s="266"/>
      <c r="G447" s="266"/>
      <c r="H447" s="266"/>
      <c r="I447" s="266"/>
      <c r="J447" s="266"/>
      <c r="K447" s="266"/>
      <c r="L447" s="236"/>
      <c r="M447" s="236"/>
      <c r="N447" s="236"/>
      <c r="O447" s="236"/>
      <c r="P447" s="236"/>
      <c r="Q447" s="236"/>
      <c r="R447" s="236"/>
      <c r="S447" s="236"/>
      <c r="T447" s="236"/>
      <c r="U447" s="236"/>
      <c r="V447" s="236"/>
      <c r="W447" s="236"/>
    </row>
    <row r="448" spans="2:23" s="262" customFormat="1" hidden="1">
      <c r="B448" s="266"/>
      <c r="C448" s="266"/>
      <c r="D448" s="266"/>
      <c r="E448" s="266"/>
      <c r="F448" s="266"/>
      <c r="G448" s="266"/>
      <c r="H448" s="266"/>
      <c r="I448" s="266"/>
      <c r="J448" s="266"/>
      <c r="K448" s="266"/>
      <c r="L448" s="236"/>
      <c r="M448" s="236"/>
      <c r="N448" s="236"/>
      <c r="O448" s="236"/>
      <c r="P448" s="236"/>
      <c r="Q448" s="236"/>
      <c r="R448" s="236"/>
      <c r="S448" s="236"/>
      <c r="T448" s="236"/>
      <c r="U448" s="236"/>
      <c r="V448" s="236"/>
      <c r="W448" s="236"/>
    </row>
    <row r="449" spans="2:23" s="262" customFormat="1" hidden="1">
      <c r="B449" s="266"/>
      <c r="C449" s="266"/>
      <c r="D449" s="266"/>
      <c r="E449" s="266"/>
      <c r="F449" s="266"/>
      <c r="G449" s="266"/>
      <c r="H449" s="266"/>
      <c r="I449" s="266"/>
      <c r="J449" s="266"/>
      <c r="K449" s="266"/>
      <c r="L449" s="236"/>
      <c r="M449" s="236"/>
      <c r="N449" s="236"/>
      <c r="O449" s="236"/>
      <c r="P449" s="236"/>
      <c r="Q449" s="236"/>
      <c r="R449" s="236"/>
      <c r="S449" s="236"/>
      <c r="T449" s="236"/>
      <c r="U449" s="236"/>
      <c r="V449" s="236"/>
      <c r="W449" s="236"/>
    </row>
    <row r="450" spans="2:23" s="262" customFormat="1" hidden="1">
      <c r="B450" s="266"/>
      <c r="C450" s="266"/>
      <c r="D450" s="266"/>
      <c r="E450" s="266"/>
      <c r="F450" s="266"/>
      <c r="G450" s="266"/>
      <c r="H450" s="266"/>
      <c r="I450" s="266"/>
      <c r="J450" s="266"/>
      <c r="K450" s="266"/>
      <c r="L450" s="236"/>
      <c r="M450" s="236"/>
      <c r="N450" s="236"/>
      <c r="O450" s="236"/>
      <c r="P450" s="236"/>
      <c r="Q450" s="236"/>
      <c r="R450" s="236"/>
      <c r="S450" s="236"/>
      <c r="T450" s="236"/>
      <c r="U450" s="236"/>
      <c r="V450" s="236"/>
      <c r="W450" s="236"/>
    </row>
    <row r="451" spans="2:23" s="262" customFormat="1" hidden="1">
      <c r="B451" s="266"/>
      <c r="C451" s="266"/>
      <c r="D451" s="266"/>
      <c r="E451" s="266"/>
      <c r="F451" s="266"/>
      <c r="G451" s="266"/>
      <c r="H451" s="266"/>
      <c r="I451" s="266"/>
      <c r="J451" s="266"/>
      <c r="K451" s="266"/>
      <c r="L451" s="236"/>
      <c r="M451" s="236"/>
      <c r="N451" s="236"/>
      <c r="O451" s="236"/>
      <c r="P451" s="236"/>
      <c r="Q451" s="236"/>
      <c r="R451" s="236"/>
      <c r="S451" s="236"/>
      <c r="T451" s="236"/>
      <c r="U451" s="236"/>
      <c r="V451" s="236"/>
      <c r="W451" s="236"/>
    </row>
    <row r="452" spans="2:23" s="262" customFormat="1" hidden="1">
      <c r="B452" s="266"/>
      <c r="C452" s="266"/>
      <c r="D452" s="266"/>
      <c r="E452" s="266"/>
      <c r="F452" s="266"/>
      <c r="G452" s="266"/>
      <c r="H452" s="266"/>
      <c r="I452" s="266"/>
      <c r="J452" s="266"/>
      <c r="K452" s="266"/>
      <c r="L452" s="236"/>
      <c r="M452" s="236"/>
      <c r="N452" s="236"/>
      <c r="O452" s="236"/>
      <c r="P452" s="236"/>
      <c r="Q452" s="236"/>
      <c r="R452" s="236"/>
      <c r="S452" s="236"/>
      <c r="T452" s="236"/>
      <c r="U452" s="236"/>
      <c r="V452" s="236"/>
      <c r="W452" s="236"/>
    </row>
    <row r="453" spans="2:23" s="262" customFormat="1" hidden="1">
      <c r="B453" s="266"/>
      <c r="C453" s="266"/>
      <c r="D453" s="266"/>
      <c r="E453" s="266"/>
      <c r="F453" s="266"/>
      <c r="G453" s="266"/>
      <c r="H453" s="266"/>
      <c r="I453" s="266"/>
      <c r="J453" s="266"/>
      <c r="K453" s="266"/>
      <c r="L453" s="236"/>
      <c r="M453" s="236"/>
      <c r="N453" s="236"/>
      <c r="O453" s="236"/>
      <c r="P453" s="236"/>
      <c r="Q453" s="236"/>
      <c r="R453" s="236"/>
      <c r="S453" s="236"/>
      <c r="T453" s="236"/>
      <c r="U453" s="236"/>
      <c r="V453" s="236"/>
      <c r="W453" s="236"/>
    </row>
    <row r="454" spans="2:23" s="262" customFormat="1" hidden="1">
      <c r="B454" s="266"/>
      <c r="C454" s="266"/>
      <c r="D454" s="266"/>
      <c r="E454" s="266"/>
      <c r="F454" s="266"/>
      <c r="G454" s="266"/>
      <c r="H454" s="266"/>
      <c r="I454" s="266"/>
      <c r="J454" s="266"/>
      <c r="K454" s="266"/>
      <c r="L454" s="236"/>
      <c r="M454" s="236"/>
      <c r="N454" s="236"/>
      <c r="O454" s="236"/>
      <c r="P454" s="236"/>
      <c r="Q454" s="236"/>
      <c r="R454" s="236"/>
      <c r="S454" s="236"/>
      <c r="T454" s="236"/>
      <c r="U454" s="236"/>
      <c r="V454" s="236"/>
      <c r="W454" s="236"/>
    </row>
    <row r="455" spans="2:23" s="262" customFormat="1" hidden="1">
      <c r="B455" s="266"/>
      <c r="C455" s="266"/>
      <c r="D455" s="266"/>
      <c r="E455" s="266"/>
      <c r="F455" s="266"/>
      <c r="G455" s="266"/>
      <c r="H455" s="266"/>
      <c r="I455" s="266"/>
      <c r="J455" s="266"/>
      <c r="K455" s="266"/>
      <c r="L455" s="236"/>
      <c r="M455" s="236"/>
      <c r="N455" s="236"/>
      <c r="O455" s="236"/>
      <c r="P455" s="236"/>
      <c r="Q455" s="236"/>
      <c r="R455" s="236"/>
      <c r="S455" s="236"/>
      <c r="T455" s="236"/>
      <c r="U455" s="236"/>
      <c r="V455" s="236"/>
      <c r="W455" s="236"/>
    </row>
    <row r="456" spans="2:23" s="262" customFormat="1" hidden="1">
      <c r="B456" s="266"/>
      <c r="C456" s="266"/>
      <c r="D456" s="266"/>
      <c r="E456" s="266"/>
      <c r="F456" s="266"/>
      <c r="G456" s="266"/>
      <c r="H456" s="266"/>
      <c r="I456" s="266"/>
      <c r="J456" s="266"/>
      <c r="K456" s="266"/>
      <c r="L456" s="236"/>
      <c r="M456" s="236"/>
      <c r="N456" s="236"/>
      <c r="O456" s="236"/>
      <c r="P456" s="236"/>
      <c r="Q456" s="236"/>
      <c r="R456" s="236"/>
      <c r="S456" s="236"/>
      <c r="T456" s="236"/>
      <c r="U456" s="236"/>
      <c r="V456" s="236"/>
      <c r="W456" s="236"/>
    </row>
    <row r="457" spans="2:23" s="262" customFormat="1" hidden="1">
      <c r="B457" s="266"/>
      <c r="C457" s="266"/>
      <c r="D457" s="266"/>
      <c r="E457" s="266"/>
      <c r="F457" s="266"/>
      <c r="G457" s="266"/>
      <c r="H457" s="266"/>
      <c r="I457" s="266"/>
      <c r="J457" s="266"/>
      <c r="K457" s="266"/>
      <c r="L457" s="236"/>
      <c r="M457" s="236"/>
      <c r="N457" s="236"/>
      <c r="O457" s="236"/>
      <c r="P457" s="236"/>
      <c r="Q457" s="236"/>
      <c r="R457" s="236"/>
      <c r="S457" s="236"/>
      <c r="T457" s="236"/>
      <c r="U457" s="236"/>
      <c r="V457" s="236"/>
      <c r="W457" s="236"/>
    </row>
    <row r="458" spans="2:23" s="262" customFormat="1" hidden="1">
      <c r="B458" s="266"/>
      <c r="C458" s="266"/>
      <c r="D458" s="266"/>
      <c r="E458" s="266"/>
      <c r="F458" s="266"/>
      <c r="G458" s="266"/>
      <c r="H458" s="266"/>
      <c r="I458" s="266"/>
      <c r="J458" s="266"/>
      <c r="K458" s="266"/>
      <c r="L458" s="236"/>
      <c r="M458" s="236"/>
      <c r="N458" s="236"/>
      <c r="O458" s="236"/>
      <c r="P458" s="236"/>
      <c r="Q458" s="236"/>
      <c r="R458" s="236"/>
      <c r="S458" s="236"/>
      <c r="T458" s="236"/>
      <c r="U458" s="236"/>
      <c r="V458" s="236"/>
      <c r="W458" s="236"/>
    </row>
    <row r="459" spans="2:23" s="262" customFormat="1" hidden="1">
      <c r="B459" s="266"/>
      <c r="C459" s="266"/>
      <c r="D459" s="266"/>
      <c r="E459" s="266"/>
      <c r="F459" s="266"/>
      <c r="G459" s="266"/>
      <c r="H459" s="266"/>
      <c r="I459" s="266"/>
      <c r="J459" s="266"/>
      <c r="K459" s="266"/>
      <c r="L459" s="236"/>
      <c r="M459" s="236"/>
      <c r="N459" s="236"/>
      <c r="O459" s="236"/>
      <c r="P459" s="236"/>
      <c r="Q459" s="236"/>
      <c r="R459" s="236"/>
      <c r="S459" s="236"/>
      <c r="T459" s="236"/>
      <c r="U459" s="236"/>
      <c r="V459" s="236"/>
      <c r="W459" s="236"/>
    </row>
    <row r="460" spans="2:23" s="262" customFormat="1" hidden="1">
      <c r="B460" s="266"/>
      <c r="C460" s="266"/>
      <c r="D460" s="266"/>
      <c r="E460" s="266"/>
      <c r="F460" s="266"/>
      <c r="G460" s="266"/>
      <c r="H460" s="266"/>
      <c r="I460" s="266"/>
      <c r="J460" s="266"/>
      <c r="K460" s="266"/>
      <c r="L460" s="236"/>
      <c r="M460" s="236"/>
      <c r="N460" s="236"/>
      <c r="O460" s="236"/>
      <c r="P460" s="236"/>
      <c r="Q460" s="236"/>
      <c r="R460" s="236"/>
      <c r="S460" s="236"/>
      <c r="T460" s="236"/>
      <c r="U460" s="236"/>
      <c r="V460" s="236"/>
      <c r="W460" s="236"/>
    </row>
    <row r="461" spans="2:23" s="262" customFormat="1" hidden="1">
      <c r="B461" s="266"/>
      <c r="C461" s="266"/>
      <c r="D461" s="266"/>
      <c r="E461" s="266"/>
      <c r="F461" s="266"/>
      <c r="G461" s="266"/>
      <c r="H461" s="266"/>
      <c r="I461" s="266"/>
      <c r="J461" s="266"/>
      <c r="K461" s="266"/>
      <c r="L461" s="236"/>
      <c r="M461" s="236"/>
      <c r="N461" s="236"/>
      <c r="O461" s="236"/>
      <c r="P461" s="236"/>
      <c r="Q461" s="236"/>
      <c r="R461" s="236"/>
      <c r="S461" s="236"/>
      <c r="T461" s="236"/>
      <c r="U461" s="236"/>
      <c r="V461" s="236"/>
      <c r="W461" s="236"/>
    </row>
    <row r="462" spans="2:23" s="262" customFormat="1" hidden="1">
      <c r="B462" s="266"/>
      <c r="C462" s="266"/>
      <c r="D462" s="266"/>
      <c r="E462" s="266"/>
      <c r="F462" s="266"/>
      <c r="G462" s="266"/>
      <c r="H462" s="266"/>
      <c r="I462" s="266"/>
      <c r="J462" s="266"/>
      <c r="K462" s="266"/>
      <c r="L462" s="236"/>
      <c r="M462" s="236"/>
      <c r="N462" s="236"/>
      <c r="O462" s="236"/>
      <c r="P462" s="236"/>
      <c r="Q462" s="236"/>
      <c r="R462" s="236"/>
      <c r="S462" s="236"/>
      <c r="T462" s="236"/>
      <c r="U462" s="236"/>
      <c r="V462" s="236"/>
      <c r="W462" s="236"/>
    </row>
    <row r="463" spans="2:23" s="262" customFormat="1" hidden="1">
      <c r="B463" s="266"/>
      <c r="C463" s="266"/>
      <c r="D463" s="266"/>
      <c r="E463" s="266"/>
      <c r="F463" s="266"/>
      <c r="G463" s="266"/>
      <c r="H463" s="266"/>
      <c r="I463" s="266"/>
      <c r="J463" s="266"/>
      <c r="K463" s="266"/>
      <c r="L463" s="236"/>
      <c r="M463" s="236"/>
      <c r="N463" s="236"/>
      <c r="O463" s="236"/>
      <c r="P463" s="236"/>
      <c r="Q463" s="236"/>
      <c r="R463" s="236"/>
      <c r="S463" s="236"/>
      <c r="T463" s="236"/>
      <c r="U463" s="236"/>
      <c r="V463" s="236"/>
      <c r="W463" s="236"/>
    </row>
    <row r="464" spans="2:23" s="262" customFormat="1" hidden="1">
      <c r="B464" s="266"/>
      <c r="C464" s="266"/>
      <c r="D464" s="266"/>
      <c r="E464" s="266"/>
      <c r="F464" s="266"/>
      <c r="G464" s="266"/>
      <c r="H464" s="266"/>
      <c r="I464" s="266"/>
      <c r="J464" s="266"/>
      <c r="K464" s="266"/>
      <c r="L464" s="236"/>
      <c r="M464" s="236"/>
      <c r="N464" s="236"/>
      <c r="O464" s="236"/>
      <c r="P464" s="236"/>
      <c r="Q464" s="236"/>
      <c r="R464" s="236"/>
      <c r="S464" s="236"/>
      <c r="T464" s="236"/>
      <c r="U464" s="236"/>
      <c r="V464" s="236"/>
      <c r="W464" s="236"/>
    </row>
    <row r="465" spans="1:23" s="262" customFormat="1" hidden="1">
      <c r="B465" s="266"/>
      <c r="C465" s="266"/>
      <c r="D465" s="266"/>
      <c r="E465" s="266"/>
      <c r="F465" s="266"/>
      <c r="G465" s="266"/>
      <c r="H465" s="266"/>
      <c r="I465" s="266"/>
      <c r="J465" s="266"/>
      <c r="K465" s="266"/>
      <c r="L465" s="236"/>
      <c r="M465" s="236"/>
      <c r="N465" s="236"/>
      <c r="O465" s="236"/>
      <c r="P465" s="236"/>
      <c r="Q465" s="236"/>
      <c r="R465" s="236"/>
      <c r="S465" s="236"/>
      <c r="T465" s="236"/>
      <c r="U465" s="236"/>
      <c r="V465" s="236"/>
      <c r="W465" s="236"/>
    </row>
    <row r="466" spans="1:23" s="262" customFormat="1" hidden="1">
      <c r="B466" s="266"/>
      <c r="C466" s="266"/>
      <c r="D466" s="266"/>
      <c r="E466" s="266"/>
      <c r="F466" s="266"/>
      <c r="G466" s="266"/>
      <c r="H466" s="266"/>
      <c r="I466" s="266"/>
      <c r="J466" s="266"/>
      <c r="K466" s="266"/>
      <c r="L466" s="236"/>
      <c r="M466" s="236"/>
      <c r="N466" s="236"/>
      <c r="O466" s="236"/>
      <c r="P466" s="236"/>
      <c r="Q466" s="236"/>
      <c r="R466" s="236"/>
      <c r="S466" s="236"/>
      <c r="T466" s="236"/>
      <c r="U466" s="236"/>
      <c r="V466" s="236"/>
      <c r="W466" s="236"/>
    </row>
    <row r="467" spans="1:23" s="262" customFormat="1" hidden="1">
      <c r="B467" s="266"/>
      <c r="C467" s="266"/>
      <c r="D467" s="266"/>
      <c r="E467" s="266"/>
      <c r="F467" s="266"/>
      <c r="G467" s="266"/>
      <c r="H467" s="266"/>
      <c r="I467" s="266"/>
      <c r="J467" s="266"/>
      <c r="K467" s="266"/>
      <c r="L467" s="236"/>
      <c r="M467" s="236"/>
      <c r="N467" s="236"/>
      <c r="O467" s="236"/>
      <c r="P467" s="236"/>
      <c r="Q467" s="236"/>
      <c r="R467" s="236"/>
      <c r="S467" s="236"/>
      <c r="T467" s="236"/>
      <c r="U467" s="236"/>
      <c r="V467" s="236"/>
      <c r="W467" s="236"/>
    </row>
    <row r="468" spans="1:23" s="262" customFormat="1" hidden="1">
      <c r="B468" s="266"/>
      <c r="C468" s="266"/>
      <c r="D468" s="266"/>
      <c r="E468" s="266"/>
      <c r="F468" s="266"/>
      <c r="G468" s="266"/>
      <c r="H468" s="266"/>
      <c r="I468" s="266"/>
      <c r="J468" s="266"/>
      <c r="K468" s="266"/>
      <c r="L468" s="236"/>
      <c r="M468" s="236"/>
      <c r="N468" s="236"/>
      <c r="O468" s="236"/>
      <c r="P468" s="236"/>
      <c r="Q468" s="236"/>
      <c r="R468" s="236"/>
      <c r="S468" s="236"/>
      <c r="T468" s="236"/>
      <c r="U468" s="236"/>
      <c r="V468" s="236"/>
      <c r="W468" s="236"/>
    </row>
    <row r="469" spans="1:23" s="262" customFormat="1" hidden="1">
      <c r="B469" s="266"/>
      <c r="C469" s="266"/>
      <c r="D469" s="266"/>
      <c r="E469" s="266"/>
      <c r="F469" s="266"/>
      <c r="G469" s="266"/>
      <c r="H469" s="266"/>
      <c r="I469" s="266"/>
      <c r="J469" s="266"/>
      <c r="K469" s="266"/>
      <c r="L469" s="236"/>
      <c r="M469" s="236"/>
      <c r="N469" s="236"/>
      <c r="O469" s="236"/>
      <c r="P469" s="236"/>
      <c r="Q469" s="236"/>
      <c r="R469" s="236"/>
      <c r="S469" s="236"/>
      <c r="T469" s="236"/>
      <c r="U469" s="236"/>
      <c r="V469" s="236"/>
      <c r="W469" s="236"/>
    </row>
    <row r="470" spans="1:23" s="262" customFormat="1">
      <c r="B470" s="266"/>
      <c r="C470" s="266"/>
      <c r="D470" s="266"/>
      <c r="E470" s="266"/>
      <c r="F470" s="266"/>
      <c r="G470" s="266"/>
      <c r="H470" s="266"/>
      <c r="I470" s="266"/>
      <c r="J470" s="266"/>
      <c r="K470" s="266"/>
      <c r="L470" s="236"/>
      <c r="M470" s="236"/>
      <c r="N470" s="236"/>
      <c r="O470" s="236"/>
      <c r="P470" s="236"/>
      <c r="Q470" s="236"/>
      <c r="R470" s="236"/>
      <c r="S470" s="236"/>
      <c r="T470" s="236"/>
      <c r="U470" s="236"/>
      <c r="V470" s="236"/>
      <c r="W470" s="236"/>
    </row>
    <row r="471" spans="1:23" s="93" customFormat="1">
      <c r="A471" s="170" t="s">
        <v>374</v>
      </c>
      <c r="B471" s="91"/>
      <c r="C471" s="91"/>
      <c r="D471" s="91"/>
      <c r="E471" s="91"/>
      <c r="F471" s="91"/>
      <c r="G471" s="91"/>
      <c r="H471" s="91"/>
      <c r="I471" s="91"/>
      <c r="J471" s="91"/>
      <c r="K471" s="91"/>
      <c r="L471" s="91"/>
      <c r="M471" s="91"/>
      <c r="N471" s="91"/>
      <c r="O471" s="91"/>
      <c r="P471" s="91"/>
      <c r="Q471" s="91"/>
      <c r="R471" s="91"/>
      <c r="S471" s="91"/>
      <c r="T471" s="91"/>
      <c r="U471" s="91"/>
      <c r="V471" s="91"/>
      <c r="W471" s="91"/>
    </row>
    <row r="472" spans="1:23" s="93" customFormat="1">
      <c r="A472" s="170"/>
      <c r="B472" s="91"/>
      <c r="C472" s="91"/>
      <c r="D472" s="91"/>
      <c r="E472" s="91"/>
      <c r="F472" s="91"/>
      <c r="G472" s="91"/>
      <c r="H472" s="91"/>
      <c r="I472" s="91"/>
      <c r="J472" s="91"/>
      <c r="K472" s="91"/>
      <c r="L472" s="91"/>
      <c r="M472" s="91"/>
      <c r="N472" s="91"/>
      <c r="O472" s="91"/>
      <c r="P472" s="91"/>
      <c r="Q472" s="91"/>
      <c r="R472" s="91"/>
      <c r="S472" s="91"/>
      <c r="T472" s="91"/>
      <c r="U472" s="91"/>
      <c r="V472" s="91"/>
      <c r="W472" s="91"/>
    </row>
    <row r="473" spans="1:23" s="258" customFormat="1">
      <c r="B473" s="235"/>
      <c r="C473" s="235"/>
      <c r="D473" s="235"/>
      <c r="E473" s="354" t="s">
        <v>379</v>
      </c>
      <c r="F473" s="355"/>
      <c r="G473" s="354" t="s">
        <v>380</v>
      </c>
      <c r="H473" s="235"/>
      <c r="I473" s="235"/>
      <c r="J473" s="235"/>
      <c r="K473" s="235"/>
      <c r="L473" s="235"/>
      <c r="M473" s="235"/>
      <c r="N473" s="235"/>
      <c r="O473" s="235"/>
      <c r="P473" s="235"/>
      <c r="Q473" s="235"/>
      <c r="R473" s="235"/>
      <c r="S473" s="235"/>
      <c r="T473" s="235"/>
      <c r="U473" s="235"/>
      <c r="V473" s="235"/>
      <c r="W473" s="235"/>
    </row>
    <row r="474" spans="1:23" s="258" customFormat="1">
      <c r="B474" s="235"/>
      <c r="C474" s="235"/>
      <c r="D474" s="235"/>
      <c r="E474" s="354"/>
      <c r="F474" s="355"/>
      <c r="G474" s="356"/>
      <c r="H474" s="235"/>
      <c r="I474" s="235"/>
      <c r="J474" s="235"/>
      <c r="K474" s="235"/>
      <c r="L474" s="235"/>
      <c r="M474" s="235"/>
      <c r="N474" s="235"/>
      <c r="O474" s="235"/>
      <c r="P474" s="235"/>
      <c r="Q474" s="235"/>
      <c r="R474" s="235"/>
      <c r="S474" s="235"/>
      <c r="T474" s="235"/>
      <c r="U474" s="235"/>
      <c r="V474" s="235"/>
      <c r="W474" s="235"/>
    </row>
    <row r="475" spans="1:23" s="258" customFormat="1">
      <c r="B475" s="273" t="s">
        <v>301</v>
      </c>
      <c r="C475" s="235"/>
      <c r="D475" s="235"/>
      <c r="E475" s="357"/>
      <c r="F475" s="357"/>
      <c r="G475" s="357"/>
      <c r="H475" s="235"/>
      <c r="I475" s="235"/>
      <c r="J475" s="235"/>
      <c r="K475" s="235"/>
      <c r="L475" s="235"/>
      <c r="M475" s="235"/>
      <c r="N475" s="235"/>
      <c r="O475" s="235"/>
      <c r="P475" s="235"/>
      <c r="Q475" s="235"/>
      <c r="R475" s="235"/>
      <c r="S475" s="235"/>
      <c r="T475" s="235"/>
      <c r="U475" s="235"/>
      <c r="V475" s="235"/>
      <c r="W475" s="235"/>
    </row>
    <row r="476" spans="1:23" s="258" customFormat="1">
      <c r="B476" s="278" t="s">
        <v>302</v>
      </c>
      <c r="C476" s="235"/>
      <c r="D476" s="235"/>
      <c r="E476" s="279">
        <v>0</v>
      </c>
      <c r="F476" s="357"/>
      <c r="G476" s="279">
        <v>228328</v>
      </c>
      <c r="H476" s="235"/>
      <c r="I476" s="235"/>
      <c r="J476" s="235"/>
      <c r="K476" s="235"/>
      <c r="L476" s="235"/>
      <c r="M476" s="235"/>
      <c r="N476" s="235"/>
      <c r="O476" s="235"/>
      <c r="P476" s="235"/>
      <c r="Q476" s="235"/>
      <c r="R476" s="235"/>
      <c r="S476" s="235"/>
      <c r="T476" s="235"/>
      <c r="U476" s="235"/>
      <c r="V476" s="235"/>
      <c r="W476" s="235"/>
    </row>
    <row r="477" spans="1:23" s="258" customFormat="1">
      <c r="B477" s="358"/>
      <c r="C477" s="235"/>
      <c r="D477" s="235"/>
      <c r="E477" s="357"/>
      <c r="F477" s="357"/>
      <c r="G477" s="357"/>
      <c r="H477" s="235"/>
      <c r="I477" s="235"/>
      <c r="J477" s="235"/>
      <c r="K477" s="235"/>
      <c r="L477" s="235"/>
      <c r="M477" s="235"/>
      <c r="N477" s="235"/>
      <c r="O477" s="235"/>
      <c r="P477" s="235"/>
      <c r="Q477" s="235"/>
      <c r="R477" s="235"/>
      <c r="S477" s="235"/>
      <c r="T477" s="235"/>
      <c r="U477" s="235"/>
      <c r="V477" s="235"/>
      <c r="W477" s="235"/>
    </row>
    <row r="478" spans="1:23" s="258" customFormat="1">
      <c r="B478" s="278" t="s">
        <v>303</v>
      </c>
      <c r="C478" s="235"/>
      <c r="D478" s="235"/>
      <c r="E478" s="357"/>
      <c r="F478" s="357"/>
      <c r="G478" s="357"/>
      <c r="H478" s="235"/>
      <c r="I478" s="235"/>
      <c r="J478" s="235"/>
      <c r="K478" s="235"/>
      <c r="L478" s="235"/>
      <c r="M478" s="235"/>
      <c r="N478" s="235"/>
      <c r="O478" s="235"/>
      <c r="P478" s="235"/>
      <c r="Q478" s="235"/>
      <c r="R478" s="235"/>
      <c r="S478" s="235"/>
      <c r="T478" s="235"/>
      <c r="U478" s="235"/>
      <c r="V478" s="235"/>
      <c r="W478" s="235"/>
    </row>
    <row r="479" spans="1:23" s="258" customFormat="1">
      <c r="B479" s="278" t="s">
        <v>304</v>
      </c>
      <c r="C479" s="235"/>
      <c r="D479" s="235"/>
      <c r="E479" s="279">
        <v>949297</v>
      </c>
      <c r="F479" s="357"/>
      <c r="G479" s="279"/>
      <c r="K479" s="235"/>
      <c r="L479" s="235"/>
      <c r="M479" s="235"/>
      <c r="N479" s="235"/>
      <c r="O479" s="235"/>
      <c r="P479" s="235"/>
      <c r="Q479" s="235"/>
      <c r="R479" s="235"/>
      <c r="S479" s="235"/>
      <c r="T479" s="235"/>
      <c r="U479" s="235"/>
      <c r="V479" s="235"/>
      <c r="W479" s="235"/>
    </row>
    <row r="480" spans="1:23" s="258" customFormat="1">
      <c r="B480" s="358"/>
      <c r="C480" s="235"/>
      <c r="D480" s="235"/>
      <c r="E480" s="357"/>
      <c r="F480" s="357"/>
      <c r="G480" s="357"/>
      <c r="K480" s="235"/>
      <c r="L480" s="235"/>
      <c r="M480" s="235"/>
      <c r="N480" s="235"/>
      <c r="O480" s="235"/>
      <c r="P480" s="235"/>
      <c r="Q480" s="235"/>
      <c r="R480" s="235"/>
      <c r="S480" s="235"/>
      <c r="T480" s="235"/>
      <c r="U480" s="235"/>
      <c r="V480" s="235"/>
      <c r="W480" s="235"/>
    </row>
    <row r="481" spans="2:23" s="258" customFormat="1">
      <c r="B481" s="278" t="s">
        <v>303</v>
      </c>
      <c r="C481" s="235"/>
      <c r="D481" s="235"/>
      <c r="E481" s="357"/>
      <c r="F481" s="357"/>
      <c r="G481" s="357"/>
      <c r="K481" s="235"/>
      <c r="L481" s="235"/>
      <c r="M481" s="235"/>
      <c r="N481" s="235"/>
      <c r="O481" s="235"/>
      <c r="P481" s="235"/>
      <c r="Q481" s="235"/>
      <c r="R481" s="235"/>
      <c r="S481" s="235"/>
      <c r="T481" s="235"/>
      <c r="U481" s="235"/>
      <c r="V481" s="235"/>
      <c r="W481" s="235"/>
    </row>
    <row r="482" spans="2:23" s="258" customFormat="1">
      <c r="B482" s="278" t="s">
        <v>304</v>
      </c>
      <c r="C482" s="235"/>
      <c r="D482" s="235"/>
      <c r="E482" s="279">
        <v>949297</v>
      </c>
      <c r="F482" s="357"/>
      <c r="G482" s="279"/>
      <c r="K482" s="235"/>
      <c r="L482" s="235"/>
      <c r="M482" s="235"/>
      <c r="N482" s="235"/>
      <c r="O482" s="235"/>
      <c r="P482" s="235"/>
      <c r="Q482" s="235"/>
      <c r="R482" s="235"/>
      <c r="S482" s="235"/>
      <c r="T482" s="235"/>
      <c r="U482" s="235"/>
      <c r="V482" s="235"/>
      <c r="W482" s="235"/>
    </row>
    <row r="483" spans="2:23" s="258" customFormat="1">
      <c r="B483" s="358"/>
      <c r="C483" s="235"/>
      <c r="D483" s="235"/>
      <c r="E483" s="357"/>
      <c r="F483" s="357"/>
      <c r="G483" s="357"/>
      <c r="K483" s="235"/>
      <c r="L483" s="235"/>
      <c r="M483" s="235"/>
      <c r="N483" s="235"/>
      <c r="O483" s="235"/>
      <c r="P483" s="235"/>
      <c r="Q483" s="235"/>
      <c r="R483" s="235"/>
      <c r="S483" s="235"/>
      <c r="T483" s="235"/>
      <c r="U483" s="235"/>
      <c r="V483" s="235"/>
      <c r="W483" s="235"/>
    </row>
    <row r="484" spans="2:23" s="258" customFormat="1">
      <c r="B484" s="278" t="s">
        <v>303</v>
      </c>
      <c r="C484" s="235"/>
      <c r="D484" s="235"/>
      <c r="E484" s="357"/>
      <c r="F484" s="357"/>
      <c r="G484" s="357"/>
      <c r="K484" s="235"/>
      <c r="L484" s="235"/>
      <c r="M484" s="235"/>
      <c r="N484" s="235"/>
      <c r="O484" s="235"/>
      <c r="P484" s="235"/>
      <c r="Q484" s="235"/>
      <c r="R484" s="235"/>
      <c r="S484" s="235"/>
      <c r="T484" s="235"/>
      <c r="U484" s="235"/>
      <c r="V484" s="235"/>
      <c r="W484" s="235"/>
    </row>
    <row r="485" spans="2:23" s="258" customFormat="1">
      <c r="B485" s="278" t="s">
        <v>304</v>
      </c>
      <c r="C485" s="235"/>
      <c r="D485" s="235"/>
      <c r="E485" s="279">
        <v>949297</v>
      </c>
      <c r="F485" s="357"/>
      <c r="G485" s="279"/>
      <c r="K485" s="235"/>
      <c r="L485" s="235"/>
      <c r="M485" s="235"/>
      <c r="N485" s="235"/>
      <c r="O485" s="235"/>
      <c r="P485" s="235"/>
      <c r="Q485" s="235"/>
      <c r="R485" s="235"/>
      <c r="S485" s="235"/>
      <c r="T485" s="235"/>
      <c r="U485" s="235"/>
      <c r="V485" s="235"/>
      <c r="W485" s="235"/>
    </row>
    <row r="486" spans="2:23" s="258" customFormat="1">
      <c r="B486" s="358"/>
      <c r="C486" s="235"/>
      <c r="D486" s="235"/>
      <c r="E486" s="357"/>
      <c r="F486" s="357"/>
      <c r="G486" s="357"/>
      <c r="K486" s="235"/>
      <c r="L486" s="235"/>
      <c r="M486" s="235"/>
      <c r="N486" s="235"/>
      <c r="O486" s="235"/>
      <c r="P486" s="235"/>
      <c r="Q486" s="235"/>
      <c r="R486" s="235"/>
      <c r="S486" s="235"/>
      <c r="T486" s="235"/>
      <c r="U486" s="235"/>
      <c r="V486" s="235"/>
      <c r="W486" s="235"/>
    </row>
    <row r="487" spans="2:23" s="258" customFormat="1">
      <c r="B487" s="278" t="s">
        <v>303</v>
      </c>
      <c r="C487" s="235"/>
      <c r="D487" s="235"/>
      <c r="E487" s="357"/>
      <c r="F487" s="357"/>
      <c r="G487" s="357"/>
      <c r="K487" s="235"/>
      <c r="L487" s="235"/>
      <c r="M487" s="235"/>
      <c r="N487" s="235"/>
      <c r="O487" s="235"/>
      <c r="P487" s="235"/>
      <c r="Q487" s="235"/>
      <c r="R487" s="235"/>
      <c r="S487" s="235"/>
      <c r="T487" s="235"/>
      <c r="U487" s="235"/>
      <c r="V487" s="235"/>
      <c r="W487" s="235"/>
    </row>
    <row r="488" spans="2:23" s="258" customFormat="1">
      <c r="B488" s="278" t="s">
        <v>304</v>
      </c>
      <c r="C488" s="235"/>
      <c r="D488" s="235"/>
      <c r="E488" s="279">
        <v>949297</v>
      </c>
      <c r="F488" s="357"/>
      <c r="G488" s="279"/>
      <c r="K488" s="235"/>
      <c r="L488" s="235"/>
      <c r="M488" s="235"/>
      <c r="N488" s="235"/>
      <c r="O488" s="235"/>
      <c r="P488" s="235"/>
      <c r="Q488" s="235"/>
      <c r="R488" s="235"/>
      <c r="S488" s="235"/>
      <c r="T488" s="235"/>
      <c r="U488" s="235"/>
      <c r="V488" s="235"/>
      <c r="W488" s="235"/>
    </row>
    <row r="489" spans="2:23" s="258" customFormat="1">
      <c r="B489" s="358"/>
      <c r="C489" s="235"/>
      <c r="D489" s="235"/>
      <c r="E489" s="357"/>
      <c r="F489" s="357"/>
      <c r="G489" s="357"/>
      <c r="K489" s="235"/>
      <c r="L489" s="235"/>
      <c r="M489" s="235"/>
      <c r="N489" s="235"/>
      <c r="O489" s="235"/>
      <c r="P489" s="235"/>
      <c r="Q489" s="235"/>
      <c r="R489" s="235"/>
      <c r="S489" s="235"/>
      <c r="T489" s="235"/>
      <c r="U489" s="235"/>
      <c r="V489" s="235"/>
      <c r="W489" s="235"/>
    </row>
    <row r="490" spans="2:23" s="258" customFormat="1">
      <c r="B490" s="278" t="s">
        <v>303</v>
      </c>
      <c r="C490" s="235"/>
      <c r="D490" s="235"/>
      <c r="E490" s="357"/>
      <c r="F490" s="357"/>
      <c r="G490" s="357"/>
      <c r="K490" s="235"/>
      <c r="L490" s="235"/>
      <c r="M490" s="235"/>
      <c r="N490" s="235"/>
      <c r="O490" s="235"/>
      <c r="P490" s="235"/>
      <c r="Q490" s="235"/>
      <c r="R490" s="235"/>
      <c r="S490" s="235"/>
      <c r="T490" s="235"/>
      <c r="U490" s="235"/>
      <c r="V490" s="235"/>
      <c r="W490" s="235"/>
    </row>
    <row r="491" spans="2:23" s="258" customFormat="1">
      <c r="B491" s="278" t="s">
        <v>304</v>
      </c>
      <c r="C491" s="235"/>
      <c r="D491" s="235"/>
      <c r="E491" s="279">
        <v>949297</v>
      </c>
      <c r="F491" s="357"/>
      <c r="G491" s="279"/>
      <c r="K491" s="235"/>
      <c r="L491" s="235"/>
      <c r="M491" s="235"/>
      <c r="N491" s="235"/>
      <c r="O491" s="235"/>
      <c r="P491" s="235"/>
      <c r="Q491" s="235"/>
      <c r="R491" s="235"/>
      <c r="S491" s="235"/>
      <c r="T491" s="235"/>
      <c r="U491" s="235"/>
      <c r="V491" s="235"/>
      <c r="W491" s="235"/>
    </row>
    <row r="492" spans="2:23" s="258" customFormat="1">
      <c r="B492" s="358"/>
      <c r="C492" s="235"/>
      <c r="D492" s="235"/>
      <c r="E492" s="357"/>
      <c r="F492" s="357"/>
      <c r="G492" s="357"/>
      <c r="K492" s="235"/>
      <c r="L492" s="235"/>
      <c r="M492" s="235"/>
      <c r="N492" s="235"/>
      <c r="O492" s="235"/>
      <c r="P492" s="235"/>
      <c r="Q492" s="235"/>
      <c r="R492" s="235"/>
      <c r="S492" s="235"/>
      <c r="T492" s="235"/>
      <c r="U492" s="235"/>
      <c r="V492" s="235"/>
      <c r="W492" s="235"/>
    </row>
    <row r="493" spans="2:23" s="258" customFormat="1">
      <c r="B493" s="278" t="s">
        <v>303</v>
      </c>
      <c r="C493" s="235"/>
      <c r="D493" s="235"/>
      <c r="E493" s="357"/>
      <c r="F493" s="357"/>
      <c r="G493" s="357"/>
      <c r="K493" s="235"/>
      <c r="L493" s="235"/>
      <c r="M493" s="235"/>
      <c r="N493" s="235"/>
      <c r="O493" s="235"/>
      <c r="P493" s="235"/>
      <c r="Q493" s="235"/>
      <c r="R493" s="235"/>
      <c r="S493" s="235"/>
      <c r="T493" s="235"/>
      <c r="U493" s="235"/>
      <c r="V493" s="235"/>
      <c r="W493" s="235"/>
    </row>
    <row r="494" spans="2:23" s="258" customFormat="1">
      <c r="B494" s="278" t="s">
        <v>304</v>
      </c>
      <c r="C494" s="235"/>
      <c r="D494" s="235"/>
      <c r="E494" s="279">
        <v>949297</v>
      </c>
      <c r="F494" s="357"/>
      <c r="G494" s="279"/>
      <c r="K494" s="235"/>
      <c r="L494" s="235"/>
      <c r="M494" s="235"/>
      <c r="N494" s="235"/>
      <c r="O494" s="235"/>
      <c r="P494" s="235"/>
      <c r="Q494" s="235"/>
      <c r="R494" s="235"/>
      <c r="S494" s="235"/>
      <c r="T494" s="235"/>
      <c r="U494" s="235"/>
      <c r="V494" s="235"/>
      <c r="W494" s="235"/>
    </row>
    <row r="495" spans="2:23" s="258" customFormat="1">
      <c r="B495" s="358"/>
      <c r="C495" s="235"/>
      <c r="D495" s="235"/>
      <c r="E495" s="357"/>
      <c r="F495" s="357"/>
      <c r="G495" s="357"/>
      <c r="K495" s="235"/>
      <c r="L495" s="235"/>
      <c r="M495" s="235"/>
      <c r="N495" s="235"/>
      <c r="O495" s="235"/>
      <c r="P495" s="235"/>
      <c r="Q495" s="235"/>
      <c r="R495" s="235"/>
      <c r="S495" s="235"/>
      <c r="T495" s="235"/>
      <c r="U495" s="235"/>
      <c r="V495" s="235"/>
      <c r="W495" s="235"/>
    </row>
    <row r="496" spans="2:23" s="93" customFormat="1" ht="15.75" thickBot="1">
      <c r="B496" s="175"/>
      <c r="C496" s="91"/>
      <c r="D496" s="91"/>
      <c r="E496" s="176">
        <f>SUM(E476:E479)</f>
        <v>949297</v>
      </c>
      <c r="F496" s="174"/>
      <c r="G496" s="176">
        <f>SUM(G476:G479)</f>
        <v>228328</v>
      </c>
      <c r="K496" s="91"/>
      <c r="L496" s="91"/>
      <c r="M496" s="91"/>
      <c r="N496" s="91"/>
      <c r="O496" s="91"/>
      <c r="P496" s="91"/>
      <c r="Q496" s="91"/>
      <c r="R496" s="91"/>
      <c r="S496" s="91"/>
      <c r="T496" s="91"/>
      <c r="U496" s="91"/>
      <c r="V496" s="91"/>
      <c r="W496" s="91"/>
    </row>
    <row r="497" spans="1:23" s="93" customFormat="1" ht="15.75" thickTop="1">
      <c r="B497" s="359" t="s">
        <v>542</v>
      </c>
      <c r="C497" s="360"/>
      <c r="D497" s="360"/>
      <c r="E497" s="361"/>
      <c r="F497" s="361"/>
      <c r="G497" s="361"/>
      <c r="K497" s="91"/>
      <c r="L497" s="91"/>
      <c r="M497" s="91"/>
      <c r="N497" s="91"/>
      <c r="O497" s="91"/>
      <c r="P497" s="91"/>
      <c r="Q497" s="91"/>
      <c r="R497" s="91"/>
      <c r="S497" s="91"/>
      <c r="T497" s="91"/>
      <c r="U497" s="91"/>
      <c r="V497" s="91"/>
      <c r="W497" s="91"/>
    </row>
    <row r="498" spans="1:23" s="93" customFormat="1">
      <c r="A498" s="268" t="s">
        <v>306</v>
      </c>
      <c r="B498" s="362"/>
      <c r="C498" s="235"/>
      <c r="D498" s="235"/>
      <c r="E498" s="357"/>
      <c r="F498" s="357"/>
      <c r="G498" s="357"/>
      <c r="K498" s="91"/>
      <c r="L498" s="91"/>
      <c r="M498" s="91"/>
      <c r="N498" s="91"/>
      <c r="O498" s="91"/>
      <c r="P498" s="91"/>
      <c r="Q498" s="91"/>
      <c r="R498" s="91"/>
      <c r="S498" s="91"/>
      <c r="T498" s="91"/>
      <c r="U498" s="91"/>
      <c r="V498" s="91"/>
      <c r="W498" s="91"/>
    </row>
    <row r="499" spans="1:23" s="93" customFormat="1">
      <c r="A499" s="362"/>
      <c r="B499" s="362"/>
      <c r="C499" s="235"/>
      <c r="D499" s="235"/>
      <c r="E499" s="357"/>
      <c r="F499" s="357"/>
      <c r="G499" s="357"/>
      <c r="K499" s="91"/>
      <c r="L499" s="91"/>
      <c r="M499" s="91"/>
      <c r="N499" s="91"/>
      <c r="O499" s="91"/>
      <c r="P499" s="91"/>
      <c r="Q499" s="91"/>
      <c r="R499" s="91"/>
      <c r="S499" s="91"/>
      <c r="T499" s="91"/>
      <c r="U499" s="91"/>
      <c r="V499" s="91"/>
      <c r="W499" s="91"/>
    </row>
    <row r="500" spans="1:23" s="93" customFormat="1">
      <c r="A500" s="268" t="s">
        <v>367</v>
      </c>
      <c r="C500" s="91"/>
      <c r="D500" s="91"/>
      <c r="E500" s="91"/>
      <c r="F500" s="91"/>
      <c r="G500" s="91"/>
      <c r="H500" s="91"/>
      <c r="I500" s="91"/>
      <c r="J500" s="91"/>
      <c r="K500" s="91"/>
      <c r="L500" s="91"/>
      <c r="M500" s="91"/>
      <c r="N500" s="91"/>
      <c r="O500" s="91"/>
      <c r="P500" s="91"/>
      <c r="Q500" s="91"/>
      <c r="R500" s="91"/>
      <c r="S500" s="91"/>
      <c r="T500" s="91"/>
      <c r="U500" s="91"/>
      <c r="V500" s="91"/>
      <c r="W500" s="91"/>
    </row>
    <row r="501" spans="1:23" s="262" customFormat="1" hidden="1">
      <c r="A501" s="236"/>
      <c r="B501" s="236"/>
      <c r="C501" s="236"/>
      <c r="D501" s="236"/>
      <c r="E501" s="236"/>
      <c r="F501" s="236"/>
      <c r="G501" s="236"/>
      <c r="H501" s="236"/>
      <c r="I501" s="236"/>
      <c r="J501" s="236"/>
      <c r="K501" s="236"/>
      <c r="L501" s="236"/>
      <c r="M501" s="236"/>
      <c r="N501" s="236"/>
      <c r="O501" s="236"/>
      <c r="P501" s="236"/>
      <c r="Q501" s="236"/>
      <c r="R501" s="236"/>
      <c r="S501" s="236"/>
      <c r="T501" s="236"/>
      <c r="U501" s="236"/>
      <c r="V501" s="236"/>
      <c r="W501" s="236"/>
    </row>
    <row r="502" spans="1:23" s="262" customFormat="1" hidden="1">
      <c r="A502" s="236"/>
      <c r="B502" s="236"/>
      <c r="C502" s="236"/>
      <c r="D502" s="236"/>
      <c r="E502" s="236"/>
      <c r="F502" s="236"/>
      <c r="G502" s="236"/>
      <c r="H502" s="236"/>
      <c r="I502" s="236"/>
      <c r="J502" s="236"/>
      <c r="K502" s="236"/>
      <c r="L502" s="236"/>
      <c r="M502" s="236"/>
      <c r="N502" s="236"/>
      <c r="O502" s="236"/>
      <c r="P502" s="236"/>
      <c r="Q502" s="236"/>
      <c r="R502" s="236"/>
      <c r="S502" s="236"/>
      <c r="T502" s="236"/>
      <c r="U502" s="236"/>
      <c r="V502" s="236"/>
      <c r="W502" s="236"/>
    </row>
    <row r="503" spans="1:23" s="262" customFormat="1" hidden="1">
      <c r="A503" s="236"/>
      <c r="B503" s="236"/>
      <c r="C503" s="236"/>
      <c r="D503" s="236"/>
      <c r="E503" s="236"/>
      <c r="F503" s="236"/>
      <c r="G503" s="236"/>
      <c r="H503" s="236"/>
      <c r="I503" s="236"/>
      <c r="J503" s="236"/>
      <c r="K503" s="236"/>
      <c r="L503" s="236"/>
      <c r="M503" s="236"/>
      <c r="N503" s="236"/>
      <c r="O503" s="236"/>
      <c r="P503" s="236"/>
      <c r="Q503" s="236"/>
      <c r="R503" s="236"/>
      <c r="S503" s="236"/>
      <c r="T503" s="236"/>
      <c r="U503" s="236"/>
      <c r="V503" s="236"/>
      <c r="W503" s="236"/>
    </row>
    <row r="504" spans="1:23" s="262" customFormat="1" hidden="1">
      <c r="A504" s="236"/>
      <c r="B504" s="236"/>
      <c r="C504" s="236"/>
      <c r="D504" s="236"/>
      <c r="E504" s="236"/>
      <c r="F504" s="236"/>
      <c r="G504" s="236"/>
      <c r="H504" s="236"/>
      <c r="I504" s="236"/>
      <c r="J504" s="236"/>
      <c r="K504" s="236"/>
      <c r="L504" s="236"/>
      <c r="M504" s="236"/>
      <c r="N504" s="236"/>
      <c r="O504" s="236"/>
      <c r="P504" s="236"/>
      <c r="Q504" s="236"/>
      <c r="R504" s="236"/>
      <c r="S504" s="236"/>
      <c r="T504" s="236"/>
      <c r="U504" s="236"/>
      <c r="V504" s="236"/>
      <c r="W504" s="236"/>
    </row>
    <row r="505" spans="1:23" s="262" customFormat="1" hidden="1">
      <c r="A505" s="236"/>
      <c r="B505" s="236"/>
      <c r="C505" s="236"/>
      <c r="D505" s="236"/>
      <c r="E505" s="236"/>
      <c r="F505" s="236"/>
      <c r="G505" s="236"/>
      <c r="H505" s="236"/>
      <c r="I505" s="236"/>
      <c r="J505" s="236"/>
      <c r="K505" s="236"/>
      <c r="L505" s="236"/>
      <c r="M505" s="236"/>
      <c r="N505" s="236"/>
      <c r="O505" s="236"/>
      <c r="P505" s="236"/>
      <c r="Q505" s="236"/>
      <c r="R505" s="236"/>
      <c r="S505" s="236"/>
      <c r="T505" s="236"/>
      <c r="U505" s="236"/>
      <c r="V505" s="236"/>
      <c r="W505" s="236"/>
    </row>
    <row r="506" spans="1:23" s="262" customFormat="1" hidden="1">
      <c r="A506" s="236"/>
      <c r="B506" s="236"/>
      <c r="C506" s="236"/>
      <c r="D506" s="236"/>
      <c r="E506" s="236"/>
      <c r="F506" s="236"/>
      <c r="G506" s="236"/>
      <c r="H506" s="236"/>
      <c r="I506" s="236"/>
      <c r="J506" s="236"/>
      <c r="K506" s="236"/>
      <c r="L506" s="236"/>
      <c r="M506" s="236"/>
      <c r="N506" s="236"/>
      <c r="O506" s="236"/>
      <c r="P506" s="236"/>
      <c r="Q506" s="236"/>
      <c r="R506" s="236"/>
      <c r="S506" s="236"/>
      <c r="T506" s="236"/>
      <c r="U506" s="236"/>
      <c r="V506" s="236"/>
      <c r="W506" s="236"/>
    </row>
    <row r="507" spans="1:23" s="262" customFormat="1" hidden="1">
      <c r="A507" s="236"/>
      <c r="B507" s="236"/>
      <c r="C507" s="236"/>
      <c r="D507" s="236"/>
      <c r="E507" s="236"/>
      <c r="F507" s="236"/>
      <c r="G507" s="236"/>
      <c r="H507" s="236"/>
      <c r="I507" s="236"/>
      <c r="J507" s="236"/>
      <c r="K507" s="236"/>
      <c r="L507" s="236"/>
      <c r="M507" s="236"/>
      <c r="N507" s="236"/>
      <c r="O507" s="236"/>
      <c r="P507" s="236"/>
      <c r="Q507" s="236"/>
      <c r="R507" s="236"/>
      <c r="S507" s="236"/>
      <c r="T507" s="236"/>
      <c r="U507" s="236"/>
      <c r="V507" s="236"/>
      <c r="W507" s="236"/>
    </row>
    <row r="508" spans="1:23" s="262" customFormat="1" hidden="1">
      <c r="A508" s="236"/>
      <c r="B508" s="236"/>
      <c r="C508" s="236"/>
      <c r="D508" s="236"/>
      <c r="E508" s="236"/>
      <c r="F508" s="236"/>
      <c r="G508" s="236"/>
      <c r="H508" s="236"/>
      <c r="I508" s="236"/>
      <c r="J508" s="236"/>
      <c r="K508" s="236"/>
      <c r="L508" s="236"/>
      <c r="M508" s="236"/>
      <c r="N508" s="236"/>
      <c r="O508" s="236"/>
      <c r="P508" s="236"/>
      <c r="Q508" s="236"/>
      <c r="R508" s="236"/>
      <c r="S508" s="236"/>
      <c r="T508" s="236"/>
      <c r="U508" s="236"/>
      <c r="V508" s="236"/>
      <c r="W508" s="236"/>
    </row>
    <row r="509" spans="1:23" s="262" customFormat="1" hidden="1">
      <c r="A509" s="236"/>
      <c r="B509" s="236"/>
      <c r="C509" s="236"/>
      <c r="D509" s="236"/>
      <c r="E509" s="236"/>
      <c r="F509" s="236"/>
      <c r="G509" s="236"/>
      <c r="H509" s="236"/>
      <c r="I509" s="236"/>
      <c r="J509" s="236"/>
      <c r="K509" s="236"/>
      <c r="L509" s="236"/>
      <c r="M509" s="236"/>
      <c r="N509" s="236"/>
      <c r="O509" s="236"/>
      <c r="P509" s="236"/>
      <c r="Q509" s="236"/>
      <c r="R509" s="236"/>
      <c r="S509" s="236"/>
      <c r="T509" s="236"/>
      <c r="U509" s="236"/>
      <c r="V509" s="236"/>
      <c r="W509" s="236"/>
    </row>
    <row r="510" spans="1:23" s="262" customFormat="1" hidden="1">
      <c r="A510" s="236"/>
      <c r="B510" s="236"/>
      <c r="C510" s="236"/>
      <c r="D510" s="236"/>
      <c r="E510" s="236"/>
      <c r="F510" s="236"/>
      <c r="G510" s="236"/>
      <c r="H510" s="236"/>
      <c r="I510" s="236"/>
      <c r="J510" s="236"/>
      <c r="K510" s="236"/>
      <c r="L510" s="236"/>
      <c r="M510" s="236"/>
      <c r="N510" s="236"/>
      <c r="O510" s="236"/>
      <c r="P510" s="236"/>
      <c r="Q510" s="236"/>
      <c r="R510" s="236"/>
      <c r="S510" s="236"/>
      <c r="T510" s="236"/>
      <c r="U510" s="236"/>
      <c r="V510" s="236"/>
      <c r="W510" s="236"/>
    </row>
    <row r="511" spans="1:23" s="262" customFormat="1" hidden="1">
      <c r="A511" s="236"/>
      <c r="B511" s="236"/>
      <c r="C511" s="236"/>
      <c r="D511" s="236"/>
      <c r="E511" s="236"/>
      <c r="F511" s="236"/>
      <c r="G511" s="236"/>
      <c r="H511" s="236"/>
      <c r="I511" s="236"/>
      <c r="J511" s="236"/>
      <c r="K511" s="236"/>
      <c r="L511" s="236"/>
      <c r="M511" s="236"/>
      <c r="N511" s="236"/>
      <c r="O511" s="236"/>
      <c r="P511" s="236"/>
      <c r="Q511" s="236"/>
      <c r="R511" s="236"/>
      <c r="S511" s="236"/>
      <c r="T511" s="236"/>
      <c r="U511" s="236"/>
      <c r="V511" s="236"/>
      <c r="W511" s="236"/>
    </row>
    <row r="512" spans="1:23" s="262" customFormat="1" hidden="1">
      <c r="A512" s="236"/>
      <c r="B512" s="236"/>
      <c r="C512" s="236"/>
      <c r="D512" s="236"/>
      <c r="E512" s="236"/>
      <c r="F512" s="236"/>
      <c r="G512" s="236"/>
      <c r="H512" s="236"/>
      <c r="I512" s="236"/>
      <c r="J512" s="236"/>
      <c r="K512" s="236"/>
      <c r="L512" s="236"/>
      <c r="M512" s="236"/>
      <c r="N512" s="236"/>
      <c r="O512" s="236"/>
      <c r="P512" s="236"/>
      <c r="Q512" s="236"/>
      <c r="R512" s="236"/>
      <c r="S512" s="236"/>
      <c r="T512" s="236"/>
      <c r="U512" s="236"/>
      <c r="V512" s="236"/>
      <c r="W512" s="236"/>
    </row>
    <row r="513" spans="1:23" s="262" customFormat="1" hidden="1">
      <c r="A513" s="236"/>
      <c r="B513" s="236"/>
      <c r="C513" s="236"/>
      <c r="D513" s="236"/>
      <c r="E513" s="236"/>
      <c r="F513" s="236"/>
      <c r="G513" s="236"/>
      <c r="H513" s="236"/>
      <c r="I513" s="236"/>
      <c r="J513" s="236"/>
      <c r="K513" s="236"/>
      <c r="L513" s="236"/>
      <c r="M513" s="236"/>
      <c r="N513" s="236"/>
      <c r="O513" s="236"/>
      <c r="P513" s="236"/>
      <c r="Q513" s="236"/>
      <c r="R513" s="236"/>
      <c r="S513" s="236"/>
      <c r="T513" s="236"/>
      <c r="U513" s="236"/>
      <c r="V513" s="236"/>
      <c r="W513" s="236"/>
    </row>
    <row r="514" spans="1:23" s="262" customFormat="1" hidden="1">
      <c r="A514" s="236"/>
      <c r="B514" s="236"/>
      <c r="C514" s="236"/>
      <c r="D514" s="236"/>
      <c r="E514" s="236"/>
      <c r="F514" s="236"/>
      <c r="G514" s="236"/>
      <c r="H514" s="236"/>
      <c r="I514" s="236"/>
      <c r="J514" s="236"/>
      <c r="K514" s="236"/>
      <c r="L514" s="236"/>
      <c r="M514" s="236"/>
      <c r="N514" s="236"/>
      <c r="O514" s="236"/>
      <c r="P514" s="236"/>
      <c r="Q514" s="236"/>
      <c r="R514" s="236"/>
      <c r="S514" s="236"/>
      <c r="T514" s="236"/>
      <c r="U514" s="236"/>
      <c r="V514" s="236"/>
      <c r="W514" s="236"/>
    </row>
    <row r="515" spans="1:23" s="262" customFormat="1" hidden="1">
      <c r="A515" s="236"/>
      <c r="B515" s="236"/>
      <c r="C515" s="236"/>
      <c r="D515" s="236"/>
      <c r="E515" s="236"/>
      <c r="F515" s="236"/>
      <c r="G515" s="236"/>
      <c r="H515" s="236"/>
      <c r="I515" s="236"/>
      <c r="J515" s="236"/>
      <c r="K515" s="236"/>
      <c r="L515" s="236"/>
      <c r="M515" s="236"/>
      <c r="N515" s="236"/>
      <c r="O515" s="236"/>
      <c r="P515" s="236"/>
      <c r="Q515" s="236"/>
      <c r="R515" s="236"/>
      <c r="S515" s="236"/>
      <c r="T515" s="236"/>
      <c r="U515" s="236"/>
      <c r="V515" s="236"/>
      <c r="W515" s="236"/>
    </row>
    <row r="516" spans="1:23" s="262" customFormat="1" hidden="1">
      <c r="A516" s="236"/>
      <c r="B516" s="236"/>
      <c r="C516" s="236"/>
      <c r="D516" s="236"/>
      <c r="E516" s="236"/>
      <c r="F516" s="236"/>
      <c r="G516" s="236"/>
      <c r="H516" s="236"/>
      <c r="I516" s="236"/>
      <c r="J516" s="236"/>
      <c r="K516" s="236"/>
      <c r="L516" s="236"/>
      <c r="M516" s="236"/>
      <c r="N516" s="236"/>
      <c r="O516" s="236"/>
      <c r="P516" s="236"/>
      <c r="Q516" s="236"/>
      <c r="R516" s="236"/>
      <c r="S516" s="236"/>
      <c r="T516" s="236"/>
      <c r="U516" s="236"/>
      <c r="V516" s="236"/>
      <c r="W516" s="236"/>
    </row>
    <row r="517" spans="1:23" s="262" customFormat="1" hidden="1">
      <c r="A517" s="236"/>
      <c r="B517" s="236"/>
      <c r="C517" s="236"/>
      <c r="D517" s="236"/>
      <c r="E517" s="236"/>
      <c r="F517" s="236"/>
      <c r="G517" s="236"/>
      <c r="H517" s="236"/>
      <c r="I517" s="236"/>
      <c r="J517" s="236"/>
      <c r="K517" s="236"/>
      <c r="L517" s="236"/>
      <c r="M517" s="236"/>
      <c r="N517" s="236"/>
      <c r="O517" s="236"/>
      <c r="P517" s="236"/>
      <c r="Q517" s="236"/>
      <c r="R517" s="236"/>
      <c r="S517" s="236"/>
      <c r="T517" s="236"/>
      <c r="U517" s="236"/>
      <c r="V517" s="236"/>
      <c r="W517" s="236"/>
    </row>
    <row r="518" spans="1:23" s="262" customFormat="1" hidden="1">
      <c r="A518" s="236"/>
      <c r="B518" s="236"/>
      <c r="C518" s="236"/>
      <c r="D518" s="236"/>
      <c r="E518" s="236"/>
      <c r="F518" s="236"/>
      <c r="G518" s="236"/>
      <c r="H518" s="236"/>
      <c r="I518" s="236"/>
      <c r="J518" s="236"/>
      <c r="K518" s="236"/>
      <c r="L518" s="236"/>
      <c r="M518" s="236"/>
      <c r="N518" s="236"/>
      <c r="O518" s="236"/>
      <c r="P518" s="236"/>
      <c r="Q518" s="236"/>
      <c r="R518" s="236"/>
      <c r="S518" s="236"/>
      <c r="T518" s="236"/>
      <c r="U518" s="236"/>
      <c r="V518" s="236"/>
      <c r="W518" s="236"/>
    </row>
    <row r="519" spans="1:23" s="262" customFormat="1" hidden="1">
      <c r="A519" s="236"/>
      <c r="B519" s="236"/>
      <c r="C519" s="236"/>
      <c r="D519" s="236"/>
      <c r="E519" s="236"/>
      <c r="F519" s="236"/>
      <c r="G519" s="236"/>
      <c r="H519" s="236"/>
      <c r="I519" s="236"/>
      <c r="J519" s="236"/>
      <c r="K519" s="236"/>
      <c r="L519" s="236"/>
      <c r="M519" s="236"/>
      <c r="N519" s="236"/>
      <c r="O519" s="236"/>
      <c r="P519" s="236"/>
      <c r="Q519" s="236"/>
      <c r="R519" s="236"/>
      <c r="S519" s="236"/>
      <c r="T519" s="236"/>
      <c r="U519" s="236"/>
      <c r="V519" s="236"/>
      <c r="W519" s="236"/>
    </row>
    <row r="520" spans="1:23" s="262" customFormat="1" hidden="1">
      <c r="A520" s="236"/>
      <c r="B520" s="236"/>
      <c r="C520" s="236"/>
      <c r="D520" s="236"/>
      <c r="E520" s="236"/>
      <c r="F520" s="236"/>
      <c r="G520" s="236"/>
      <c r="H520" s="236"/>
      <c r="I520" s="236"/>
      <c r="J520" s="236"/>
      <c r="K520" s="236"/>
      <c r="L520" s="236"/>
      <c r="M520" s="236"/>
      <c r="N520" s="236"/>
      <c r="O520" s="236"/>
      <c r="P520" s="236"/>
      <c r="Q520" s="236"/>
      <c r="R520" s="236"/>
      <c r="S520" s="236"/>
      <c r="T520" s="236"/>
      <c r="U520" s="236"/>
      <c r="V520" s="236"/>
      <c r="W520" s="236"/>
    </row>
    <row r="521" spans="1:23" s="262" customFormat="1" hidden="1">
      <c r="A521" s="236"/>
      <c r="B521" s="236"/>
      <c r="C521" s="236"/>
      <c r="D521" s="236"/>
      <c r="E521" s="236"/>
      <c r="F521" s="236"/>
      <c r="G521" s="236"/>
      <c r="H521" s="236"/>
      <c r="I521" s="236"/>
      <c r="J521" s="236"/>
      <c r="K521" s="236"/>
      <c r="L521" s="236"/>
      <c r="M521" s="236"/>
      <c r="N521" s="236"/>
      <c r="O521" s="236"/>
      <c r="P521" s="236"/>
      <c r="Q521" s="236"/>
      <c r="R521" s="236"/>
      <c r="S521" s="236"/>
      <c r="T521" s="236"/>
      <c r="U521" s="236"/>
      <c r="V521" s="236"/>
      <c r="W521" s="236"/>
    </row>
    <row r="522" spans="1:23" s="262" customFormat="1" hidden="1">
      <c r="A522" s="236"/>
      <c r="B522" s="236"/>
      <c r="C522" s="236"/>
      <c r="D522" s="236"/>
      <c r="E522" s="236"/>
      <c r="F522" s="236"/>
      <c r="G522" s="236"/>
      <c r="H522" s="236"/>
      <c r="I522" s="236"/>
      <c r="J522" s="236"/>
      <c r="K522" s="236"/>
      <c r="L522" s="236"/>
      <c r="M522" s="236"/>
      <c r="N522" s="236"/>
      <c r="O522" s="236"/>
      <c r="P522" s="236"/>
      <c r="Q522" s="236"/>
      <c r="R522" s="236"/>
      <c r="S522" s="236"/>
      <c r="T522" s="236"/>
      <c r="U522" s="236"/>
      <c r="V522" s="236"/>
      <c r="W522" s="236"/>
    </row>
    <row r="523" spans="1:23" s="262" customFormat="1" hidden="1">
      <c r="A523" s="236"/>
      <c r="B523" s="236"/>
      <c r="C523" s="236"/>
      <c r="D523" s="236"/>
      <c r="E523" s="236"/>
      <c r="F523" s="236"/>
      <c r="G523" s="236"/>
      <c r="H523" s="236"/>
      <c r="I523" s="236"/>
      <c r="J523" s="236"/>
      <c r="K523" s="236"/>
      <c r="L523" s="236"/>
      <c r="M523" s="236"/>
      <c r="N523" s="236"/>
      <c r="O523" s="236"/>
      <c r="P523" s="236"/>
      <c r="Q523" s="236"/>
      <c r="R523" s="236"/>
      <c r="S523" s="236"/>
      <c r="T523" s="236"/>
      <c r="U523" s="236"/>
      <c r="V523" s="236"/>
      <c r="W523" s="236"/>
    </row>
    <row r="524" spans="1:23" s="262" customFormat="1" hidden="1">
      <c r="A524" s="236"/>
      <c r="B524" s="236"/>
      <c r="C524" s="236"/>
      <c r="D524" s="236"/>
      <c r="E524" s="236"/>
      <c r="F524" s="236"/>
      <c r="G524" s="236"/>
      <c r="H524" s="236"/>
      <c r="I524" s="236"/>
      <c r="J524" s="236"/>
      <c r="K524" s="236"/>
      <c r="L524" s="236"/>
      <c r="M524" s="236"/>
      <c r="N524" s="236"/>
      <c r="O524" s="236"/>
      <c r="P524" s="236"/>
      <c r="Q524" s="236"/>
      <c r="R524" s="236"/>
      <c r="S524" s="236"/>
      <c r="T524" s="236"/>
      <c r="U524" s="236"/>
      <c r="V524" s="236"/>
      <c r="W524" s="236"/>
    </row>
    <row r="525" spans="1:23" s="262" customFormat="1" hidden="1">
      <c r="A525" s="236"/>
      <c r="B525" s="236"/>
      <c r="C525" s="236"/>
      <c r="D525" s="236"/>
      <c r="E525" s="236"/>
      <c r="F525" s="236"/>
      <c r="G525" s="236"/>
      <c r="H525" s="236"/>
      <c r="I525" s="236"/>
      <c r="J525" s="236"/>
      <c r="K525" s="236"/>
      <c r="L525" s="236"/>
      <c r="M525" s="236"/>
      <c r="N525" s="236"/>
      <c r="O525" s="236"/>
      <c r="P525" s="236"/>
      <c r="Q525" s="236"/>
      <c r="R525" s="236"/>
      <c r="S525" s="236"/>
      <c r="T525" s="236"/>
      <c r="U525" s="236"/>
      <c r="V525" s="236"/>
      <c r="W525" s="236"/>
    </row>
    <row r="526" spans="1:23" s="262" customFormat="1">
      <c r="A526" s="236"/>
      <c r="B526" s="236"/>
      <c r="C526" s="236"/>
      <c r="D526" s="236"/>
      <c r="E526" s="236"/>
      <c r="F526" s="236"/>
      <c r="G526" s="236"/>
      <c r="H526" s="236"/>
      <c r="I526" s="236"/>
      <c r="J526" s="236"/>
      <c r="K526" s="236"/>
      <c r="L526" s="236"/>
      <c r="M526" s="236"/>
      <c r="N526" s="236"/>
      <c r="O526" s="236"/>
      <c r="P526" s="236"/>
      <c r="Q526" s="236"/>
      <c r="R526" s="236"/>
      <c r="S526" s="236"/>
      <c r="T526" s="236"/>
      <c r="U526" s="236"/>
      <c r="V526" s="236"/>
      <c r="W526" s="236"/>
    </row>
    <row r="527" spans="1:23" s="93" customFormat="1">
      <c r="A527" s="170" t="s">
        <v>363</v>
      </c>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row>
    <row r="528" spans="1:23" s="93" customFormat="1">
      <c r="A528" s="170"/>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row>
    <row r="529" spans="1:23" s="93" customFormat="1">
      <c r="B529" s="178" t="s">
        <v>364</v>
      </c>
      <c r="C529" s="155"/>
      <c r="D529" s="155"/>
      <c r="E529" s="155"/>
      <c r="F529" s="155"/>
      <c r="G529" s="155"/>
      <c r="H529" s="155"/>
      <c r="I529" s="155"/>
      <c r="J529" s="155"/>
      <c r="K529" s="155"/>
      <c r="L529" s="155"/>
      <c r="M529" s="155"/>
      <c r="N529" s="155"/>
      <c r="O529" s="155"/>
      <c r="P529" s="155"/>
      <c r="Q529" s="155"/>
      <c r="R529" s="155"/>
      <c r="S529" s="155"/>
      <c r="T529" s="155"/>
      <c r="U529" s="155"/>
      <c r="V529" s="155"/>
      <c r="W529" s="155"/>
    </row>
    <row r="530" spans="1:23" s="93" customFormat="1">
      <c r="B530" s="178"/>
      <c r="C530" s="155"/>
      <c r="D530" s="155"/>
      <c r="E530" s="155"/>
      <c r="F530" s="155"/>
      <c r="G530" s="155"/>
      <c r="H530" s="155"/>
      <c r="I530" s="155"/>
      <c r="J530" s="155"/>
      <c r="K530" s="155"/>
      <c r="L530" s="155"/>
      <c r="M530" s="155"/>
      <c r="N530" s="155"/>
      <c r="O530" s="155"/>
      <c r="P530" s="155"/>
      <c r="Q530" s="155"/>
      <c r="R530" s="155"/>
      <c r="S530" s="155"/>
      <c r="T530" s="155"/>
      <c r="U530" s="155"/>
      <c r="V530" s="155"/>
      <c r="W530" s="155"/>
    </row>
    <row r="531" spans="1:23" s="93" customFormat="1">
      <c r="B531" s="155"/>
      <c r="C531" s="155"/>
      <c r="D531" s="155"/>
      <c r="E531" s="171" t="s">
        <v>379</v>
      </c>
      <c r="F531" s="172"/>
      <c r="G531" s="171" t="s">
        <v>380</v>
      </c>
      <c r="H531" s="155"/>
      <c r="I531" s="155"/>
      <c r="J531" s="155"/>
      <c r="K531" s="155"/>
      <c r="L531" s="155"/>
      <c r="M531" s="155"/>
      <c r="N531" s="155"/>
      <c r="O531" s="155"/>
      <c r="P531" s="155"/>
      <c r="Q531" s="155"/>
      <c r="R531" s="155"/>
      <c r="S531" s="155"/>
      <c r="T531" s="155"/>
      <c r="U531" s="155"/>
      <c r="V531" s="155"/>
      <c r="W531" s="155"/>
    </row>
    <row r="532" spans="1:23" s="93" customFormat="1">
      <c r="B532" s="155"/>
      <c r="C532" s="155"/>
      <c r="D532" s="155"/>
      <c r="E532" s="171"/>
      <c r="F532" s="179"/>
      <c r="G532" s="173"/>
      <c r="H532" s="155"/>
      <c r="I532" s="155"/>
      <c r="J532" s="155"/>
      <c r="K532" s="155"/>
      <c r="L532" s="155"/>
      <c r="M532" s="155"/>
      <c r="N532" s="155"/>
      <c r="O532" s="155"/>
      <c r="P532" s="155"/>
      <c r="Q532" s="155"/>
      <c r="R532" s="155"/>
      <c r="S532" s="155"/>
      <c r="T532" s="155"/>
      <c r="U532" s="155"/>
      <c r="V532" s="155"/>
      <c r="W532" s="155"/>
    </row>
    <row r="533" spans="1:23" s="93" customFormat="1">
      <c r="B533" s="155" t="s">
        <v>365</v>
      </c>
      <c r="C533" s="155"/>
      <c r="D533" s="155"/>
      <c r="E533" s="280">
        <v>256851</v>
      </c>
      <c r="F533" s="281"/>
      <c r="G533" s="280">
        <v>187464</v>
      </c>
      <c r="H533" s="155"/>
      <c r="I533" s="155"/>
      <c r="J533" s="155"/>
      <c r="K533" s="155"/>
      <c r="L533" s="155"/>
      <c r="M533" s="155"/>
      <c r="N533" s="155"/>
      <c r="O533" s="155"/>
      <c r="P533" s="155"/>
      <c r="Q533" s="155"/>
      <c r="R533" s="155"/>
      <c r="S533" s="155"/>
      <c r="T533" s="155"/>
      <c r="U533" s="155"/>
      <c r="V533" s="155"/>
      <c r="W533" s="155"/>
    </row>
    <row r="534" spans="1:23" s="93" customFormat="1">
      <c r="B534" s="177" t="s">
        <v>366</v>
      </c>
      <c r="C534" s="155"/>
      <c r="D534" s="155"/>
      <c r="E534" s="280">
        <v>521948</v>
      </c>
      <c r="F534" s="281"/>
      <c r="G534" s="280">
        <v>444644</v>
      </c>
      <c r="H534" s="155"/>
      <c r="I534" s="155"/>
      <c r="J534" s="155"/>
      <c r="K534" s="155"/>
      <c r="L534" s="155"/>
      <c r="M534" s="155"/>
      <c r="N534" s="155"/>
      <c r="O534" s="155"/>
      <c r="P534" s="155"/>
      <c r="Q534" s="155"/>
      <c r="R534" s="155"/>
      <c r="S534" s="155"/>
      <c r="T534" s="155"/>
      <c r="U534" s="155"/>
      <c r="V534" s="155"/>
      <c r="W534" s="155"/>
    </row>
    <row r="535" spans="1:23" s="93" customFormat="1" ht="15.75" thickBot="1">
      <c r="B535" s="177"/>
      <c r="C535" s="155"/>
      <c r="D535" s="155"/>
      <c r="E535" s="181">
        <f>SUM(E533:E534)</f>
        <v>778799</v>
      </c>
      <c r="F535" s="180"/>
      <c r="G535" s="181">
        <f>SUM(G533:G534)</f>
        <v>632108</v>
      </c>
      <c r="H535" s="155"/>
      <c r="I535" s="155"/>
      <c r="J535" s="155"/>
      <c r="K535" s="155"/>
      <c r="L535" s="155"/>
      <c r="M535" s="155"/>
      <c r="N535" s="155"/>
      <c r="O535" s="155"/>
      <c r="P535" s="155"/>
      <c r="Q535" s="155"/>
      <c r="R535" s="155"/>
      <c r="S535" s="155"/>
      <c r="T535" s="155"/>
      <c r="U535" s="155"/>
      <c r="V535" s="155"/>
      <c r="W535" s="155"/>
    </row>
    <row r="536" spans="1:23" s="258" customFormat="1" ht="15.75" thickTop="1">
      <c r="A536" s="362"/>
      <c r="B536" s="263"/>
      <c r="C536" s="263"/>
      <c r="D536" s="263"/>
      <c r="E536" s="263"/>
      <c r="F536" s="263"/>
      <c r="G536" s="263"/>
      <c r="H536" s="263"/>
      <c r="I536" s="263"/>
      <c r="J536" s="263"/>
      <c r="K536" s="263"/>
      <c r="L536" s="263"/>
      <c r="M536" s="263"/>
      <c r="N536" s="263"/>
      <c r="O536" s="263"/>
      <c r="P536" s="263"/>
      <c r="Q536" s="263"/>
      <c r="R536" s="263"/>
      <c r="S536" s="263"/>
      <c r="T536" s="263"/>
      <c r="U536" s="263"/>
      <c r="V536" s="263"/>
      <c r="W536" s="263"/>
    </row>
    <row r="537" spans="1:23" s="258" customFormat="1" hidden="1">
      <c r="A537" s="362"/>
      <c r="B537" s="263"/>
      <c r="C537" s="263"/>
      <c r="D537" s="263"/>
      <c r="E537" s="263"/>
      <c r="F537" s="263"/>
      <c r="G537" s="263"/>
      <c r="H537" s="263"/>
      <c r="I537" s="263"/>
      <c r="J537" s="263"/>
      <c r="K537" s="263"/>
      <c r="L537" s="263"/>
      <c r="M537" s="263"/>
      <c r="N537" s="263"/>
      <c r="O537" s="263"/>
      <c r="P537" s="263"/>
      <c r="Q537" s="263"/>
      <c r="R537" s="263"/>
      <c r="S537" s="263"/>
      <c r="T537" s="263"/>
      <c r="U537" s="263"/>
      <c r="V537" s="263"/>
      <c r="W537" s="263"/>
    </row>
    <row r="538" spans="1:23" s="262" customFormat="1" hidden="1">
      <c r="A538" s="236"/>
      <c r="B538" s="236"/>
      <c r="C538" s="236"/>
      <c r="D538" s="236"/>
      <c r="E538" s="236"/>
      <c r="F538" s="236"/>
      <c r="G538" s="236"/>
      <c r="H538" s="236"/>
      <c r="I538" s="236"/>
      <c r="J538" s="236"/>
      <c r="K538" s="236"/>
      <c r="L538" s="236"/>
      <c r="M538" s="236"/>
      <c r="N538" s="236"/>
      <c r="O538" s="236"/>
      <c r="P538" s="236"/>
      <c r="Q538" s="236"/>
      <c r="R538" s="236"/>
      <c r="S538" s="236"/>
      <c r="T538" s="236"/>
      <c r="U538" s="236"/>
      <c r="V538" s="236"/>
      <c r="W538" s="236"/>
    </row>
    <row r="539" spans="1:23" s="262" customFormat="1" hidden="1">
      <c r="A539" s="236"/>
      <c r="B539" s="236"/>
      <c r="C539" s="236"/>
      <c r="D539" s="236"/>
      <c r="E539" s="236"/>
      <c r="F539" s="236"/>
      <c r="G539" s="236"/>
      <c r="H539" s="236"/>
      <c r="I539" s="236"/>
      <c r="J539" s="236"/>
      <c r="K539" s="236"/>
      <c r="L539" s="236"/>
      <c r="M539" s="236"/>
      <c r="N539" s="236"/>
      <c r="O539" s="236"/>
      <c r="P539" s="236"/>
      <c r="Q539" s="236"/>
      <c r="R539" s="236"/>
      <c r="S539" s="236"/>
      <c r="T539" s="236"/>
      <c r="U539" s="236"/>
      <c r="V539" s="236"/>
      <c r="W539" s="236"/>
    </row>
    <row r="540" spans="1:23" s="262" customFormat="1" hidden="1">
      <c r="A540" s="236"/>
      <c r="B540" s="236"/>
      <c r="C540" s="236"/>
      <c r="D540" s="236"/>
      <c r="E540" s="236"/>
      <c r="F540" s="236"/>
      <c r="G540" s="236"/>
      <c r="H540" s="236"/>
      <c r="I540" s="236"/>
      <c r="J540" s="236"/>
      <c r="K540" s="236"/>
      <c r="L540" s="236"/>
      <c r="M540" s="236"/>
      <c r="N540" s="236"/>
      <c r="O540" s="236"/>
      <c r="P540" s="236"/>
      <c r="Q540" s="236"/>
      <c r="R540" s="236"/>
      <c r="S540" s="236"/>
      <c r="T540" s="236"/>
      <c r="U540" s="236"/>
      <c r="V540" s="236"/>
      <c r="W540" s="236"/>
    </row>
    <row r="541" spans="1:23" s="262" customFormat="1" hidden="1">
      <c r="A541" s="236"/>
      <c r="B541" s="236"/>
      <c r="C541" s="236"/>
      <c r="D541" s="236"/>
      <c r="E541" s="236"/>
      <c r="F541" s="236"/>
      <c r="G541" s="236"/>
      <c r="H541" s="236"/>
      <c r="I541" s="236"/>
      <c r="J541" s="236"/>
      <c r="K541" s="236"/>
      <c r="L541" s="236"/>
      <c r="M541" s="236"/>
      <c r="N541" s="236"/>
      <c r="O541" s="236"/>
      <c r="P541" s="236"/>
      <c r="Q541" s="236"/>
      <c r="R541" s="236"/>
      <c r="S541" s="236"/>
      <c r="T541" s="236"/>
      <c r="U541" s="236"/>
      <c r="V541" s="236"/>
      <c r="W541" s="236"/>
    </row>
    <row r="542" spans="1:23" s="262" customFormat="1" hidden="1">
      <c r="A542" s="236"/>
      <c r="B542" s="236"/>
      <c r="C542" s="236"/>
      <c r="D542" s="236"/>
      <c r="E542" s="236"/>
      <c r="F542" s="236"/>
      <c r="G542" s="236"/>
      <c r="H542" s="236"/>
      <c r="I542" s="236"/>
      <c r="J542" s="236"/>
      <c r="K542" s="236"/>
      <c r="L542" s="236"/>
      <c r="M542" s="236"/>
      <c r="N542" s="236"/>
      <c r="O542" s="236"/>
      <c r="P542" s="236"/>
      <c r="Q542" s="236"/>
      <c r="R542" s="236"/>
      <c r="S542" s="236"/>
      <c r="T542" s="236"/>
      <c r="U542" s="236"/>
      <c r="V542" s="236"/>
      <c r="W542" s="236"/>
    </row>
    <row r="543" spans="1:23" s="262" customFormat="1" hidden="1">
      <c r="A543" s="236"/>
      <c r="B543" s="236"/>
      <c r="C543" s="236"/>
      <c r="D543" s="236"/>
      <c r="E543" s="236"/>
      <c r="F543" s="236"/>
      <c r="G543" s="236"/>
      <c r="H543" s="236"/>
      <c r="I543" s="236"/>
      <c r="J543" s="236"/>
      <c r="K543" s="236"/>
      <c r="L543" s="236"/>
      <c r="M543" s="236"/>
      <c r="N543" s="236"/>
      <c r="O543" s="236"/>
      <c r="P543" s="236"/>
      <c r="Q543" s="236"/>
      <c r="R543" s="236"/>
      <c r="S543" s="236"/>
      <c r="T543" s="236"/>
      <c r="U543" s="236"/>
      <c r="V543" s="236"/>
      <c r="W543" s="236"/>
    </row>
    <row r="544" spans="1:23" s="262" customFormat="1" hidden="1">
      <c r="A544" s="236"/>
      <c r="B544" s="236"/>
      <c r="C544" s="236"/>
      <c r="D544" s="236"/>
      <c r="E544" s="236"/>
      <c r="F544" s="236"/>
      <c r="G544" s="236"/>
      <c r="H544" s="236"/>
      <c r="I544" s="236"/>
      <c r="J544" s="236"/>
      <c r="K544" s="236"/>
      <c r="L544" s="236"/>
      <c r="M544" s="236"/>
      <c r="N544" s="236"/>
      <c r="O544" s="236"/>
      <c r="P544" s="236"/>
      <c r="Q544" s="236"/>
      <c r="R544" s="236"/>
      <c r="S544" s="236"/>
      <c r="T544" s="236"/>
      <c r="U544" s="236"/>
      <c r="V544" s="236"/>
      <c r="W544" s="236"/>
    </row>
    <row r="545" spans="1:23" s="262" customFormat="1" hidden="1">
      <c r="A545" s="236"/>
      <c r="B545" s="236"/>
      <c r="C545" s="236"/>
      <c r="D545" s="236"/>
      <c r="E545" s="236"/>
      <c r="F545" s="236"/>
      <c r="G545" s="236"/>
      <c r="H545" s="236"/>
      <c r="I545" s="236"/>
      <c r="J545" s="236"/>
      <c r="K545" s="236"/>
      <c r="L545" s="236"/>
      <c r="M545" s="236"/>
      <c r="N545" s="236"/>
      <c r="O545" s="236"/>
      <c r="P545" s="236"/>
      <c r="Q545" s="236"/>
      <c r="R545" s="236"/>
      <c r="S545" s="236"/>
      <c r="T545" s="236"/>
      <c r="U545" s="236"/>
      <c r="V545" s="236"/>
      <c r="W545" s="236"/>
    </row>
    <row r="546" spans="1:23" s="262" customFormat="1" hidden="1">
      <c r="A546" s="236"/>
      <c r="B546" s="236"/>
      <c r="C546" s="236"/>
      <c r="D546" s="236"/>
      <c r="E546" s="236"/>
      <c r="F546" s="236"/>
      <c r="G546" s="236"/>
      <c r="H546" s="236"/>
      <c r="I546" s="236"/>
      <c r="J546" s="236"/>
      <c r="K546" s="236"/>
      <c r="L546" s="236"/>
      <c r="M546" s="236"/>
      <c r="N546" s="236"/>
      <c r="O546" s="236"/>
      <c r="P546" s="236"/>
      <c r="Q546" s="236"/>
      <c r="R546" s="236"/>
      <c r="S546" s="236"/>
      <c r="T546" s="236"/>
      <c r="U546" s="236"/>
      <c r="V546" s="236"/>
      <c r="W546" s="236"/>
    </row>
    <row r="547" spans="1:23" s="262" customFormat="1" hidden="1">
      <c r="A547" s="236"/>
      <c r="B547" s="236"/>
      <c r="C547" s="236"/>
      <c r="D547" s="236"/>
      <c r="E547" s="236"/>
      <c r="F547" s="236"/>
      <c r="G547" s="236"/>
      <c r="H547" s="236"/>
      <c r="I547" s="236"/>
      <c r="J547" s="236"/>
      <c r="K547" s="236"/>
      <c r="L547" s="236"/>
      <c r="M547" s="236"/>
      <c r="N547" s="236"/>
      <c r="O547" s="236"/>
      <c r="P547" s="236"/>
      <c r="Q547" s="236"/>
      <c r="R547" s="236"/>
      <c r="S547" s="236"/>
      <c r="T547" s="236"/>
      <c r="U547" s="236"/>
      <c r="V547" s="236"/>
      <c r="W547" s="236"/>
    </row>
    <row r="548" spans="1:23" s="262" customFormat="1" hidden="1">
      <c r="A548" s="236"/>
      <c r="B548" s="236"/>
      <c r="C548" s="236"/>
      <c r="D548" s="236"/>
      <c r="E548" s="236"/>
      <c r="F548" s="236"/>
      <c r="G548" s="236"/>
      <c r="H548" s="236"/>
      <c r="I548" s="236"/>
      <c r="J548" s="236"/>
      <c r="K548" s="236"/>
      <c r="L548" s="236"/>
      <c r="M548" s="236"/>
      <c r="N548" s="236"/>
      <c r="O548" s="236"/>
      <c r="P548" s="236"/>
      <c r="Q548" s="236"/>
      <c r="R548" s="236"/>
      <c r="S548" s="236"/>
      <c r="T548" s="236"/>
      <c r="U548" s="236"/>
      <c r="V548" s="236"/>
      <c r="W548" s="236"/>
    </row>
    <row r="549" spans="1:23" s="262" customFormat="1" hidden="1">
      <c r="A549" s="236"/>
      <c r="B549" s="236"/>
      <c r="C549" s="236"/>
      <c r="D549" s="236"/>
      <c r="E549" s="236"/>
      <c r="F549" s="236"/>
      <c r="G549" s="236"/>
      <c r="H549" s="236"/>
      <c r="I549" s="236"/>
      <c r="J549" s="236"/>
      <c r="K549" s="236"/>
      <c r="L549" s="236"/>
      <c r="M549" s="236"/>
      <c r="N549" s="236"/>
      <c r="O549" s="236"/>
      <c r="P549" s="236"/>
      <c r="Q549" s="236"/>
      <c r="R549" s="236"/>
      <c r="S549" s="236"/>
      <c r="T549" s="236"/>
      <c r="U549" s="236"/>
      <c r="V549" s="236"/>
      <c r="W549" s="236"/>
    </row>
    <row r="550" spans="1:23" s="262" customFormat="1" hidden="1">
      <c r="A550" s="236"/>
      <c r="B550" s="236"/>
      <c r="C550" s="236"/>
      <c r="D550" s="236"/>
      <c r="E550" s="236"/>
      <c r="F550" s="236"/>
      <c r="G550" s="236"/>
      <c r="H550" s="236"/>
      <c r="I550" s="236"/>
      <c r="J550" s="236"/>
      <c r="K550" s="236"/>
      <c r="L550" s="236"/>
      <c r="M550" s="236"/>
      <c r="N550" s="236"/>
      <c r="O550" s="236"/>
      <c r="P550" s="236"/>
      <c r="Q550" s="236"/>
      <c r="R550" s="236"/>
      <c r="S550" s="236"/>
      <c r="T550" s="236"/>
      <c r="U550" s="236"/>
      <c r="V550" s="236"/>
      <c r="W550" s="236"/>
    </row>
    <row r="551" spans="1:23" s="262" customFormat="1" hidden="1">
      <c r="A551" s="236"/>
      <c r="B551" s="236"/>
      <c r="C551" s="236"/>
      <c r="D551" s="236"/>
      <c r="E551" s="236"/>
      <c r="F551" s="236"/>
      <c r="G551" s="236"/>
      <c r="H551" s="236"/>
      <c r="I551" s="236"/>
      <c r="J551" s="236"/>
      <c r="K551" s="236"/>
      <c r="L551" s="236"/>
      <c r="M551" s="236"/>
      <c r="N551" s="236"/>
      <c r="O551" s="236"/>
      <c r="P551" s="236"/>
      <c r="Q551" s="236"/>
      <c r="R551" s="236"/>
      <c r="S551" s="236"/>
      <c r="T551" s="236"/>
      <c r="U551" s="236"/>
      <c r="V551" s="236"/>
      <c r="W551" s="236"/>
    </row>
    <row r="552" spans="1:23" s="262" customFormat="1" hidden="1">
      <c r="A552" s="236"/>
      <c r="B552" s="236"/>
      <c r="C552" s="236"/>
      <c r="D552" s="236"/>
      <c r="E552" s="236"/>
      <c r="F552" s="236"/>
      <c r="G552" s="236"/>
      <c r="H552" s="236"/>
      <c r="I552" s="236"/>
      <c r="J552" s="236"/>
      <c r="K552" s="236"/>
      <c r="L552" s="236"/>
      <c r="M552" s="236"/>
      <c r="N552" s="236"/>
      <c r="O552" s="236"/>
      <c r="P552" s="236"/>
      <c r="Q552" s="236"/>
      <c r="R552" s="236"/>
      <c r="S552" s="236"/>
      <c r="T552" s="236"/>
      <c r="U552" s="236"/>
      <c r="V552" s="236"/>
      <c r="W552" s="236"/>
    </row>
    <row r="553" spans="1:23" s="262" customFormat="1" hidden="1">
      <c r="A553" s="236"/>
      <c r="B553" s="236"/>
      <c r="C553" s="236"/>
      <c r="D553" s="236"/>
      <c r="E553" s="236"/>
      <c r="F553" s="236"/>
      <c r="G553" s="236"/>
      <c r="H553" s="236"/>
      <c r="I553" s="236"/>
      <c r="J553" s="236"/>
      <c r="K553" s="236"/>
      <c r="L553" s="236"/>
      <c r="M553" s="236"/>
      <c r="N553" s="236"/>
      <c r="O553" s="236"/>
      <c r="P553" s="236"/>
      <c r="Q553" s="236"/>
      <c r="R553" s="236"/>
      <c r="S553" s="236"/>
      <c r="T553" s="236"/>
      <c r="U553" s="236"/>
      <c r="V553" s="236"/>
      <c r="W553" s="236"/>
    </row>
    <row r="554" spans="1:23" s="262" customFormat="1" hidden="1">
      <c r="A554" s="236"/>
      <c r="B554" s="236"/>
      <c r="C554" s="236"/>
      <c r="D554" s="236"/>
      <c r="E554" s="236"/>
      <c r="F554" s="236"/>
      <c r="G554" s="236"/>
      <c r="H554" s="236"/>
      <c r="I554" s="236"/>
      <c r="J554" s="236"/>
      <c r="K554" s="236"/>
      <c r="L554" s="236"/>
      <c r="M554" s="236"/>
      <c r="N554" s="236"/>
      <c r="O554" s="236"/>
      <c r="P554" s="236"/>
      <c r="Q554" s="236"/>
      <c r="R554" s="236"/>
      <c r="S554" s="236"/>
      <c r="T554" s="236"/>
      <c r="U554" s="236"/>
      <c r="V554" s="236"/>
      <c r="W554" s="236"/>
    </row>
    <row r="555" spans="1:23" s="262" customFormat="1" hidden="1">
      <c r="A555" s="236"/>
      <c r="B555" s="236"/>
      <c r="C555" s="236"/>
      <c r="D555" s="236"/>
      <c r="E555" s="236"/>
      <c r="F555" s="236"/>
      <c r="G555" s="236"/>
      <c r="H555" s="236"/>
      <c r="I555" s="236"/>
      <c r="J555" s="236"/>
      <c r="K555" s="236"/>
      <c r="L555" s="236"/>
      <c r="M555" s="236"/>
      <c r="N555" s="236"/>
      <c r="O555" s="236"/>
      <c r="P555" s="236"/>
      <c r="Q555" s="236"/>
      <c r="R555" s="236"/>
      <c r="S555" s="236"/>
      <c r="T555" s="236"/>
      <c r="U555" s="236"/>
      <c r="V555" s="236"/>
      <c r="W555" s="236"/>
    </row>
    <row r="556" spans="1:23" s="262" customFormat="1" hidden="1">
      <c r="A556" s="236"/>
      <c r="B556" s="236"/>
      <c r="C556" s="236"/>
      <c r="D556" s="236"/>
      <c r="E556" s="236"/>
      <c r="F556" s="236"/>
      <c r="G556" s="236"/>
      <c r="H556" s="236"/>
      <c r="I556" s="236"/>
      <c r="J556" s="236"/>
      <c r="K556" s="236"/>
      <c r="L556" s="236"/>
      <c r="M556" s="236"/>
      <c r="N556" s="236"/>
      <c r="O556" s="236"/>
      <c r="P556" s="236"/>
      <c r="Q556" s="236"/>
      <c r="R556" s="236"/>
      <c r="S556" s="236"/>
      <c r="T556" s="236"/>
      <c r="U556" s="236"/>
      <c r="V556" s="236"/>
      <c r="W556" s="236"/>
    </row>
    <row r="557" spans="1:23" s="262" customFormat="1" hidden="1">
      <c r="A557" s="236"/>
      <c r="B557" s="236"/>
      <c r="C557" s="236"/>
      <c r="D557" s="236"/>
      <c r="E557" s="236"/>
      <c r="F557" s="236"/>
      <c r="G557" s="236"/>
      <c r="H557" s="236"/>
      <c r="I557" s="236"/>
      <c r="J557" s="236"/>
      <c r="K557" s="236"/>
      <c r="L557" s="236"/>
      <c r="M557" s="236"/>
      <c r="N557" s="236"/>
      <c r="O557" s="236"/>
      <c r="P557" s="236"/>
      <c r="Q557" s="236"/>
      <c r="R557" s="236"/>
      <c r="S557" s="236"/>
      <c r="T557" s="236"/>
      <c r="U557" s="236"/>
      <c r="V557" s="236"/>
      <c r="W557" s="236"/>
    </row>
    <row r="558" spans="1:23" s="262" customFormat="1" hidden="1">
      <c r="A558" s="236"/>
      <c r="B558" s="236"/>
      <c r="C558" s="236"/>
      <c r="D558" s="236"/>
      <c r="E558" s="236"/>
      <c r="F558" s="236"/>
      <c r="G558" s="236"/>
      <c r="H558" s="236"/>
      <c r="I558" s="236"/>
      <c r="J558" s="236"/>
      <c r="K558" s="236"/>
      <c r="L558" s="236"/>
      <c r="M558" s="236"/>
      <c r="N558" s="236"/>
      <c r="O558" s="236"/>
      <c r="P558" s="236"/>
      <c r="Q558" s="236"/>
      <c r="R558" s="236"/>
      <c r="S558" s="236"/>
      <c r="T558" s="236"/>
      <c r="U558" s="236"/>
      <c r="V558" s="236"/>
      <c r="W558" s="236"/>
    </row>
    <row r="559" spans="1:23" s="93" customFormat="1">
      <c r="A559" s="170" t="s">
        <v>232</v>
      </c>
      <c r="B559" s="91"/>
      <c r="C559" s="91"/>
      <c r="D559" s="91"/>
      <c r="E559" s="91"/>
      <c r="F559" s="91"/>
      <c r="G559" s="91"/>
      <c r="H559" s="91"/>
      <c r="I559" s="91"/>
      <c r="J559" s="91"/>
      <c r="K559" s="91"/>
      <c r="L559" s="91"/>
      <c r="M559" s="91"/>
      <c r="N559" s="91"/>
      <c r="O559" s="91"/>
      <c r="P559" s="91"/>
      <c r="Q559" s="91"/>
      <c r="R559" s="91"/>
      <c r="S559" s="91"/>
      <c r="T559" s="91"/>
      <c r="U559" s="91"/>
      <c r="V559" s="91"/>
      <c r="W559" s="91"/>
    </row>
    <row r="560" spans="1:23" s="93" customFormat="1">
      <c r="A560" s="91"/>
      <c r="B560" s="91"/>
      <c r="C560" s="91"/>
      <c r="D560" s="91"/>
      <c r="E560" s="91"/>
      <c r="F560" s="91"/>
      <c r="G560" s="91"/>
      <c r="H560" s="91"/>
      <c r="I560" s="91"/>
      <c r="J560" s="91"/>
      <c r="K560" s="91"/>
      <c r="L560" s="91"/>
      <c r="M560" s="91"/>
      <c r="N560" s="91"/>
      <c r="O560" s="91"/>
      <c r="P560" s="91"/>
      <c r="Q560" s="91"/>
      <c r="R560" s="91"/>
      <c r="S560" s="91"/>
      <c r="T560" s="91"/>
      <c r="U560" s="91"/>
      <c r="V560" s="91"/>
      <c r="W560" s="91"/>
    </row>
    <row r="561" spans="1:23" s="93" customFormat="1">
      <c r="A561" s="155" t="s">
        <v>502</v>
      </c>
      <c r="B561" s="91"/>
      <c r="C561" s="91"/>
      <c r="D561" s="91"/>
      <c r="E561" s="91"/>
      <c r="F561" s="91"/>
      <c r="G561" s="91"/>
      <c r="H561" s="91"/>
      <c r="I561" s="91"/>
      <c r="J561" s="91"/>
      <c r="K561" s="91"/>
      <c r="L561" s="91"/>
      <c r="M561" s="91"/>
      <c r="N561" s="91"/>
      <c r="O561" s="91"/>
      <c r="P561" s="91"/>
      <c r="Q561" s="91"/>
      <c r="R561" s="91"/>
      <c r="S561" s="91"/>
      <c r="T561" s="91"/>
      <c r="U561" s="91"/>
      <c r="V561" s="91"/>
      <c r="W561" s="91"/>
    </row>
    <row r="562" spans="1:23" s="93" customFormat="1">
      <c r="A562" s="91"/>
      <c r="B562" s="91"/>
      <c r="C562" s="91"/>
      <c r="D562" s="91"/>
      <c r="E562" s="91"/>
      <c r="F562" s="91"/>
      <c r="G562" s="91"/>
      <c r="H562" s="91"/>
      <c r="I562" s="91"/>
      <c r="J562" s="91"/>
      <c r="K562" s="91"/>
      <c r="L562" s="91"/>
      <c r="M562" s="91"/>
      <c r="N562" s="91"/>
      <c r="O562" s="91"/>
      <c r="P562" s="91"/>
      <c r="Q562" s="91"/>
      <c r="R562" s="91"/>
      <c r="S562" s="91"/>
      <c r="T562" s="91"/>
      <c r="U562" s="91"/>
      <c r="V562" s="91"/>
      <c r="W562" s="91"/>
    </row>
    <row r="563" spans="1:23" s="93" customFormat="1">
      <c r="B563" s="182" t="s">
        <v>501</v>
      </c>
      <c r="C563" s="282" t="s">
        <v>275</v>
      </c>
      <c r="D563" s="91"/>
      <c r="E563" s="171" t="s">
        <v>381</v>
      </c>
      <c r="F563" s="91"/>
      <c r="G563" s="171" t="s">
        <v>380</v>
      </c>
      <c r="H563" s="91"/>
      <c r="I563" s="91"/>
      <c r="J563" s="91"/>
      <c r="K563" s="91"/>
      <c r="L563" s="91"/>
      <c r="M563" s="91"/>
      <c r="N563" s="91"/>
      <c r="O563" s="91"/>
      <c r="P563" s="91"/>
      <c r="Q563" s="91"/>
      <c r="R563" s="91"/>
      <c r="S563" s="91"/>
      <c r="T563" s="91"/>
      <c r="U563" s="91"/>
      <c r="V563" s="91"/>
      <c r="W563" s="91"/>
    </row>
    <row r="564" spans="1:23" s="93" customFormat="1">
      <c r="B564" s="91"/>
      <c r="C564" s="91"/>
      <c r="D564" s="91"/>
      <c r="E564" s="91"/>
      <c r="F564" s="91"/>
      <c r="G564" s="91"/>
      <c r="H564" s="91"/>
      <c r="I564" s="91"/>
      <c r="J564" s="91"/>
      <c r="K564" s="91"/>
      <c r="L564" s="91"/>
      <c r="M564" s="91"/>
      <c r="N564" s="91"/>
      <c r="O564" s="91"/>
      <c r="P564" s="91"/>
      <c r="Q564" s="91"/>
      <c r="R564" s="91"/>
      <c r="S564" s="91"/>
      <c r="T564" s="91"/>
      <c r="U564" s="91"/>
      <c r="V564" s="91"/>
      <c r="W564" s="91"/>
    </row>
    <row r="565" spans="1:23" s="93" customFormat="1" ht="45.75" thickBot="1">
      <c r="B565" s="283" t="s">
        <v>277</v>
      </c>
      <c r="C565" s="283" t="s">
        <v>276</v>
      </c>
      <c r="D565" s="91"/>
      <c r="E565" s="284">
        <v>3105</v>
      </c>
      <c r="F565" s="91"/>
      <c r="G565" s="285">
        <v>7600</v>
      </c>
      <c r="H565" s="91"/>
      <c r="I565" s="91"/>
      <c r="J565" s="91"/>
      <c r="K565" s="91"/>
      <c r="L565" s="91"/>
      <c r="M565" s="91"/>
      <c r="N565" s="91"/>
      <c r="O565" s="91"/>
      <c r="P565" s="91"/>
      <c r="Q565" s="91"/>
      <c r="R565" s="91"/>
      <c r="S565" s="91"/>
      <c r="T565" s="91"/>
      <c r="U565" s="91"/>
      <c r="V565" s="91"/>
      <c r="W565" s="91"/>
    </row>
    <row r="566" spans="1:23" s="93" customFormat="1" ht="15.75" thickTop="1">
      <c r="B566" s="91"/>
      <c r="C566" s="91"/>
      <c r="D566" s="91"/>
      <c r="E566" s="106"/>
      <c r="F566" s="91"/>
      <c r="G566" s="107"/>
      <c r="H566" s="91"/>
      <c r="I566" s="91"/>
      <c r="J566" s="91"/>
      <c r="K566" s="91"/>
      <c r="L566" s="91"/>
      <c r="M566" s="91"/>
      <c r="N566" s="91"/>
      <c r="O566" s="91"/>
      <c r="P566" s="91"/>
      <c r="Q566" s="91"/>
      <c r="R566" s="91"/>
      <c r="S566" s="91"/>
      <c r="T566" s="91"/>
      <c r="U566" s="91"/>
      <c r="V566" s="91"/>
      <c r="W566" s="91"/>
    </row>
    <row r="567" spans="1:23" s="93" customFormat="1" ht="45.75" thickBot="1">
      <c r="B567" s="283" t="s">
        <v>278</v>
      </c>
      <c r="C567" s="283" t="s">
        <v>279</v>
      </c>
      <c r="D567" s="91"/>
      <c r="E567" s="284">
        <v>0</v>
      </c>
      <c r="F567" s="91"/>
      <c r="G567" s="285">
        <v>0</v>
      </c>
      <c r="H567" s="91"/>
      <c r="I567" s="91"/>
      <c r="J567" s="91"/>
      <c r="K567" s="91"/>
      <c r="L567" s="91"/>
      <c r="M567" s="91"/>
      <c r="N567" s="91"/>
      <c r="O567" s="91"/>
      <c r="P567" s="91"/>
      <c r="Q567" s="91"/>
      <c r="R567" s="91"/>
      <c r="S567" s="91"/>
      <c r="T567" s="91"/>
      <c r="U567" s="91"/>
      <c r="V567" s="91"/>
      <c r="W567" s="91"/>
    </row>
    <row r="568" spans="1:23" s="93" customFormat="1" ht="15.75" thickTop="1">
      <c r="B568" s="91"/>
      <c r="C568" s="91"/>
      <c r="D568" s="91"/>
      <c r="E568" s="106"/>
      <c r="F568" s="91"/>
      <c r="G568" s="107"/>
      <c r="H568" s="91"/>
      <c r="I568" s="91"/>
      <c r="J568" s="91"/>
      <c r="K568" s="91"/>
      <c r="L568" s="91"/>
      <c r="M568" s="91"/>
      <c r="N568" s="91"/>
      <c r="O568" s="91"/>
      <c r="P568" s="91"/>
      <c r="Q568" s="91"/>
      <c r="R568" s="91"/>
      <c r="S568" s="91"/>
      <c r="T568" s="91"/>
      <c r="U568" s="91"/>
      <c r="V568" s="91"/>
      <c r="W568" s="91"/>
    </row>
    <row r="569" spans="1:23" s="93" customFormat="1" ht="45.75" thickBot="1">
      <c r="B569" s="283" t="s">
        <v>280</v>
      </c>
      <c r="C569" s="283" t="s">
        <v>281</v>
      </c>
      <c r="D569" s="91"/>
      <c r="E569" s="284">
        <v>0</v>
      </c>
      <c r="F569" s="91"/>
      <c r="G569" s="285">
        <v>0</v>
      </c>
      <c r="H569" s="91"/>
      <c r="I569" s="91"/>
      <c r="J569" s="91"/>
      <c r="K569" s="91"/>
      <c r="L569" s="91"/>
      <c r="M569" s="91"/>
      <c r="N569" s="91"/>
      <c r="O569" s="91"/>
      <c r="P569" s="91"/>
      <c r="Q569" s="91"/>
      <c r="R569" s="91"/>
      <c r="S569" s="91"/>
      <c r="T569" s="91"/>
      <c r="U569" s="91"/>
      <c r="V569" s="91"/>
      <c r="W569" s="91"/>
    </row>
    <row r="570" spans="1:23" s="258" customFormat="1" ht="15.75" hidden="1" thickTop="1">
      <c r="A570" s="235"/>
      <c r="B570" s="235"/>
      <c r="C570" s="235"/>
      <c r="D570" s="363"/>
      <c r="E570" s="235"/>
      <c r="F570" s="364"/>
      <c r="G570" s="235"/>
      <c r="H570" s="235"/>
      <c r="I570" s="235"/>
      <c r="J570" s="235"/>
      <c r="K570" s="235"/>
      <c r="L570" s="235"/>
      <c r="M570" s="235"/>
      <c r="N570" s="235"/>
      <c r="O570" s="235"/>
      <c r="P570" s="235"/>
      <c r="Q570" s="235"/>
      <c r="R570" s="235"/>
      <c r="S570" s="235"/>
      <c r="T570" s="235"/>
      <c r="U570" s="235"/>
      <c r="V570" s="235"/>
      <c r="W570" s="235"/>
    </row>
    <row r="571" spans="1:23" s="258" customFormat="1" hidden="1">
      <c r="A571" s="235"/>
      <c r="B571" s="235"/>
      <c r="C571" s="235"/>
      <c r="D571" s="363"/>
      <c r="E571" s="235"/>
      <c r="F571" s="364"/>
      <c r="G571" s="235"/>
      <c r="H571" s="235"/>
      <c r="I571" s="235"/>
      <c r="J571" s="235"/>
      <c r="K571" s="235"/>
      <c r="L571" s="235"/>
      <c r="M571" s="235"/>
      <c r="N571" s="235"/>
      <c r="O571" s="235"/>
      <c r="P571" s="235"/>
      <c r="Q571" s="235"/>
      <c r="R571" s="235"/>
      <c r="S571" s="235"/>
      <c r="T571" s="235"/>
      <c r="U571" s="235"/>
      <c r="V571" s="235"/>
      <c r="W571" s="235"/>
    </row>
    <row r="572" spans="1:23" s="258" customFormat="1" hidden="1">
      <c r="A572" s="235"/>
      <c r="B572" s="235"/>
      <c r="C572" s="235"/>
      <c r="D572" s="363"/>
      <c r="E572" s="235"/>
      <c r="F572" s="364"/>
      <c r="G572" s="235"/>
      <c r="H572" s="235"/>
      <c r="I572" s="235"/>
      <c r="J572" s="235"/>
      <c r="K572" s="235"/>
      <c r="L572" s="235"/>
      <c r="M572" s="235"/>
      <c r="N572" s="235"/>
      <c r="O572" s="235"/>
      <c r="P572" s="235"/>
      <c r="Q572" s="235"/>
      <c r="R572" s="235"/>
      <c r="S572" s="235"/>
      <c r="T572" s="235"/>
      <c r="U572" s="235"/>
      <c r="V572" s="235"/>
      <c r="W572" s="235"/>
    </row>
    <row r="573" spans="1:23" s="258" customFormat="1" hidden="1">
      <c r="A573" s="235"/>
      <c r="B573" s="235"/>
      <c r="C573" s="235"/>
      <c r="D573" s="363"/>
      <c r="E573" s="235"/>
      <c r="F573" s="364"/>
      <c r="G573" s="235"/>
      <c r="H573" s="235"/>
      <c r="I573" s="235"/>
      <c r="J573" s="235"/>
      <c r="K573" s="235"/>
      <c r="L573" s="235"/>
      <c r="M573" s="235"/>
      <c r="N573" s="235"/>
      <c r="O573" s="235"/>
      <c r="P573" s="235"/>
      <c r="Q573" s="235"/>
      <c r="R573" s="235"/>
      <c r="S573" s="235"/>
      <c r="T573" s="235"/>
      <c r="U573" s="235"/>
      <c r="V573" s="235"/>
      <c r="W573" s="235"/>
    </row>
    <row r="574" spans="1:23" s="258" customFormat="1" hidden="1">
      <c r="A574" s="235"/>
      <c r="B574" s="235"/>
      <c r="C574" s="235"/>
      <c r="D574" s="363"/>
      <c r="E574" s="235"/>
      <c r="F574" s="364"/>
      <c r="G574" s="235"/>
      <c r="H574" s="235"/>
      <c r="I574" s="235"/>
      <c r="J574" s="235"/>
      <c r="K574" s="235"/>
      <c r="L574" s="235"/>
      <c r="M574" s="235"/>
      <c r="N574" s="235"/>
      <c r="O574" s="235"/>
      <c r="P574" s="235"/>
      <c r="Q574" s="235"/>
      <c r="R574" s="235"/>
      <c r="S574" s="235"/>
      <c r="T574" s="235"/>
      <c r="U574" s="235"/>
      <c r="V574" s="235"/>
      <c r="W574" s="235"/>
    </row>
    <row r="575" spans="1:23" s="258" customFormat="1" hidden="1">
      <c r="A575" s="235"/>
      <c r="B575" s="235"/>
      <c r="C575" s="235"/>
      <c r="D575" s="363"/>
      <c r="E575" s="235"/>
      <c r="F575" s="364"/>
      <c r="G575" s="235"/>
      <c r="H575" s="235"/>
      <c r="I575" s="235"/>
      <c r="J575" s="235"/>
      <c r="K575" s="235"/>
      <c r="L575" s="235"/>
      <c r="M575" s="235"/>
      <c r="N575" s="235"/>
      <c r="O575" s="235"/>
      <c r="P575" s="235"/>
      <c r="Q575" s="235"/>
      <c r="R575" s="235"/>
      <c r="S575" s="235"/>
      <c r="T575" s="235"/>
      <c r="U575" s="235"/>
      <c r="V575" s="235"/>
      <c r="W575" s="235"/>
    </row>
    <row r="576" spans="1:23" s="258" customFormat="1" hidden="1">
      <c r="A576" s="235"/>
      <c r="B576" s="235"/>
      <c r="C576" s="235"/>
      <c r="D576" s="363"/>
      <c r="E576" s="235"/>
      <c r="F576" s="364"/>
      <c r="G576" s="235"/>
      <c r="H576" s="235"/>
      <c r="I576" s="235"/>
      <c r="J576" s="235"/>
      <c r="K576" s="235"/>
      <c r="L576" s="235"/>
      <c r="M576" s="235"/>
      <c r="N576" s="235"/>
      <c r="O576" s="235"/>
      <c r="P576" s="235"/>
      <c r="Q576" s="235"/>
      <c r="R576" s="235"/>
      <c r="S576" s="235"/>
      <c r="T576" s="235"/>
      <c r="U576" s="235"/>
      <c r="V576" s="235"/>
      <c r="W576" s="235"/>
    </row>
    <row r="577" spans="1:23" s="258" customFormat="1" ht="15.75" thickTop="1">
      <c r="A577" s="235"/>
      <c r="B577" s="235"/>
      <c r="C577" s="235"/>
      <c r="D577" s="363"/>
      <c r="E577" s="235"/>
      <c r="F577" s="364"/>
      <c r="G577" s="235"/>
      <c r="H577" s="235"/>
      <c r="I577" s="235"/>
      <c r="J577" s="235"/>
      <c r="K577" s="235"/>
      <c r="L577" s="235"/>
      <c r="M577" s="235"/>
      <c r="N577" s="235"/>
      <c r="O577" s="235"/>
      <c r="P577" s="235"/>
      <c r="Q577" s="235"/>
      <c r="R577" s="235"/>
      <c r="S577" s="235"/>
      <c r="T577" s="235"/>
      <c r="U577" s="235"/>
      <c r="V577" s="235"/>
      <c r="W577" s="235"/>
    </row>
    <row r="578" spans="1:23" s="93" customFormat="1">
      <c r="A578" s="157" t="s">
        <v>298</v>
      </c>
      <c r="B578" s="91"/>
      <c r="C578" s="91"/>
      <c r="D578" s="91"/>
      <c r="E578" s="91"/>
      <c r="F578" s="91"/>
      <c r="G578" s="91"/>
      <c r="H578" s="91"/>
      <c r="I578" s="91"/>
      <c r="J578" s="91"/>
      <c r="K578" s="91"/>
      <c r="L578" s="91"/>
      <c r="M578" s="91"/>
      <c r="N578" s="91"/>
      <c r="O578" s="91"/>
      <c r="P578" s="91"/>
      <c r="Q578" s="91"/>
      <c r="R578" s="91"/>
      <c r="S578" s="91"/>
      <c r="T578" s="91"/>
      <c r="U578" s="91"/>
      <c r="V578" s="91"/>
      <c r="W578" s="91"/>
    </row>
    <row r="579" spans="1:23" s="93" customFormat="1">
      <c r="A579" s="91"/>
      <c r="B579" s="91"/>
      <c r="C579" s="91"/>
      <c r="D579" s="91"/>
      <c r="E579" s="91"/>
      <c r="F579" s="91"/>
      <c r="G579" s="91"/>
      <c r="H579" s="91"/>
      <c r="I579" s="91"/>
      <c r="J579" s="91"/>
      <c r="K579" s="91"/>
      <c r="L579" s="91"/>
      <c r="M579" s="91"/>
      <c r="N579" s="91"/>
      <c r="O579" s="91"/>
      <c r="P579" s="91"/>
      <c r="Q579" s="91"/>
      <c r="R579" s="91"/>
      <c r="S579" s="91"/>
      <c r="T579" s="91"/>
      <c r="U579" s="91"/>
      <c r="V579" s="91"/>
      <c r="W579" s="91"/>
    </row>
    <row r="580" spans="1:23" s="93" customFormat="1">
      <c r="A580" s="91" t="s">
        <v>305</v>
      </c>
      <c r="B580" s="91"/>
      <c r="C580" s="91"/>
      <c r="D580" s="91"/>
      <c r="E580" s="91"/>
      <c r="F580" s="91"/>
      <c r="G580" s="91"/>
      <c r="H580" s="91"/>
      <c r="I580" s="91"/>
      <c r="J580" s="91"/>
      <c r="K580" s="91"/>
      <c r="L580" s="91"/>
      <c r="M580" s="91"/>
      <c r="N580" s="91"/>
      <c r="O580" s="91"/>
      <c r="P580" s="91"/>
      <c r="Q580" s="91"/>
      <c r="R580" s="91"/>
      <c r="S580" s="91"/>
      <c r="T580" s="91"/>
      <c r="U580" s="91"/>
      <c r="V580" s="91"/>
      <c r="W580" s="91"/>
    </row>
    <row r="581" spans="1:23" s="93" customFormat="1">
      <c r="A581" s="91"/>
      <c r="B581" s="91"/>
      <c r="C581" s="91"/>
      <c r="D581" s="91"/>
      <c r="E581" s="91"/>
      <c r="F581" s="91"/>
      <c r="G581" s="91"/>
      <c r="H581" s="91"/>
      <c r="I581" s="91"/>
      <c r="J581" s="91"/>
      <c r="K581" s="91"/>
      <c r="L581" s="91"/>
      <c r="M581" s="91"/>
      <c r="N581" s="91"/>
      <c r="O581" s="91"/>
      <c r="P581" s="91"/>
      <c r="Q581" s="91"/>
      <c r="R581" s="91"/>
      <c r="S581" s="91"/>
      <c r="T581" s="91"/>
      <c r="U581" s="91"/>
      <c r="V581" s="91"/>
      <c r="W581" s="91"/>
    </row>
    <row r="582" spans="1:23" s="93" customFormat="1">
      <c r="B582" s="91"/>
      <c r="C582" s="91"/>
      <c r="D582" s="91"/>
      <c r="E582" s="171" t="s">
        <v>381</v>
      </c>
      <c r="F582" s="91"/>
      <c r="G582" s="171" t="s">
        <v>380</v>
      </c>
      <c r="H582" s="91"/>
      <c r="I582" s="91"/>
      <c r="J582" s="91"/>
      <c r="K582" s="91"/>
      <c r="L582" s="91"/>
      <c r="M582" s="91"/>
      <c r="N582" s="91"/>
      <c r="O582" s="91"/>
      <c r="P582" s="91"/>
      <c r="Q582" s="91"/>
      <c r="R582" s="91"/>
      <c r="S582" s="91"/>
      <c r="T582" s="91"/>
      <c r="U582" s="91"/>
      <c r="V582" s="91"/>
      <c r="W582" s="91"/>
    </row>
    <row r="583" spans="1:23" s="93" customFormat="1">
      <c r="B583" s="91"/>
      <c r="C583" s="91"/>
      <c r="D583" s="91"/>
      <c r="E583" s="91"/>
      <c r="F583" s="91"/>
      <c r="G583" s="91"/>
      <c r="H583" s="91"/>
      <c r="I583" s="91"/>
      <c r="J583" s="91"/>
      <c r="K583" s="91"/>
      <c r="L583" s="91"/>
      <c r="M583" s="91"/>
      <c r="N583" s="91"/>
      <c r="O583" s="91"/>
      <c r="P583" s="91"/>
      <c r="Q583" s="91"/>
      <c r="R583" s="91"/>
      <c r="S583" s="91"/>
      <c r="T583" s="91"/>
      <c r="U583" s="91"/>
      <c r="V583" s="91"/>
      <c r="W583" s="91"/>
    </row>
    <row r="584" spans="1:23" s="93" customFormat="1">
      <c r="B584" s="91" t="s">
        <v>299</v>
      </c>
      <c r="C584" s="91"/>
      <c r="D584" s="91"/>
      <c r="E584" s="286">
        <v>156000</v>
      </c>
      <c r="F584" s="287"/>
      <c r="G584" s="286">
        <v>149500</v>
      </c>
      <c r="H584" s="91"/>
      <c r="I584" s="91"/>
      <c r="J584" s="91"/>
      <c r="K584" s="91"/>
      <c r="L584" s="91"/>
      <c r="M584" s="91"/>
      <c r="N584" s="91"/>
      <c r="O584" s="91"/>
      <c r="P584" s="91"/>
      <c r="Q584" s="91"/>
      <c r="R584" s="91"/>
      <c r="S584" s="91"/>
      <c r="T584" s="91"/>
      <c r="U584" s="91"/>
      <c r="V584" s="91"/>
      <c r="W584" s="91"/>
    </row>
    <row r="585" spans="1:23" s="93" customFormat="1">
      <c r="B585" s="91" t="s">
        <v>300</v>
      </c>
      <c r="C585" s="91"/>
      <c r="D585" s="91"/>
      <c r="E585" s="286">
        <v>104000</v>
      </c>
      <c r="F585" s="287"/>
      <c r="G585" s="286">
        <v>0</v>
      </c>
      <c r="H585" s="91"/>
      <c r="I585" s="91"/>
      <c r="J585" s="91"/>
      <c r="K585" s="91"/>
      <c r="L585" s="91"/>
      <c r="M585" s="91"/>
      <c r="N585" s="91"/>
      <c r="O585" s="91"/>
      <c r="P585" s="91"/>
      <c r="Q585" s="91"/>
      <c r="R585" s="91"/>
      <c r="S585" s="91"/>
      <c r="T585" s="91"/>
      <c r="U585" s="91"/>
      <c r="V585" s="91"/>
      <c r="W585" s="91"/>
    </row>
    <row r="586" spans="1:23" s="93" customFormat="1" ht="15.75" thickBot="1">
      <c r="B586" s="91"/>
      <c r="C586" s="91"/>
      <c r="D586" s="91"/>
      <c r="E586" s="184">
        <f>SUM(E584:E585)</f>
        <v>260000</v>
      </c>
      <c r="F586" s="183"/>
      <c r="G586" s="184">
        <f>SUM(G584:G585)</f>
        <v>149500</v>
      </c>
      <c r="H586" s="91"/>
      <c r="I586" s="91"/>
      <c r="J586" s="91"/>
      <c r="K586" s="91"/>
      <c r="L586" s="91"/>
      <c r="M586" s="91"/>
      <c r="N586" s="91"/>
      <c r="O586" s="91"/>
      <c r="P586" s="91"/>
      <c r="Q586" s="91"/>
      <c r="R586" s="91"/>
      <c r="S586" s="91"/>
      <c r="T586" s="91"/>
      <c r="U586" s="91"/>
      <c r="V586" s="91"/>
      <c r="W586" s="91"/>
    </row>
    <row r="587" spans="1:23" s="93" customFormat="1" ht="15.75" thickTop="1">
      <c r="A587" s="91"/>
      <c r="B587" s="359" t="s">
        <v>542</v>
      </c>
      <c r="C587" s="359"/>
      <c r="D587" s="359"/>
      <c r="E587" s="359"/>
      <c r="F587" s="359"/>
      <c r="G587" s="359"/>
      <c r="H587" s="91"/>
      <c r="I587" s="91"/>
      <c r="J587" s="91"/>
      <c r="K587" s="91"/>
      <c r="L587" s="91"/>
      <c r="M587" s="91"/>
      <c r="N587" s="91"/>
      <c r="O587" s="91"/>
      <c r="P587" s="91"/>
      <c r="Q587" s="91"/>
      <c r="R587" s="91"/>
      <c r="S587" s="91"/>
      <c r="T587" s="91"/>
      <c r="U587" s="91"/>
      <c r="V587" s="91"/>
      <c r="W587" s="91"/>
    </row>
    <row r="588" spans="1:23" s="93" customFormat="1">
      <c r="A588" s="365" t="s">
        <v>358</v>
      </c>
      <c r="B588" s="91"/>
      <c r="C588" s="91"/>
      <c r="D588" s="91"/>
      <c r="E588" s="91"/>
      <c r="F588" s="91"/>
      <c r="G588" s="91"/>
      <c r="H588" s="91"/>
      <c r="I588" s="91"/>
      <c r="J588" s="91"/>
      <c r="K588" s="91"/>
      <c r="L588" s="91"/>
      <c r="M588" s="91"/>
      <c r="N588" s="91"/>
      <c r="O588" s="91"/>
      <c r="P588" s="91"/>
      <c r="Q588" s="91"/>
      <c r="R588" s="91"/>
      <c r="S588" s="91"/>
      <c r="T588" s="91"/>
      <c r="U588" s="91"/>
      <c r="V588" s="91"/>
      <c r="W588" s="91"/>
    </row>
    <row r="589" spans="1:23" s="93" customFormat="1">
      <c r="B589" s="91"/>
      <c r="C589" s="91"/>
      <c r="D589" s="91"/>
      <c r="E589" s="91"/>
      <c r="F589" s="91"/>
      <c r="G589" s="91"/>
      <c r="H589" s="91"/>
      <c r="I589" s="91"/>
      <c r="J589" s="91"/>
      <c r="K589" s="91"/>
      <c r="L589" s="91"/>
      <c r="M589" s="91"/>
      <c r="N589" s="91"/>
      <c r="O589" s="91"/>
      <c r="P589" s="91"/>
      <c r="Q589" s="91"/>
      <c r="R589" s="91"/>
      <c r="S589" s="91"/>
      <c r="T589" s="91"/>
      <c r="U589" s="91"/>
      <c r="V589" s="91"/>
      <c r="W589" s="91"/>
    </row>
    <row r="590" spans="1:23" s="93" customFormat="1">
      <c r="A590" s="91"/>
      <c r="B590" s="91"/>
      <c r="C590" s="91"/>
      <c r="D590" s="91"/>
      <c r="E590" s="91"/>
      <c r="F590" s="91"/>
      <c r="G590" s="91"/>
      <c r="H590" s="91"/>
      <c r="I590" s="91"/>
      <c r="J590" s="91"/>
      <c r="K590" s="91"/>
      <c r="L590" s="91"/>
      <c r="M590" s="91"/>
      <c r="N590" s="91"/>
      <c r="O590" s="91"/>
      <c r="P590" s="91"/>
      <c r="Q590" s="91"/>
      <c r="R590" s="91"/>
      <c r="S590" s="91"/>
      <c r="T590" s="91"/>
      <c r="U590" s="91"/>
      <c r="V590" s="91"/>
      <c r="W590" s="91"/>
    </row>
  </sheetData>
  <phoneticPr fontId="1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Control</vt:lpstr>
      <vt:lpstr>Dir info</vt:lpstr>
      <vt:lpstr>D emol (3)</vt:lpstr>
      <vt:lpstr>D emol (4)</vt:lpstr>
      <vt:lpstr>D emol (5)</vt:lpstr>
      <vt:lpstr>D emol (6)</vt:lpstr>
      <vt:lpstr>Audit conf. (3)</vt:lpstr>
      <vt:lpstr>Audit conf. (4)</vt:lpstr>
      <vt:lpstr>Audit conf. (5)</vt:lpstr>
      <vt:lpstr>Audit conf. (6)</vt:lpstr>
      <vt:lpstr>T com dor</vt:lpstr>
      <vt:lpstr>T com (loss)</vt:lpstr>
      <vt:lpstr>T com (profit)</vt:lpstr>
      <vt:lpstr>Depn Allowances</vt:lpstr>
      <vt:lpstr>FA</vt:lpstr>
      <vt:lpstr>Adj</vt:lpstr>
      <vt:lpstr>Section3</vt:lpstr>
      <vt:lpstr>Section4</vt:lpstr>
      <vt:lpstr>Section6</vt:lpstr>
      <vt:lpstr>Control!Due_to_from_a_director</vt:lpstr>
      <vt:lpstr>Adj!Print_Area</vt:lpstr>
      <vt:lpstr>'Audit conf. (3)'!Print_Area</vt:lpstr>
      <vt:lpstr>'Audit conf. (4)'!Print_Area</vt:lpstr>
      <vt:lpstr>'Audit conf. (5)'!Print_Area</vt:lpstr>
      <vt:lpstr>'Audit conf. (6)'!Print_Area</vt:lpstr>
      <vt:lpstr>'D emol (3)'!Print_Area</vt:lpstr>
      <vt:lpstr>'D emol (4)'!Print_Area</vt:lpstr>
      <vt:lpstr>'D emol (5)'!Print_Area</vt:lpstr>
      <vt:lpstr>'D emol (6)'!Print_Area</vt:lpstr>
      <vt:lpstr>'Depn Allowances'!Print_Area</vt:lpstr>
      <vt:lpstr>'Dir info'!Print_Area</vt:lpstr>
      <vt:lpstr>Section3!Print_Area</vt:lpstr>
      <vt:lpstr>Section4!Print_Area</vt:lpstr>
      <vt:lpstr>'T com (loss)'!Print_Area</vt:lpstr>
      <vt:lpstr>'T com (profit)'!Print_Area</vt:lpstr>
      <vt:lpstr>'T com dor'!Print_Area</vt:lpstr>
      <vt:lpstr>Control!Shareholderhishertheir</vt:lpstr>
      <vt:lpstr>Control!TITLE</vt:lpstr>
      <vt:lpstr>TITLE2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2018-06-01T15:06:33Z</dcterms:modified>
  <cp:category/>
  <cp:contentStatus/>
</cp:coreProperties>
</file>