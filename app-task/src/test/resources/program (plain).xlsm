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EAAD5824-E589-9196-6FC8-2F1B51211585}"/>
  <workbookPr filterPrivacy="1" codeName="ThisWorkbook" defaultThemeVersion="124226"/>
  <bookViews>
    <workbookView xWindow="0" yWindow="0" windowWidth="17505" windowHeight="11025" tabRatio="901"/>
  </bookViews>
  <sheets>
    <sheet name="Control" sheetId="4" r:id="rId1"/>
    <sheet name="Dir info" sheetId="49" r:id="rId2"/>
    <sheet name="D emol (3)" sheetId="50" state="hidden" r:id="rId3"/>
    <sheet name="D emol (4)" sheetId="51" state="hidden" r:id="rId4"/>
    <sheet name="D emol (5)" sheetId="52" state="hidden" r:id="rId5"/>
    <sheet name="D emol (6)" sheetId="53" state="hidden" r:id="rId6"/>
    <sheet name="Audit conf. (3)" sheetId="59" state="hidden" r:id="rId7"/>
    <sheet name="Audit conf. (4)" sheetId="60" state="hidden" r:id="rId8"/>
    <sheet name="Audit conf. (5)" sheetId="61" state="hidden" r:id="rId9"/>
    <sheet name="Audit conf. (6)" sheetId="62" state="hidden" r:id="rId10"/>
    <sheet name="T com dor" sheetId="48" r:id="rId11"/>
    <sheet name="T com (loss)" sheetId="10" r:id="rId12"/>
    <sheet name="T com (profit)" sheetId="11" r:id="rId13"/>
    <sheet name="Depn Allowances" sheetId="65" r:id="rId14"/>
    <sheet name="FA" sheetId="64" r:id="rId15"/>
    <sheet name="Adj" sheetId="9" r:id="rId16"/>
    <sheet name="Section3" sheetId="32" r:id="rId17"/>
    <sheet name="Section4" sheetId="36" r:id="rId18"/>
    <sheet name="Section6" sheetId="39" r:id="rId19"/>
  </sheets>
  <definedNames>
    <definedName name="_MON_1411551453" localSheetId="18">Section6!#REF!</definedName>
    <definedName name="Due_to_from_a_director" localSheetId="0">Control!$H$84:$J$84</definedName>
    <definedName name="_xlnm.Print_Area" localSheetId="15">Adj!$A$1:$H$15</definedName>
    <definedName name="_xlnm.Print_Area" localSheetId="6">'Audit conf. (3)'!$A$1:$D$49</definedName>
    <definedName name="_xlnm.Print_Area" localSheetId="7">'Audit conf. (4)'!$A$1:$D$49</definedName>
    <definedName name="_xlnm.Print_Area" localSheetId="8">'Audit conf. (5)'!$A$1:$D$49</definedName>
    <definedName name="_xlnm.Print_Area" localSheetId="9">'Audit conf. (6)'!$A$1:$D$49</definedName>
    <definedName name="_xlnm.Print_Area" localSheetId="2">'D emol (3)'!$A$1:$AL$63</definedName>
    <definedName name="_xlnm.Print_Area" localSheetId="3">'D emol (4)'!$A$1:$AL$63</definedName>
    <definedName name="_xlnm.Print_Area" localSheetId="4">'D emol (5)'!$A$1:$AL$63</definedName>
    <definedName name="_xlnm.Print_Area" localSheetId="5">'D emol (6)'!$A$1:$AL$63</definedName>
    <definedName name="_xlnm.Print_Area" localSheetId="13">'Depn Allowances'!$A$1:$H$35</definedName>
    <definedName name="_xlnm.Print_Area" localSheetId="16">Section3!$A$1:$E$39</definedName>
    <definedName name="_xlnm.Print_Area" localSheetId="17">Section4!$A$1:$E$51</definedName>
    <definedName name="_xlnm.Print_Area" localSheetId="11">'T com (loss)'!$A$1:$D$45</definedName>
    <definedName name="_xlnm.Print_Area" localSheetId="12">'T com (profit)'!$A$1:$D$52</definedName>
    <definedName name="_xlnm.Print_Area" localSheetId="10">'T com dor'!$A$1:$D$38</definedName>
    <definedName name="Shareholderhishertheir" localSheetId="0">Control!$G$97:$J$97</definedName>
    <definedName name="TITLE" localSheetId="0">Control!$H$9:$J$9</definedName>
    <definedName name="TITLE2">Control!$H$113:$J$113</definedName>
  </definedNames>
  <calcPr calcId="145621"/>
</workbook>
</file>

<file path=xl/calcChain.xml><?xml version="1.0" encoding="utf-8"?>
<calcChain xmlns="http://schemas.openxmlformats.org/spreadsheetml/2006/main">
  <c r="E42" i="36" l="1"/>
  <c r="C42" i="36"/>
  <c r="F58" i="39" l="1"/>
  <c r="D58" i="39"/>
  <c r="H13" i="9" l="1"/>
  <c r="E22" i="36"/>
  <c r="E8" i="36"/>
  <c r="C8" i="36"/>
  <c r="F113" i="39"/>
  <c r="D113" i="39"/>
  <c r="F90" i="39"/>
  <c r="D90" i="39"/>
  <c r="F77" i="39"/>
  <c r="D77" i="39"/>
  <c r="J49" i="39"/>
  <c r="J47" i="39"/>
  <c r="H44" i="39"/>
  <c r="J43" i="39"/>
  <c r="J42" i="39"/>
  <c r="J41" i="39"/>
  <c r="J37" i="39"/>
  <c r="J36" i="39"/>
  <c r="J35" i="39"/>
  <c r="F44" i="39"/>
  <c r="D44" i="39"/>
  <c r="B44" i="39"/>
  <c r="H38" i="39"/>
  <c r="F38" i="39"/>
  <c r="F47" i="39" s="1"/>
  <c r="D38" i="39"/>
  <c r="D47" i="39" s="1"/>
  <c r="B38" i="39"/>
  <c r="H33" i="39"/>
  <c r="F33" i="39"/>
  <c r="D33" i="39"/>
  <c r="B33" i="39"/>
  <c r="B47" i="39" l="1"/>
  <c r="H47" i="39"/>
  <c r="B55" i="53" l="1"/>
  <c r="B55" i="52"/>
  <c r="B55" i="51"/>
  <c r="B55" i="50"/>
  <c r="B45" i="53"/>
  <c r="B45" i="52"/>
  <c r="B45" i="51"/>
  <c r="B45" i="50"/>
  <c r="G101" i="4" l="1"/>
  <c r="D101" i="4"/>
  <c r="G100" i="4"/>
  <c r="E8" i="32" l="1"/>
  <c r="E7" i="32"/>
  <c r="E26" i="36"/>
  <c r="E35" i="36" s="1"/>
  <c r="D17" i="11" l="1"/>
  <c r="F8" i="64" l="1"/>
  <c r="F9" i="64"/>
  <c r="D19" i="10" l="1"/>
  <c r="H34" i="65"/>
  <c r="H30" i="65"/>
  <c r="H21" i="65"/>
  <c r="J9" i="64"/>
  <c r="J11" i="64" s="1"/>
  <c r="F11" i="64"/>
  <c r="C22" i="10" l="1"/>
  <c r="H8" i="64"/>
  <c r="H11" i="64" s="1"/>
  <c r="F8" i="65" s="1"/>
  <c r="F9" i="65" l="1"/>
  <c r="H9" i="65" s="1"/>
  <c r="F11" i="65" l="1"/>
  <c r="F12" i="65" l="1"/>
  <c r="H12" i="65" s="1"/>
  <c r="H14" i="65" s="1"/>
  <c r="F13" i="65" l="1"/>
  <c r="C23" i="10"/>
  <c r="E37" i="36" l="1"/>
  <c r="E44" i="36" s="1"/>
  <c r="F33" i="11" l="1"/>
  <c r="G33" i="11" s="1"/>
  <c r="F34" i="11"/>
  <c r="G34" i="11" s="1"/>
  <c r="D3" i="4" l="1"/>
  <c r="A1" i="11" l="1"/>
  <c r="G102" i="4" l="1"/>
  <c r="D102" i="4"/>
  <c r="C22" i="62"/>
  <c r="C18" i="62" s="1"/>
  <c r="C4" i="62"/>
  <c r="C22" i="61"/>
  <c r="C18" i="61" s="1"/>
  <c r="C4" i="61"/>
  <c r="C22" i="60"/>
  <c r="C18" i="60" s="1"/>
  <c r="C4" i="60"/>
  <c r="C22" i="59"/>
  <c r="C18" i="59" s="1"/>
  <c r="C4" i="59"/>
  <c r="A47" i="62"/>
  <c r="A46" i="62"/>
  <c r="C31" i="62"/>
  <c r="B31" i="62"/>
  <c r="D21" i="62"/>
  <c r="C20" i="62"/>
  <c r="B20" i="62"/>
  <c r="C6" i="62"/>
  <c r="A47" i="61"/>
  <c r="A46" i="61"/>
  <c r="C31" i="61"/>
  <c r="B31" i="61"/>
  <c r="D21" i="61"/>
  <c r="C20" i="61"/>
  <c r="B20" i="61"/>
  <c r="C6" i="61"/>
  <c r="A47" i="60"/>
  <c r="A46" i="60"/>
  <c r="C31" i="60"/>
  <c r="B31" i="60"/>
  <c r="D21" i="60"/>
  <c r="C20" i="60"/>
  <c r="B20" i="60"/>
  <c r="C6" i="60"/>
  <c r="A47" i="59"/>
  <c r="A46" i="59"/>
  <c r="C31" i="59"/>
  <c r="B31" i="59"/>
  <c r="D21" i="59"/>
  <c r="C20" i="59"/>
  <c r="B20" i="59"/>
  <c r="C6" i="59"/>
  <c r="O24" i="53"/>
  <c r="O45" i="53" s="1"/>
  <c r="D18" i="53"/>
  <c r="O24" i="52"/>
  <c r="O45" i="52" s="1"/>
  <c r="D18" i="52"/>
  <c r="O24" i="51"/>
  <c r="O45" i="51" s="1"/>
  <c r="D18" i="51"/>
  <c r="O24" i="50"/>
  <c r="O45" i="50" s="1"/>
  <c r="D18" i="50"/>
  <c r="D72" i="53"/>
  <c r="B77" i="53" s="1"/>
  <c r="C16" i="53" s="1"/>
  <c r="AA49" i="53"/>
  <c r="O49" i="53"/>
  <c r="AI21" i="53"/>
  <c r="AE21" i="53"/>
  <c r="AA21" i="53"/>
  <c r="W21" i="53"/>
  <c r="S21" i="53"/>
  <c r="O21" i="53"/>
  <c r="A6" i="53"/>
  <c r="D72" i="52"/>
  <c r="B77" i="52" s="1"/>
  <c r="C16" i="52" s="1"/>
  <c r="AA49" i="52"/>
  <c r="O49" i="52"/>
  <c r="AI21" i="52"/>
  <c r="AE21" i="52"/>
  <c r="AA21" i="52"/>
  <c r="W21" i="52"/>
  <c r="S21" i="52"/>
  <c r="O21" i="52"/>
  <c r="A6" i="52"/>
  <c r="D72" i="51"/>
  <c r="B77" i="51" s="1"/>
  <c r="C16" i="51" s="1"/>
  <c r="AA49" i="51"/>
  <c r="O49" i="51"/>
  <c r="AI21" i="51"/>
  <c r="AE21" i="51"/>
  <c r="AA21" i="51"/>
  <c r="W21" i="51"/>
  <c r="S21" i="51"/>
  <c r="O21" i="51"/>
  <c r="A6" i="51"/>
  <c r="D72" i="50"/>
  <c r="B77" i="50" s="1"/>
  <c r="C16" i="50" s="1"/>
  <c r="AA49" i="50"/>
  <c r="O49" i="50"/>
  <c r="AI21" i="50"/>
  <c r="AE21" i="50"/>
  <c r="AA21" i="50"/>
  <c r="W21" i="50"/>
  <c r="S21" i="50"/>
  <c r="O21" i="50"/>
  <c r="A6" i="50"/>
  <c r="C18" i="36" l="1"/>
  <c r="C22" i="36" s="1"/>
  <c r="C34" i="36"/>
  <c r="C35" i="36" s="1"/>
  <c r="B69" i="53"/>
  <c r="C14" i="53" s="1"/>
  <c r="B69" i="52"/>
  <c r="C14" i="52" s="1"/>
  <c r="B69" i="51"/>
  <c r="C14" i="51" s="1"/>
  <c r="B69" i="50"/>
  <c r="C14" i="50" s="1"/>
  <c r="D96" i="4" l="1"/>
  <c r="C37" i="36"/>
  <c r="C44" i="36" s="1"/>
  <c r="I3" i="49" l="1"/>
  <c r="I4" i="49"/>
  <c r="I5" i="49"/>
  <c r="I6" i="49"/>
  <c r="I7" i="49"/>
  <c r="I8" i="49"/>
  <c r="A12" i="62" l="1"/>
  <c r="A12" i="60"/>
  <c r="A12" i="59"/>
  <c r="A12" i="61"/>
  <c r="D4" i="49" l="1"/>
  <c r="D3" i="49"/>
  <c r="D8" i="49"/>
  <c r="D7" i="49"/>
  <c r="D6" i="49"/>
  <c r="D5" i="49"/>
  <c r="D78" i="4" l="1"/>
  <c r="H32" i="11" l="1"/>
  <c r="E12" i="4" l="1"/>
  <c r="D14" i="4" l="1"/>
  <c r="D13" i="4"/>
  <c r="C6" i="32"/>
  <c r="F35" i="11"/>
  <c r="G35" i="11" s="1"/>
  <c r="H13" i="4"/>
  <c r="A24" i="48"/>
  <c r="D22" i="48"/>
  <c r="A21" i="48"/>
  <c r="B17" i="48"/>
  <c r="A17" i="48"/>
  <c r="A9" i="48"/>
  <c r="B19" i="48" s="1"/>
  <c r="F3" i="48"/>
  <c r="A3" i="48" s="1"/>
  <c r="A1" i="48"/>
  <c r="A28" i="10"/>
  <c r="A31" i="10"/>
  <c r="D29" i="10"/>
  <c r="A21" i="10"/>
  <c r="B21" i="10"/>
  <c r="E6" i="32"/>
  <c r="D23" i="48"/>
  <c r="D24" i="48"/>
  <c r="D26" i="11"/>
  <c r="C2" i="32"/>
  <c r="H12" i="4"/>
  <c r="G14" i="4" s="1"/>
  <c r="A23" i="48"/>
  <c r="F3" i="11"/>
  <c r="A3" i="11" s="1"/>
  <c r="F3" i="10"/>
  <c r="A3" i="10" s="1"/>
  <c r="E98" i="4"/>
  <c r="D98" i="4"/>
  <c r="E31" i="11"/>
  <c r="D21" i="11"/>
  <c r="B21" i="11"/>
  <c r="A21" i="11"/>
  <c r="A9" i="11"/>
  <c r="A9" i="10"/>
  <c r="B26" i="10" s="1"/>
  <c r="A1" i="10"/>
  <c r="E12" i="32" l="1"/>
  <c r="C12" i="32"/>
  <c r="E36" i="11"/>
  <c r="E37" i="11" s="1"/>
  <c r="D15" i="4"/>
  <c r="D9" i="4"/>
  <c r="A10" i="10"/>
  <c r="E14" i="32"/>
  <c r="E49" i="36" s="1"/>
  <c r="G13" i="4"/>
  <c r="B25" i="11"/>
  <c r="G36" i="11"/>
  <c r="G37" i="11" s="1"/>
  <c r="A33" i="11"/>
  <c r="C14" i="32" l="1"/>
  <c r="A29" i="11"/>
  <c r="D14" i="11"/>
  <c r="D25" i="11" s="1"/>
  <c r="E50" i="36"/>
  <c r="A10" i="11"/>
  <c r="A10" i="48"/>
  <c r="G9" i="4"/>
  <c r="D14" i="48"/>
  <c r="A14" i="48" s="1"/>
  <c r="C49" i="36"/>
  <c r="G15" i="4"/>
  <c r="A41" i="11"/>
  <c r="F21" i="48"/>
  <c r="A22" i="48" s="1"/>
  <c r="F28" i="10"/>
  <c r="A29" i="10" s="1"/>
  <c r="F41" i="11" l="1"/>
  <c r="A37" i="11" s="1"/>
  <c r="A11" i="59"/>
  <c r="A11" i="62"/>
  <c r="A11" i="61"/>
  <c r="C50" i="36"/>
  <c r="A11" i="60"/>
  <c r="A7" i="53"/>
  <c r="A7" i="52"/>
  <c r="A7" i="51"/>
  <c r="A7" i="50"/>
  <c r="A14" i="11"/>
  <c r="F24" i="11"/>
  <c r="F27" i="11" s="1"/>
  <c r="D17" i="48"/>
  <c r="D19" i="48" s="1"/>
  <c r="E23" i="48" s="1"/>
  <c r="D14" i="10"/>
  <c r="A14" i="10" s="1"/>
  <c r="C21" i="10"/>
  <c r="D24" i="10" s="1"/>
  <c r="D27" i="11" l="1"/>
  <c r="C33" i="11" s="1"/>
  <c r="D35" i="11" s="1"/>
  <c r="A25" i="11"/>
  <c r="C41" i="11"/>
  <c r="D43" i="11" s="1"/>
  <c r="A19" i="48"/>
  <c r="D26" i="10"/>
  <c r="D30" i="10" s="1"/>
  <c r="D31" i="10" s="1"/>
  <c r="A27" i="32"/>
  <c r="E43" i="11"/>
  <c r="D37" i="11" l="1"/>
  <c r="D38" i="11" s="1"/>
  <c r="A26" i="10"/>
  <c r="E30" i="10"/>
  <c r="A30" i="10" s="1"/>
  <c r="D45" i="11" l="1"/>
  <c r="D116" i="4"/>
</calcChain>
</file>

<file path=xl/sharedStrings.xml><?xml version="1.0" encoding="utf-8"?>
<sst xmlns="http://schemas.openxmlformats.org/spreadsheetml/2006/main" count="935" uniqueCount="473">
  <si>
    <t>)</t>
    <phoneticPr fontId="11" type="noConversion"/>
  </si>
  <si>
    <t xml:space="preserve">FOR THE </t>
    <phoneticPr fontId="11" type="noConversion"/>
  </si>
  <si>
    <t>General:</t>
    <phoneticPr fontId="11" type="noConversion"/>
  </si>
  <si>
    <t>Company's name</t>
    <phoneticPr fontId="11" type="noConversion"/>
  </si>
  <si>
    <t>In Chinese</t>
    <phoneticPr fontId="11" type="noConversion"/>
  </si>
  <si>
    <t>Year/period ended:</t>
    <phoneticPr fontId="11" type="noConversion"/>
  </si>
  <si>
    <t>Year/period</t>
    <phoneticPr fontId="11" type="noConversion"/>
  </si>
  <si>
    <t>This year</t>
    <phoneticPr fontId="11" type="noConversion"/>
  </si>
  <si>
    <t>Last year</t>
    <phoneticPr fontId="11" type="noConversion"/>
  </si>
  <si>
    <t>Period from</t>
    <phoneticPr fontId="11" type="noConversion"/>
  </si>
  <si>
    <t>To</t>
    <phoneticPr fontId="11" type="noConversion"/>
  </si>
  <si>
    <t>No. of Months</t>
    <phoneticPr fontId="11" type="noConversion"/>
  </si>
  <si>
    <t>No. of Days</t>
    <phoneticPr fontId="11" type="noConversion"/>
  </si>
  <si>
    <t>Therefore over/within 18 months</t>
    <phoneticPr fontId="11" type="noConversion"/>
  </si>
  <si>
    <t>Registered office</t>
    <phoneticPr fontId="11" type="noConversion"/>
  </si>
  <si>
    <t>Clean/disclaimer</t>
    <phoneticPr fontId="11" type="noConversion"/>
  </si>
  <si>
    <t>1=Clean, 0=Disclaimer</t>
    <phoneticPr fontId="11" type="noConversion"/>
  </si>
  <si>
    <t>First audit?</t>
    <phoneticPr fontId="11" type="noConversion"/>
  </si>
  <si>
    <t>1=Yes, 0=No</t>
    <phoneticPr fontId="11" type="noConversion"/>
  </si>
  <si>
    <t>Any PPE?</t>
    <phoneticPr fontId="11" type="noConversion"/>
  </si>
  <si>
    <t>Related party transactions?</t>
    <phoneticPr fontId="11" type="noConversion"/>
  </si>
  <si>
    <t>Professional clearance</t>
    <phoneticPr fontId="11" type="noConversion"/>
  </si>
  <si>
    <t>Name of former auditor</t>
    <phoneticPr fontId="11" type="noConversion"/>
  </si>
  <si>
    <t>Address of former auditor, spread the address in 2 cells</t>
    <phoneticPr fontId="11" type="noConversion"/>
  </si>
  <si>
    <t>Change of co. name?</t>
    <phoneticPr fontId="11" type="noConversion"/>
  </si>
  <si>
    <t>if yes, old co. name?</t>
    <phoneticPr fontId="11" type="noConversion"/>
  </si>
  <si>
    <t>Please fill in Eng and Chi name</t>
    <phoneticPr fontId="11" type="noConversion"/>
  </si>
  <si>
    <t>Since when?</t>
    <phoneticPr fontId="11" type="noConversion"/>
  </si>
  <si>
    <t>Change of financial year end?</t>
    <phoneticPr fontId="11" type="noConversion"/>
  </si>
  <si>
    <t>Date of board resolution?</t>
    <phoneticPr fontId="11" type="noConversion"/>
  </si>
  <si>
    <t>Last year end?</t>
    <phoneticPr fontId="11" type="noConversion"/>
  </si>
  <si>
    <t>30 September</t>
    <phoneticPr fontId="11" type="noConversion"/>
  </si>
  <si>
    <t>i.e. 30 September</t>
    <phoneticPr fontId="11" type="noConversion"/>
  </si>
  <si>
    <t>Reason to change?</t>
    <phoneticPr fontId="11" type="noConversion"/>
  </si>
  <si>
    <t xml:space="preserve"> in order to align with the PRC business operation</t>
    <phoneticPr fontId="11" type="noConversion"/>
  </si>
  <si>
    <t>Principal activities</t>
    <phoneticPr fontId="11" type="noConversion"/>
  </si>
  <si>
    <t>Presentation currency</t>
    <phoneticPr fontId="11" type="noConversion"/>
  </si>
  <si>
    <t>BR/Tax file no.</t>
    <phoneticPr fontId="11" type="noConversion"/>
  </si>
  <si>
    <t>http://www.gov.hk/en/residents/taxes/etax/services/brn_enquiry.htm</t>
    <phoneticPr fontId="11" type="noConversion"/>
  </si>
  <si>
    <t>No. of director(s)</t>
    <phoneticPr fontId="11" type="noConversion"/>
  </si>
  <si>
    <t>Director's name</t>
    <phoneticPr fontId="11" type="noConversion"/>
  </si>
  <si>
    <t>Relationship with</t>
    <phoneticPr fontId="11" type="noConversion"/>
  </si>
  <si>
    <t>the Company</t>
    <phoneticPr fontId="11" type="noConversion"/>
  </si>
  <si>
    <t>Current account</t>
    <phoneticPr fontId="11" type="noConversion"/>
  </si>
  <si>
    <t>Due to a director</t>
    <phoneticPr fontId="11" type="noConversion"/>
  </si>
  <si>
    <t>Due from a director</t>
    <phoneticPr fontId="11" type="noConversion"/>
  </si>
  <si>
    <t>Amount</t>
    <phoneticPr fontId="11" type="noConversion"/>
  </si>
  <si>
    <t>Note: if due to, show as negative ( )</t>
    <phoneticPr fontId="11" type="noConversion"/>
  </si>
  <si>
    <t>Terms</t>
    <phoneticPr fontId="11" type="noConversion"/>
  </si>
  <si>
    <t>Unsecured, interest free and repayable on demand</t>
    <phoneticPr fontId="11" type="noConversion"/>
  </si>
  <si>
    <t>Director's emoluments:</t>
    <phoneticPr fontId="11" type="noConversion"/>
  </si>
  <si>
    <t>Emoluments:</t>
    <phoneticPr fontId="11" type="noConversion"/>
  </si>
  <si>
    <t>141D</t>
    <phoneticPr fontId="11" type="noConversion"/>
  </si>
  <si>
    <t>No. of shareholder(s)</t>
    <phoneticPr fontId="11" type="noConversion"/>
  </si>
  <si>
    <t>Shareholder/shareholders</t>
    <phoneticPr fontId="11" type="noConversion"/>
  </si>
  <si>
    <t>his/her/their</t>
    <phoneticPr fontId="11" type="noConversion"/>
  </si>
  <si>
    <t>his</t>
    <phoneticPr fontId="11" type="noConversion"/>
  </si>
  <si>
    <t>her</t>
    <phoneticPr fontId="11" type="noConversion"/>
  </si>
  <si>
    <t>their</t>
    <phoneticPr fontId="11" type="noConversion"/>
  </si>
  <si>
    <t>I/We</t>
    <phoneticPr fontId="11" type="noConversion"/>
  </si>
  <si>
    <t>Shareholder's name</t>
    <phoneticPr fontId="11" type="noConversion"/>
  </si>
  <si>
    <t>Letter of support</t>
    <phoneticPr fontId="11" type="noConversion"/>
  </si>
  <si>
    <t>Net liabilities</t>
    <phoneticPr fontId="11" type="noConversion"/>
  </si>
  <si>
    <t>Petty cash confirmation</t>
    <phoneticPr fontId="11" type="noConversion"/>
  </si>
  <si>
    <t>Adjustment</t>
    <phoneticPr fontId="11" type="noConversion"/>
  </si>
  <si>
    <t>Net loss or profits before tax</t>
    <phoneticPr fontId="11" type="noConversion"/>
  </si>
  <si>
    <t>Tax expenses</t>
    <phoneticPr fontId="11" type="noConversion"/>
  </si>
  <si>
    <t>Tax computation</t>
    <phoneticPr fontId="11" type="noConversion"/>
  </si>
  <si>
    <t>year of assessment</t>
    <phoneticPr fontId="11" type="noConversion"/>
  </si>
  <si>
    <t>Basic period</t>
    <phoneticPr fontId="11" type="noConversion"/>
  </si>
  <si>
    <t>Interest income</t>
    <phoneticPr fontId="11" type="noConversion"/>
  </si>
  <si>
    <t>Please fill in as negative amount (i.e. -1)</t>
    <phoneticPr fontId="11" type="noConversion"/>
  </si>
  <si>
    <t>If no interest income, please fill in "0"</t>
    <phoneticPr fontId="11" type="noConversion"/>
  </si>
  <si>
    <t>Tax loss b/f</t>
    <phoneticPr fontId="11" type="noConversion"/>
  </si>
  <si>
    <t>Bank confirmation</t>
    <phoneticPr fontId="11" type="noConversion"/>
  </si>
  <si>
    <t>Bank's name</t>
    <phoneticPr fontId="11" type="noConversion"/>
  </si>
  <si>
    <t>Account number</t>
    <phoneticPr fontId="11" type="noConversion"/>
  </si>
  <si>
    <t>Auditor</t>
    <phoneticPr fontId="11" type="noConversion"/>
  </si>
  <si>
    <t>Auditor's name</t>
    <phoneticPr fontId="11" type="noConversion"/>
  </si>
  <si>
    <t>Auditor's address</t>
    <phoneticPr fontId="11" type="noConversion"/>
  </si>
  <si>
    <t>Auditor's fax number</t>
    <phoneticPr fontId="11" type="noConversion"/>
  </si>
  <si>
    <t>Auditor's tel number</t>
    <phoneticPr fontId="11" type="noConversion"/>
  </si>
  <si>
    <t>TAX REP</t>
    <phoneticPr fontId="11" type="noConversion"/>
  </si>
  <si>
    <t>BANK CONF.</t>
    <phoneticPr fontId="11" type="noConversion"/>
  </si>
  <si>
    <t>Auditor's BR number</t>
    <phoneticPr fontId="11" type="noConversion"/>
  </si>
  <si>
    <t>NOTICE OF</t>
  </si>
  <si>
    <t>PARTICULARS AS TO REMUNERATION</t>
  </si>
  <si>
    <t>OF, AND LOANS TO DIRECTORS</t>
  </si>
  <si>
    <t>TO</t>
  </si>
  <si>
    <t xml:space="preserve">ENDED </t>
    <phoneticPr fontId="11" type="noConversion"/>
  </si>
  <si>
    <t xml:space="preserve"> </t>
    <phoneticPr fontId="11" type="noConversion"/>
  </si>
  <si>
    <t>I HEREBY DECLARE that the undermentioned statement:</t>
    <phoneticPr fontId="11" type="noConversion"/>
  </si>
  <si>
    <t>(A)</t>
    <phoneticPr fontId="11" type="noConversion"/>
  </si>
  <si>
    <t xml:space="preserve">includes the whole of the emoluments, pensions and compensation for loss of office received and receivable by me from the above Company </t>
    <phoneticPr fontId="11" type="noConversion"/>
  </si>
  <si>
    <t xml:space="preserve">and its subsidiaries and any other company or person by way of remuneration for my services as director of the Company or any Subsidiary </t>
    <phoneticPr fontId="11" type="noConversion"/>
  </si>
  <si>
    <t xml:space="preserve">thereof or in connection with the management of the Company or any Subsidiary thereof in respect of the period referred to above as required </t>
    <phoneticPr fontId="11" type="noConversion"/>
  </si>
  <si>
    <t xml:space="preserve">(B) </t>
    <phoneticPr fontId="11" type="noConversion"/>
  </si>
  <si>
    <t xml:space="preserve">includes the amount of all loans made to me during the above period and of loans made to be before the commencement of the above period </t>
    <phoneticPr fontId="11" type="noConversion"/>
  </si>
  <si>
    <t>Name</t>
    <phoneticPr fontId="15" type="noConversion"/>
  </si>
  <si>
    <t>From the Company</t>
    <phoneticPr fontId="15" type="noConversion"/>
  </si>
  <si>
    <t>From the Subsidiary Company(ies)</t>
    <phoneticPr fontId="15" type="noConversion"/>
  </si>
  <si>
    <t>From any other Company or person in relation to such service</t>
    <phoneticPr fontId="15" type="noConversion"/>
  </si>
  <si>
    <t>Position</t>
    <phoneticPr fontId="15" type="noConversion"/>
  </si>
  <si>
    <t>DIRECTOR</t>
    <phoneticPr fontId="15" type="noConversion"/>
  </si>
  <si>
    <t>As Director</t>
    <phoneticPr fontId="15" type="noConversion"/>
  </si>
  <si>
    <t>As Executive</t>
    <phoneticPr fontId="15" type="noConversion"/>
  </si>
  <si>
    <t>(A)</t>
    <phoneticPr fontId="15" type="noConversion"/>
  </si>
  <si>
    <t>(1)</t>
    <phoneticPr fontId="15" type="noConversion"/>
  </si>
  <si>
    <t>EMOLUMENTS :-</t>
    <phoneticPr fontId="15" type="noConversion"/>
  </si>
  <si>
    <t>Fees</t>
    <phoneticPr fontId="15" type="noConversion"/>
  </si>
  <si>
    <t>Salary and bonus</t>
    <phoneticPr fontId="15" type="noConversion"/>
  </si>
  <si>
    <t>Commission</t>
    <phoneticPr fontId="15" type="noConversion"/>
  </si>
  <si>
    <t>Expense Allowance in excess of actual expenses</t>
    <phoneticPr fontId="15" type="noConversion"/>
  </si>
  <si>
    <t xml:space="preserve">Contributions to a pension fund paid by any of </t>
    <phoneticPr fontId="15" type="noConversion"/>
  </si>
  <si>
    <t>the Companies</t>
    <phoneticPr fontId="15" type="noConversion"/>
  </si>
  <si>
    <t>Contributions to Mandatory provident fund</t>
    <phoneticPr fontId="15" type="noConversion"/>
  </si>
  <si>
    <t xml:space="preserve">Estimated money value of any benefits received </t>
    <phoneticPr fontId="15" type="noConversion"/>
  </si>
  <si>
    <t>otherwise than in cash</t>
    <phoneticPr fontId="15" type="noConversion"/>
  </si>
  <si>
    <t>e.g.</t>
    <phoneticPr fontId="15" type="noConversion"/>
  </si>
  <si>
    <t>Insurance</t>
    <phoneticPr fontId="15" type="noConversion"/>
  </si>
  <si>
    <t>(2)</t>
    <phoneticPr fontId="15" type="noConversion"/>
  </si>
  <si>
    <t>PENSIONS :-</t>
    <phoneticPr fontId="15" type="noConversion"/>
  </si>
  <si>
    <t>Pensions received (other than from a properly</t>
    <phoneticPr fontId="15" type="noConversion"/>
  </si>
  <si>
    <t>constitued persion fund) including</t>
    <phoneticPr fontId="15" type="noConversion"/>
  </si>
  <si>
    <t>superannuation allowances, superannuation</t>
    <phoneticPr fontId="15" type="noConversion"/>
  </si>
  <si>
    <t>gratuities, or similar payments</t>
    <phoneticPr fontId="15" type="noConversion"/>
  </si>
  <si>
    <t>As Director :</t>
    <phoneticPr fontId="15" type="noConversion"/>
  </si>
  <si>
    <t>As Executive :</t>
    <phoneticPr fontId="15" type="noConversion"/>
  </si>
  <si>
    <t>(3)</t>
    <phoneticPr fontId="15" type="noConversion"/>
  </si>
  <si>
    <t>COMPENSATION FOR LOSS OF OFFICE</t>
    <phoneticPr fontId="15" type="noConversion"/>
  </si>
  <si>
    <t>NIL</t>
    <phoneticPr fontId="15" type="noConversion"/>
  </si>
  <si>
    <t>By the Company or a Subsidiary thereof</t>
    <phoneticPr fontId="15" type="noConversion"/>
  </si>
  <si>
    <t>By any other pension under a guarantee from or on a security provided by the Company or a Subsidiary thereof</t>
    <phoneticPr fontId="15" type="noConversion"/>
  </si>
  <si>
    <t>(B)</t>
    <phoneticPr fontId="15" type="noConversion"/>
  </si>
  <si>
    <t>LOANS :-</t>
    <phoneticPr fontId="15" type="noConversion"/>
  </si>
  <si>
    <t>Loans received during the year</t>
    <phoneticPr fontId="15" type="noConversion"/>
  </si>
  <si>
    <t>Less: Loans included above repaid during the year</t>
    <phoneticPr fontId="15" type="noConversion"/>
  </si>
  <si>
    <t>Add: Loans made in previous year(s) still</t>
    <phoneticPr fontId="15" type="noConversion"/>
  </si>
  <si>
    <t>outstanding at balance sheet date</t>
    <phoneticPr fontId="15" type="noConversion"/>
  </si>
  <si>
    <t>Sign:</t>
    <phoneticPr fontId="11" type="noConversion"/>
  </si>
  <si>
    <t>Date:</t>
    <phoneticPr fontId="11" type="noConversion"/>
  </si>
  <si>
    <t xml:space="preserve">to be disclosed under Section </t>
    <phoneticPr fontId="11" type="noConversion"/>
  </si>
  <si>
    <t xml:space="preserve"> of the Companies Ordinance;</t>
    <phoneticPr fontId="11" type="noConversion"/>
  </si>
  <si>
    <t xml:space="preserve">which were outstanding at the expiration thereof as required to be disclosed under Section </t>
    <phoneticPr fontId="11" type="noConversion"/>
  </si>
  <si>
    <t xml:space="preserve"> of the Companies Ordinance.</t>
    <phoneticPr fontId="11" type="noConversion"/>
  </si>
  <si>
    <t>.</t>
    <phoneticPr fontId="11" type="noConversion"/>
  </si>
  <si>
    <t>AUDIT CONFIRMATION</t>
  </si>
  <si>
    <t>FOR DIRECTORS AND RELATED PARTIES</t>
  </si>
  <si>
    <t xml:space="preserve">Name of director / related party: </t>
    <phoneticPr fontId="11" type="noConversion"/>
  </si>
  <si>
    <t>Name of the company under examination:</t>
    <phoneticPr fontId="11" type="noConversion"/>
  </si>
  <si>
    <t>Relationship with the company concerned:</t>
    <phoneticPr fontId="11" type="noConversion"/>
  </si>
  <si>
    <t>We find that the transactions / balances on your account are as follows:-</t>
    <phoneticPr fontId="11" type="noConversion"/>
  </si>
  <si>
    <t xml:space="preserve">In the course of our regular examination of the account of the above company for the </t>
    <phoneticPr fontId="11" type="noConversion"/>
  </si>
  <si>
    <t>Terms of the account</t>
  </si>
  <si>
    <t>ended</t>
    <phoneticPr fontId="11" type="noConversion"/>
  </si>
  <si>
    <t>Total amount of</t>
  </si>
  <si>
    <t>Amount outstanding at</t>
  </si>
  <si>
    <t>including security,</t>
  </si>
  <si>
    <t>Account nature</t>
  </si>
  <si>
    <t>transactions / Maximum</t>
  </si>
  <si>
    <t xml:space="preserve">end of year: </t>
    <phoneticPr fontId="11" type="noConversion"/>
  </si>
  <si>
    <t>interest rate and</t>
  </si>
  <si>
    <r>
      <t>advance* during the yea</t>
    </r>
    <r>
      <rPr>
        <sz val="10.5"/>
        <color theme="1"/>
        <rFont val="Times New Roman"/>
        <family val="1"/>
      </rPr>
      <t>r</t>
    </r>
  </si>
  <si>
    <t>repayment term</t>
  </si>
  <si>
    <t>NIL</t>
  </si>
  <si>
    <t>end of year: Due by /</t>
  </si>
  <si>
    <t>advance* during the year</t>
  </si>
  <si>
    <t>(Due to)* the company</t>
  </si>
  <si>
    <r>
      <t xml:space="preserve">   </t>
    </r>
    <r>
      <rPr>
        <sz val="10"/>
        <color theme="1"/>
        <rFont val="Times New Roman"/>
        <family val="1"/>
      </rPr>
      <t>repayment term</t>
    </r>
    <r>
      <rPr>
        <sz val="10.5"/>
        <color theme="1"/>
        <rFont val="Times New Roman"/>
        <family val="1"/>
      </rPr>
      <t xml:space="preserve"> </t>
    </r>
  </si>
  <si>
    <t>N/A</t>
  </si>
  <si>
    <t>* Delete whichever not applicable</t>
  </si>
  <si>
    <t xml:space="preserve">If the above information agrees with your records, please confirm by signing in the space provided </t>
    <phoneticPr fontId="11" type="noConversion"/>
  </si>
  <si>
    <t>below and returning this letter to us in the enclosed envelope.</t>
    <phoneticPr fontId="11" type="noConversion"/>
  </si>
  <si>
    <t xml:space="preserve">If the above information is not in agreement with your records, please write to us direct giving details </t>
    <phoneticPr fontId="11" type="noConversion"/>
  </si>
  <si>
    <t>of the difference.</t>
    <phoneticPr fontId="11" type="noConversion"/>
  </si>
  <si>
    <t>Yours faithfully,</t>
  </si>
  <si>
    <t>Confirmed:</t>
    <phoneticPr fontId="11" type="noConversion"/>
  </si>
  <si>
    <t>Date:</t>
  </si>
  <si>
    <t xml:space="preserve">                     </t>
  </si>
  <si>
    <t xml:space="preserve">FILE NO. : </t>
    <phoneticPr fontId="11" type="noConversion"/>
  </si>
  <si>
    <t>COMPUTATION</t>
    <phoneticPr fontId="15" type="noConversion"/>
  </si>
  <si>
    <t>PROFITS TAX</t>
    <phoneticPr fontId="15" type="noConversion"/>
  </si>
  <si>
    <t xml:space="preserve">(Basis Period: </t>
    <phoneticPr fontId="11" type="noConversion"/>
  </si>
  <si>
    <t>HK$</t>
    <phoneticPr fontId="15" type="noConversion"/>
  </si>
  <si>
    <t>Per Income Statement</t>
    <phoneticPr fontId="15" type="noConversion"/>
  </si>
  <si>
    <t>Inactive?</t>
    <phoneticPr fontId="11" type="noConversion"/>
  </si>
  <si>
    <t>If inactive = 1, not inactive = 0</t>
    <phoneticPr fontId="11" type="noConversion"/>
  </si>
  <si>
    <t xml:space="preserve">   attached herewith</t>
    <phoneticPr fontId="15" type="noConversion"/>
  </si>
  <si>
    <t xml:space="preserve">For the Year of Assessment </t>
    <phoneticPr fontId="11" type="noConversion"/>
  </si>
  <si>
    <t xml:space="preserve">Note: The Company was inactive during the </t>
    <phoneticPr fontId="11" type="noConversion"/>
  </si>
  <si>
    <t xml:space="preserve">for the year of assessment </t>
    <phoneticPr fontId="11" type="noConversion"/>
  </si>
  <si>
    <t>TAX LOSS B/F</t>
    <phoneticPr fontId="11" type="noConversion"/>
  </si>
  <si>
    <t xml:space="preserve">FINAL ASSESSMENT </t>
    <phoneticPr fontId="11" type="noConversion"/>
  </si>
  <si>
    <t>Final assessment:-</t>
    <phoneticPr fontId="15" type="noConversion"/>
  </si>
  <si>
    <t xml:space="preserve"> AND PROVISIONAL PAYMENT </t>
    <phoneticPr fontId="11" type="noConversion"/>
  </si>
  <si>
    <t>Tax @ 16.5%</t>
    <phoneticPr fontId="15" type="noConversion"/>
  </si>
  <si>
    <t>/</t>
    <phoneticPr fontId="11" type="noConversion"/>
  </si>
  <si>
    <t xml:space="preserve">Assessable profit for the year of assessment </t>
    <phoneticPr fontId="11" type="noConversion"/>
  </si>
  <si>
    <t>Provisional payment:-</t>
    <phoneticPr fontId="15" type="noConversion"/>
  </si>
  <si>
    <t>Total tax payable</t>
    <phoneticPr fontId="15" type="noConversion"/>
  </si>
  <si>
    <t>Dr.</t>
    <phoneticPr fontId="15" type="noConversion"/>
  </si>
  <si>
    <t>Cr.</t>
    <phoneticPr fontId="15" type="noConversion"/>
  </si>
  <si>
    <t>Tax expenses</t>
    <phoneticPr fontId="15" type="noConversion"/>
  </si>
  <si>
    <t>Tax payable</t>
    <phoneticPr fontId="15" type="noConversion"/>
  </si>
  <si>
    <t>Notes</t>
    <phoneticPr fontId="15" type="noConversion"/>
  </si>
  <si>
    <t>Turnover</t>
    <phoneticPr fontId="15" type="noConversion"/>
  </si>
  <si>
    <t>Cost of turnover</t>
    <phoneticPr fontId="15" type="noConversion"/>
  </si>
  <si>
    <t>Gross profit</t>
    <phoneticPr fontId="11" type="noConversion"/>
  </si>
  <si>
    <t>Other turnover</t>
    <phoneticPr fontId="15" type="noConversion"/>
  </si>
  <si>
    <t>Administrative expenses</t>
    <phoneticPr fontId="15" type="noConversion"/>
  </si>
  <si>
    <t>Taxation</t>
    <phoneticPr fontId="15" type="noConversion"/>
  </si>
  <si>
    <t xml:space="preserve">  The accompanying notes form an integral part of the financial statements.</t>
    <phoneticPr fontId="11" type="noConversion"/>
  </si>
  <si>
    <t xml:space="preserve">  Property, plant and equipment</t>
    <phoneticPr fontId="11" type="noConversion"/>
  </si>
  <si>
    <t>CURRENT ASSETS</t>
    <phoneticPr fontId="15" type="noConversion"/>
  </si>
  <si>
    <t>CURRENT LIABILITIES</t>
    <phoneticPr fontId="15" type="noConversion"/>
  </si>
  <si>
    <t>CAPITAL AND RESERVES</t>
    <phoneticPr fontId="15" type="noConversion"/>
  </si>
  <si>
    <t xml:space="preserve">  Issued capital</t>
    <phoneticPr fontId="11" type="noConversion"/>
  </si>
  <si>
    <t xml:space="preserve">  Other fund from a shareholder</t>
    <phoneticPr fontId="11" type="noConversion"/>
  </si>
  <si>
    <t>Audit and other professional fees</t>
    <phoneticPr fontId="11" type="noConversion"/>
  </si>
  <si>
    <t>Commission expenses</t>
    <phoneticPr fontId="11" type="noConversion"/>
  </si>
  <si>
    <t>Depreciation expenses</t>
  </si>
  <si>
    <t>this year</t>
    <phoneticPr fontId="11" type="noConversion"/>
  </si>
  <si>
    <t>Rental expenses</t>
  </si>
  <si>
    <t>Director's remuneration</t>
  </si>
  <si>
    <t xml:space="preserve"> - Fees</t>
  </si>
  <si>
    <t xml:space="preserve"> - Other emoluments</t>
  </si>
  <si>
    <t>PROPERTY, PLANT AND EQUIPMENT</t>
  </si>
  <si>
    <t>Total</t>
  </si>
  <si>
    <t>Cost</t>
  </si>
  <si>
    <t>Addition</t>
  </si>
  <si>
    <t>Accumulated depreciation</t>
  </si>
  <si>
    <t>Net Book Value</t>
  </si>
  <si>
    <t>MATERIAL RELATED PARTY TRANSACTIONS</t>
    <phoneticPr fontId="11" type="noConversion"/>
  </si>
  <si>
    <t>During the year, the Company has entered into the transactions with the following party:</t>
    <phoneticPr fontId="11" type="noConversion"/>
  </si>
  <si>
    <t>Name of party</t>
    <phoneticPr fontId="11" type="noConversion"/>
  </si>
  <si>
    <t>director</t>
    <phoneticPr fontId="11" type="noConversion"/>
  </si>
  <si>
    <t xml:space="preserve">75% Tax deduction, limit to </t>
    <phoneticPr fontId="11" type="noConversion"/>
  </si>
  <si>
    <t>Business nature</t>
    <phoneticPr fontId="11" type="noConversion"/>
  </si>
  <si>
    <t>Name of 1st director</t>
    <phoneticPr fontId="11" type="noConversion"/>
  </si>
  <si>
    <t>Name of 2nd director</t>
    <phoneticPr fontId="11" type="noConversion"/>
  </si>
  <si>
    <t>Name of 3rd director</t>
    <phoneticPr fontId="11" type="noConversion"/>
  </si>
  <si>
    <t>Name of 4th director</t>
    <phoneticPr fontId="11" type="noConversion"/>
  </si>
  <si>
    <t>Name of 5th director</t>
    <phoneticPr fontId="11" type="noConversion"/>
  </si>
  <si>
    <t>Name of 6th director</t>
    <phoneticPr fontId="11" type="noConversion"/>
  </si>
  <si>
    <t>last year</t>
    <phoneticPr fontId="11" type="noConversion"/>
  </si>
  <si>
    <t>Due from/(to)</t>
    <phoneticPr fontId="11" type="noConversion"/>
  </si>
  <si>
    <t>Emolument</t>
    <phoneticPr fontId="11" type="noConversion"/>
  </si>
  <si>
    <t>director</t>
  </si>
  <si>
    <t>Appointed</t>
    <phoneticPr fontId="11" type="noConversion"/>
  </si>
  <si>
    <t>Resigned</t>
    <phoneticPr fontId="11" type="noConversion"/>
  </si>
  <si>
    <t>if 1st audit, no need fill</t>
    <phoneticPr fontId="11" type="noConversion"/>
  </si>
  <si>
    <t>if not, fill here</t>
    <phoneticPr fontId="11" type="noConversion"/>
  </si>
  <si>
    <t>Existing director</t>
    <phoneticPr fontId="11" type="noConversion"/>
  </si>
  <si>
    <t>DENG DENG GUI</t>
    <phoneticPr fontId="11" type="noConversion"/>
  </si>
  <si>
    <t>Due from a director</t>
  </si>
  <si>
    <t>Due from a director</t>
    <phoneticPr fontId="11" type="noConversion"/>
  </si>
  <si>
    <t>Due to a director</t>
    <phoneticPr fontId="11" type="noConversion"/>
  </si>
  <si>
    <t>Change of address?</t>
    <phoneticPr fontId="11" type="noConversion"/>
  </si>
  <si>
    <t>Last address</t>
    <phoneticPr fontId="11" type="noConversion"/>
  </si>
  <si>
    <t>Change date</t>
    <phoneticPr fontId="11" type="noConversion"/>
  </si>
  <si>
    <t>1=changed, 0=no change</t>
    <phoneticPr fontId="11" type="noConversion"/>
  </si>
  <si>
    <t>During the year ended 31 March 2013, the whole operation of the company was outside Hong Kong. The director of the company stationed outside Hong Kong. None of the purchase and sales contracts were effected in Hong Kong. And therefore, the company's assessable profit should not subject to Hong Kong profit tax.</t>
    <phoneticPr fontId="11" type="noConversion"/>
  </si>
  <si>
    <t>Tax @ 16.5%</t>
    <phoneticPr fontId="15" type="noConversion"/>
  </si>
  <si>
    <t>Eric K.H. Tang</t>
  </si>
  <si>
    <t>Disposal</t>
    <phoneticPr fontId="11" type="noConversion"/>
  </si>
  <si>
    <t>Auditor's sign name</t>
    <phoneticPr fontId="11" type="noConversion"/>
  </si>
  <si>
    <t>PC number</t>
    <phoneticPr fontId="11" type="noConversion"/>
  </si>
  <si>
    <t>(852)35823310</t>
  </si>
  <si>
    <t>(852)37569536</t>
  </si>
  <si>
    <t>IRD Letter signer</t>
    <phoneticPr fontId="11" type="noConversion"/>
  </si>
  <si>
    <t>Formation fees</t>
    <phoneticPr fontId="11" type="noConversion"/>
  </si>
  <si>
    <t>Has holding co.?</t>
    <phoneticPr fontId="11" type="noConversion"/>
  </si>
  <si>
    <t>Name of immediate holding co.</t>
    <phoneticPr fontId="11" type="noConversion"/>
  </si>
  <si>
    <t>Name of ultimate holding co.</t>
    <phoneticPr fontId="11" type="noConversion"/>
  </si>
  <si>
    <t>Eric Tang CPA</t>
    <phoneticPr fontId="11" type="noConversion"/>
  </si>
  <si>
    <t>Finance costs</t>
    <phoneticPr fontId="11" type="noConversion"/>
  </si>
  <si>
    <t>Interest expenses</t>
    <phoneticPr fontId="11" type="noConversion"/>
  </si>
  <si>
    <t>Related directors</t>
    <phoneticPr fontId="11" type="noConversion"/>
  </si>
  <si>
    <t>Leung Chung Pak
Chan Pui Yee</t>
    <phoneticPr fontId="11" type="noConversion"/>
  </si>
  <si>
    <t>Flying King Investment Limited
 - Turnover</t>
    <phoneticPr fontId="11" type="noConversion"/>
  </si>
  <si>
    <t>Flying King Investment Limited
 - Other income</t>
    <phoneticPr fontId="11" type="noConversion"/>
  </si>
  <si>
    <t>Leung Chung Pak
Chan Pui Yee</t>
    <phoneticPr fontId="11" type="noConversion"/>
  </si>
  <si>
    <t>Heaven Sent Enterprises Limited
 - Turnover</t>
    <phoneticPr fontId="11" type="noConversion"/>
  </si>
  <si>
    <t>Leung Chung Pak
Chan Pui Yee</t>
    <phoneticPr fontId="11" type="noConversion"/>
  </si>
  <si>
    <t xml:space="preserve">  Investment in a subsidiary</t>
    <phoneticPr fontId="11" type="noConversion"/>
  </si>
  <si>
    <t>SOWA CO., LTD</t>
    <phoneticPr fontId="11" type="noConversion"/>
  </si>
  <si>
    <t>Gain on disposal of an associate</t>
    <phoneticPr fontId="11" type="noConversion"/>
  </si>
  <si>
    <t>Bad debt</t>
    <phoneticPr fontId="11" type="noConversion"/>
  </si>
  <si>
    <t xml:space="preserve">  Investment in an associate</t>
    <phoneticPr fontId="11" type="noConversion"/>
  </si>
  <si>
    <t>EUR</t>
    <phoneticPr fontId="11" type="noConversion"/>
  </si>
  <si>
    <t>Hong Kong Dollars</t>
  </si>
  <si>
    <t>Hong Kong Dollars</t>
    <phoneticPr fontId="11" type="noConversion"/>
  </si>
  <si>
    <t>HK$</t>
  </si>
  <si>
    <t>HK$</t>
    <phoneticPr fontId="11" type="noConversion"/>
  </si>
  <si>
    <t>港元</t>
  </si>
  <si>
    <t>港元</t>
    <phoneticPr fontId="11" type="noConversion"/>
  </si>
  <si>
    <t>歐元</t>
    <phoneticPr fontId="11" type="noConversion"/>
  </si>
  <si>
    <t>ANTHONY HO &amp; COMPANY Certified Public Accountants</t>
    <phoneticPr fontId="11" type="noConversion"/>
  </si>
  <si>
    <t>Suite 608, 6/F, Weswick Commercial Building,</t>
    <phoneticPr fontId="11" type="noConversion"/>
  </si>
  <si>
    <t>147-151 Queen's Road East, Wanchai, Hong Kong</t>
    <phoneticPr fontId="11" type="noConversion"/>
  </si>
  <si>
    <t>COMMITMENTS UNDER OPERATING LEASES</t>
    <phoneticPr fontId="11" type="noConversion"/>
  </si>
  <si>
    <t>Not later than one year</t>
    <phoneticPr fontId="11" type="noConversion"/>
  </si>
  <si>
    <t>Later than one year</t>
    <phoneticPr fontId="11" type="noConversion"/>
  </si>
  <si>
    <t>HK$1,000,000 5 years loan</t>
    <phoneticPr fontId="11" type="noConversion"/>
  </si>
  <si>
    <t xml:space="preserve"> - fully repayable in December 2015</t>
    <phoneticPr fontId="11" type="noConversion"/>
  </si>
  <si>
    <t>HK$1,065,087 2 years loan</t>
    <phoneticPr fontId="11" type="noConversion"/>
  </si>
  <si>
    <t xml:space="preserve"> - fully repayable in 25 June, 2019</t>
    <phoneticPr fontId="11" type="noConversion"/>
  </si>
  <si>
    <t>The Company had the following total future minimum lease payments payable under non-cancellable operating leases for land and buildings:</t>
    <phoneticPr fontId="11" type="noConversion"/>
  </si>
  <si>
    <t>The bank loans were secured by personal guarantees given by the Company's directors and guarantee issued by the Government of the Hong Kong Special Administrative Region.</t>
    <phoneticPr fontId="11" type="noConversion"/>
  </si>
  <si>
    <t>ADDITIONS TO NON-CURRENT ASSETS</t>
    <phoneticPr fontId="15" type="noConversion"/>
  </si>
  <si>
    <t>Cost</t>
    <phoneticPr fontId="15" type="noConversion"/>
  </si>
  <si>
    <t>20% pool</t>
    <phoneticPr fontId="15" type="noConversion"/>
  </si>
  <si>
    <t>and software</t>
    <phoneticPr fontId="15" type="noConversion"/>
  </si>
  <si>
    <t>Additions to fixed assets</t>
    <phoneticPr fontId="15" type="noConversion"/>
  </si>
  <si>
    <t>Furniture, fixtures and equipment</t>
    <phoneticPr fontId="15" type="noConversion"/>
  </si>
  <si>
    <t xml:space="preserve">Computer hardware </t>
    <phoneticPr fontId="15" type="noConversion"/>
  </si>
  <si>
    <t>Computer hardware and software</t>
    <phoneticPr fontId="15" type="noConversion"/>
  </si>
  <si>
    <t>ADD:</t>
    <phoneticPr fontId="11" type="noConversion"/>
  </si>
  <si>
    <t>Depreciation</t>
    <phoneticPr fontId="11" type="noConversion"/>
  </si>
  <si>
    <t>Penalty</t>
    <phoneticPr fontId="11" type="noConversion"/>
  </si>
  <si>
    <t>DEPRECIATION ALLOWANCE SCHEDULE</t>
    <phoneticPr fontId="15" type="noConversion"/>
  </si>
  <si>
    <t>20% Pool</t>
    <phoneticPr fontId="15" type="noConversion"/>
  </si>
  <si>
    <t>Allowance</t>
    <phoneticPr fontId="15" type="noConversion"/>
  </si>
  <si>
    <t>W.D.V. b/f</t>
    <phoneticPr fontId="15" type="noConversion"/>
  </si>
  <si>
    <t>Additions</t>
    <phoneticPr fontId="15" type="noConversion"/>
  </si>
  <si>
    <t>I.A. - 60%</t>
    <phoneticPr fontId="15" type="noConversion"/>
  </si>
  <si>
    <t>A.A.</t>
    <phoneticPr fontId="15" type="noConversion"/>
  </si>
  <si>
    <t>W.D.V. c/f</t>
    <phoneticPr fontId="15" type="noConversion"/>
  </si>
  <si>
    <t>COMMERCIAL BUILDING ALLOWANCE SCHEDULE</t>
    <phoneticPr fontId="15" type="noConversion"/>
  </si>
  <si>
    <t>Residual value b/f-Addition before Year of Assessment 2002/2003</t>
    <phoneticPr fontId="15" type="noConversion"/>
  </si>
  <si>
    <t>Residual value b/f-Addition on Year of Assessment 2002/2003</t>
    <phoneticPr fontId="15" type="noConversion"/>
  </si>
  <si>
    <r>
      <t xml:space="preserve">CBA ($6,667,752 X 4% + $2,950,000 </t>
    </r>
    <r>
      <rPr>
        <sz val="12"/>
        <rFont val="Symbol"/>
        <family val="1"/>
        <charset val="2"/>
      </rPr>
      <t>¸</t>
    </r>
    <r>
      <rPr>
        <sz val="12"/>
        <rFont val="Times New Roman"/>
        <family val="1"/>
      </rPr>
      <t>2</t>
    </r>
    <r>
      <rPr>
        <sz val="12"/>
        <rFont val="Symbol"/>
        <family val="1"/>
        <charset val="2"/>
      </rPr>
      <t>¸</t>
    </r>
    <r>
      <rPr>
        <sz val="12"/>
        <rFont val="Times New Roman"/>
        <family val="1"/>
      </rPr>
      <t>22)</t>
    </r>
    <phoneticPr fontId="15" type="noConversion"/>
  </si>
  <si>
    <t>Additions 2003/2004</t>
    <phoneticPr fontId="15" type="noConversion"/>
  </si>
  <si>
    <t>Additions 2004/2005</t>
    <phoneticPr fontId="15" type="noConversion"/>
  </si>
  <si>
    <t>Additions 2007/2008</t>
    <phoneticPr fontId="15" type="noConversion"/>
  </si>
  <si>
    <t>Deduction (HK$27,105 x 4%)</t>
    <phoneticPr fontId="15" type="noConversion"/>
  </si>
  <si>
    <t>W.D.V. c/f</t>
    <phoneticPr fontId="15" type="noConversion"/>
  </si>
  <si>
    <t>Computer hardware and software</t>
    <phoneticPr fontId="11" type="noConversion"/>
  </si>
  <si>
    <t>Depreciation allowance</t>
    <phoneticPr fontId="11" type="noConversion"/>
  </si>
  <si>
    <t>Interest expenses (capital in nature)</t>
    <phoneticPr fontId="11" type="noConversion"/>
  </si>
  <si>
    <t>Company set-up fees</t>
    <phoneticPr fontId="11" type="noConversion"/>
  </si>
  <si>
    <t>Certified Public Accountant (Practising)</t>
  </si>
  <si>
    <t>NON-CURRENT ASSETS</t>
    <phoneticPr fontId="15" type="noConversion"/>
  </si>
  <si>
    <t>MOP ENTERTAINMENT LIMITED</t>
    <phoneticPr fontId="11" type="noConversion"/>
  </si>
  <si>
    <t>萬達比奧娛樂有限公司</t>
    <phoneticPr fontId="11" type="noConversion"/>
  </si>
  <si>
    <t>UNIT 1213, FLOOR 12, WING ON PLAZA, 62 MODY ROAD, TSIM SHA TSUI, HONG KONG</t>
    <phoneticPr fontId="11" type="noConversion"/>
  </si>
  <si>
    <t>trading of toys</t>
    <phoneticPr fontId="11" type="noConversion"/>
  </si>
  <si>
    <t>62513946-000</t>
    <phoneticPr fontId="11" type="noConversion"/>
  </si>
  <si>
    <t>Max Anton Benjamin VOIGT</t>
    <phoneticPr fontId="11" type="noConversion"/>
  </si>
  <si>
    <t>their</t>
  </si>
  <si>
    <t>2016/17</t>
    <phoneticPr fontId="11" type="noConversion"/>
  </si>
  <si>
    <t>Staff cost</t>
    <phoneticPr fontId="11" type="noConversion"/>
  </si>
  <si>
    <t>Rental commitment?</t>
    <phoneticPr fontId="11" type="noConversion"/>
  </si>
  <si>
    <t>Tang Ka Ho</t>
  </si>
  <si>
    <t>鄧家豪執業會計師</t>
    <phoneticPr fontId="11" type="noConversion"/>
  </si>
  <si>
    <t>55542148-000</t>
    <phoneticPr fontId="11" type="noConversion"/>
  </si>
  <si>
    <t>22/F, On Hong Commercial Building, 145 Hennessy Road, Wanchai, Hong Kong</t>
    <phoneticPr fontId="11" type="noConversion"/>
  </si>
  <si>
    <t>香港灣仔軒尼詩道145號安康商業大廈22樓</t>
    <phoneticPr fontId="11" type="noConversion"/>
  </si>
  <si>
    <t>P06475</t>
    <phoneticPr fontId="11" type="noConversion"/>
  </si>
  <si>
    <r>
      <t xml:space="preserve">After </t>
    </r>
    <r>
      <rPr>
        <sz val="11"/>
        <color theme="1"/>
        <rFont val="Calibri"/>
        <family val="2"/>
        <scheme val="minor"/>
      </rPr>
      <t>c</t>
    </r>
    <r>
      <rPr>
        <sz val="11"/>
        <color theme="1"/>
        <rFont val="Calibri"/>
        <family val="2"/>
        <scheme val="minor"/>
      </rPr>
      <t>harging/(crediting) -</t>
    </r>
    <phoneticPr fontId="11" type="noConversion"/>
  </si>
  <si>
    <t>Operating lease payments represent rentals payable by the company for its office premises. Lease is negotiated for a term of 2 years with fixed rental amounts.</t>
    <phoneticPr fontId="11" type="noConversion"/>
  </si>
  <si>
    <r>
      <t>F</t>
    </r>
    <r>
      <rPr>
        <sz val="11"/>
        <color theme="1"/>
        <rFont val="Calibri"/>
        <family val="2"/>
        <scheme val="minor"/>
      </rPr>
      <t>urniture and fixtures</t>
    </r>
    <phoneticPr fontId="11" type="noConversion"/>
  </si>
  <si>
    <r>
      <t>M</t>
    </r>
    <r>
      <rPr>
        <sz val="11"/>
        <color theme="1"/>
        <rFont val="Calibri"/>
        <family val="2"/>
        <scheme val="minor"/>
      </rPr>
      <t>usical equipment</t>
    </r>
    <phoneticPr fontId="11" type="noConversion"/>
  </si>
  <si>
    <r>
      <t>O</t>
    </r>
    <r>
      <rPr>
        <sz val="11"/>
        <color theme="1"/>
        <rFont val="Calibri"/>
        <family val="2"/>
        <scheme val="minor"/>
      </rPr>
      <t>ffice equipment</t>
    </r>
    <phoneticPr fontId="11" type="noConversion"/>
  </si>
  <si>
    <r>
      <rPr>
        <sz val="11"/>
        <color theme="1"/>
        <rFont val="Calibri"/>
        <family val="2"/>
        <scheme val="minor"/>
      </rPr>
      <t>25</t>
    </r>
    <r>
      <rPr>
        <sz val="11"/>
        <color theme="1"/>
        <rFont val="Calibri"/>
        <family val="2"/>
        <scheme val="minor"/>
      </rPr>
      <t>%</t>
    </r>
    <phoneticPr fontId="11" type="noConversion"/>
  </si>
  <si>
    <t>OBLIGATIONS UNDER FINANCE LEASES</t>
    <phoneticPr fontId="11" type="noConversion"/>
  </si>
  <si>
    <t>The present value of lease payments under finance leases are as follows:</t>
    <phoneticPr fontId="11" type="noConversion"/>
  </si>
  <si>
    <t>Not later than one year</t>
    <phoneticPr fontId="11" type="noConversion"/>
  </si>
  <si>
    <t>Later than one year</t>
    <phoneticPr fontId="11" type="noConversion"/>
  </si>
  <si>
    <t>The bank and trust receipt loans are secured by the leasehold properties of the company (note7) and the directors together with guarantees from the directors for unlimited amount. The bank loan is classified as current liabilities as the bank has a right to demand for repayment at anytime.</t>
    <phoneticPr fontId="11" type="noConversion"/>
  </si>
  <si>
    <t>LOSS FROM OPERATIONS AND BEFORE TAXATION</t>
  </si>
  <si>
    <t>Loss from operations and before taxation</t>
  </si>
  <si>
    <t>Exchange gain</t>
  </si>
  <si>
    <t>As at 18 December, 2013</t>
  </si>
  <si>
    <t>As at 31 July, 2016</t>
  </si>
  <si>
    <t>Charge for the period</t>
  </si>
  <si>
    <t>BANK LOAN</t>
  </si>
  <si>
    <r>
      <t>D</t>
    </r>
    <r>
      <rPr>
        <sz val="11"/>
        <color theme="1"/>
        <rFont val="Calibri"/>
        <family val="2"/>
        <scheme val="minor"/>
      </rPr>
      <t>epreciation rate</t>
    </r>
    <phoneticPr fontId="11" type="noConversion"/>
  </si>
  <si>
    <r>
      <t>T</t>
    </r>
    <r>
      <rPr>
        <sz val="11"/>
        <color theme="1"/>
        <rFont val="Calibri"/>
        <family val="2"/>
        <scheme val="minor"/>
      </rPr>
      <t>his year</t>
    </r>
    <phoneticPr fontId="11" type="noConversion"/>
  </si>
  <si>
    <r>
      <t>l</t>
    </r>
    <r>
      <rPr>
        <sz val="11"/>
        <color theme="1"/>
        <rFont val="Calibri"/>
        <family val="2"/>
        <scheme val="minor"/>
      </rPr>
      <t>ast year/period</t>
    </r>
    <phoneticPr fontId="11" type="noConversion"/>
  </si>
  <si>
    <t>As at 31 July, 2015</t>
    <phoneticPr fontId="11" type="noConversion"/>
  </si>
  <si>
    <t>Please copy last year note from last year if any, below are some examples:</t>
    <phoneticPr fontId="11" type="noConversion"/>
  </si>
  <si>
    <t>this year</t>
    <phoneticPr fontId="11" type="noConversion"/>
  </si>
  <si>
    <t>last year</t>
    <phoneticPr fontId="11" type="noConversion"/>
  </si>
  <si>
    <t>this year</t>
    <phoneticPr fontId="11" type="noConversion"/>
  </si>
  <si>
    <t xml:space="preserve">  Investment on trusts</t>
  </si>
  <si>
    <t>NET CURRENT LIABILITIES</t>
  </si>
  <si>
    <t>NET LIABILITIES</t>
  </si>
  <si>
    <t xml:space="preserve">  Accumulated losses</t>
  </si>
  <si>
    <t>Loss after taxation</t>
  </si>
  <si>
    <t>Other operating expenses</t>
    <phoneticPr fontId="11" type="noConversion"/>
  </si>
  <si>
    <t>This year</t>
    <phoneticPr fontId="11" type="noConversion"/>
  </si>
  <si>
    <t>last year</t>
    <phoneticPr fontId="11" type="noConversion"/>
  </si>
  <si>
    <t xml:space="preserve"> Increase/
(decrease) in Loss</t>
  </si>
  <si>
    <t>Loss as per client's management accounts</t>
  </si>
  <si>
    <t>To record the tax expenses for the period</t>
  </si>
  <si>
    <t>Loss as per audit account</t>
  </si>
  <si>
    <t>Matthew S.H. Law</t>
  </si>
  <si>
    <t>羅城熙執業會計師</t>
  </si>
  <si>
    <t>Law Shing Hei</t>
  </si>
  <si>
    <t>P06530</t>
  </si>
  <si>
    <t>Unit 402, 4/F., Fourseas Building, No. 208 Nathan Road, Kowloon</t>
  </si>
  <si>
    <t>九龍彌敦道208號四海大廈4樓402室</t>
  </si>
  <si>
    <t>(852)96621161</t>
  </si>
  <si>
    <t>55668582-000</t>
  </si>
  <si>
    <t>Matthew Law CPA</t>
  </si>
  <si>
    <t>Cessation during this period?</t>
    <phoneticPr fontId="11" type="noConversion"/>
  </si>
  <si>
    <t>1=yes, 0=no</t>
    <phoneticPr fontId="11" type="noConversion"/>
  </si>
  <si>
    <r>
      <t>D</t>
    </r>
    <r>
      <rPr>
        <sz val="11"/>
        <color theme="1"/>
        <rFont val="Calibri"/>
        <family val="2"/>
        <scheme val="minor"/>
      </rPr>
      <t>onation expenses</t>
    </r>
    <phoneticPr fontId="11" type="noConversion"/>
  </si>
  <si>
    <t>Functional currency</t>
    <phoneticPr fontId="11" type="noConversion"/>
  </si>
  <si>
    <t>United States Dollars</t>
    <phoneticPr fontId="11" type="noConversion"/>
  </si>
  <si>
    <t>US$</t>
    <phoneticPr fontId="11" type="noConversion"/>
  </si>
  <si>
    <t>美元</t>
    <phoneticPr fontId="11" type="noConversion"/>
  </si>
  <si>
    <r>
      <t xml:space="preserve"> - </t>
    </r>
    <r>
      <rPr>
        <sz val="11"/>
        <color theme="1"/>
        <rFont val="Calibri"/>
        <family val="2"/>
        <scheme val="minor"/>
      </rPr>
      <t>Mandatory Provident Fund</t>
    </r>
    <phoneticPr fontId="11" type="noConversion"/>
  </si>
  <si>
    <t>0=Inactive, 1 = general trading, 2 = services, 3 = trading and services</t>
  </si>
  <si>
    <t xml:space="preserve">  Intangible assets</t>
    <phoneticPr fontId="11" type="noConversion"/>
  </si>
  <si>
    <t>INVESTMENT IN AN ASSOCIATE</t>
  </si>
  <si>
    <r>
      <t>U</t>
    </r>
    <r>
      <rPr>
        <sz val="11"/>
        <color theme="1"/>
        <rFont val="Calibri"/>
        <family val="2"/>
        <scheme val="minor"/>
      </rPr>
      <t>nlisted shares, at cost</t>
    </r>
    <phoneticPr fontId="11" type="noConversion"/>
  </si>
  <si>
    <r>
      <t>I</t>
    </r>
    <r>
      <rPr>
        <sz val="11"/>
        <color theme="1"/>
        <rFont val="Calibri"/>
        <family val="2"/>
        <scheme val="minor"/>
      </rPr>
      <t>mpairment loss</t>
    </r>
    <phoneticPr fontId="11" type="noConversion"/>
  </si>
  <si>
    <r>
      <t>S</t>
    </r>
    <r>
      <rPr>
        <sz val="11"/>
        <color theme="1"/>
        <rFont val="Calibri"/>
        <family val="2"/>
        <scheme val="minor"/>
      </rPr>
      <t>hare of loss of an associate</t>
    </r>
    <phoneticPr fontId="11" type="noConversion"/>
  </si>
  <si>
    <t xml:space="preserve">Percentage of </t>
    <phoneticPr fontId="11" type="noConversion"/>
  </si>
  <si>
    <t>ownership interet</t>
    <phoneticPr fontId="11" type="noConversion"/>
  </si>
  <si>
    <t xml:space="preserve">Particulars of </t>
    <phoneticPr fontId="11" type="noConversion"/>
  </si>
  <si>
    <t xml:space="preserve">Place of </t>
    <phoneticPr fontId="11" type="noConversion"/>
  </si>
  <si>
    <t>attributable to</t>
    <phoneticPr fontId="11" type="noConversion"/>
  </si>
  <si>
    <t>Principal</t>
    <phoneticPr fontId="11" type="noConversion"/>
  </si>
  <si>
    <t>Name</t>
    <phoneticPr fontId="11" type="noConversion"/>
  </si>
  <si>
    <t>issue shares held</t>
    <phoneticPr fontId="11" type="noConversion"/>
  </si>
  <si>
    <t>incorporation</t>
    <phoneticPr fontId="11" type="noConversion"/>
  </si>
  <si>
    <t>activities</t>
    <phoneticPr fontId="11" type="noConversion"/>
  </si>
  <si>
    <r>
      <t>A</t>
    </r>
    <r>
      <rPr>
        <sz val="11"/>
        <color theme="1"/>
        <rFont val="Calibri"/>
        <family val="2"/>
        <scheme val="minor"/>
      </rPr>
      <t>BC Limited</t>
    </r>
    <phoneticPr fontId="11" type="noConversion"/>
  </si>
  <si>
    <t>Ordinary</t>
    <phoneticPr fontId="11" type="noConversion"/>
  </si>
  <si>
    <t>PRC</t>
    <phoneticPr fontId="11" type="noConversion"/>
  </si>
  <si>
    <t>24 (Indirect)</t>
    <phoneticPr fontId="11" type="noConversion"/>
  </si>
  <si>
    <t>Hotel Operation</t>
    <phoneticPr fontId="11" type="noConversion"/>
  </si>
  <si>
    <t>the Company</t>
    <phoneticPr fontId="11" type="noConversion"/>
  </si>
  <si>
    <t>Particulars of the principal associate is as follows:</t>
    <phoneticPr fontId="11" type="noConversion"/>
  </si>
  <si>
    <t>Immediate holding (place of incoporation)</t>
    <phoneticPr fontId="11" type="noConversion"/>
  </si>
  <si>
    <t>Ultimate holding (place of incoporation)</t>
    <phoneticPr fontId="11" type="noConversion"/>
  </si>
  <si>
    <t xml:space="preserve">Any allotment of shares during the </t>
    <phoneticPr fontId="11" type="noConversion"/>
  </si>
  <si>
    <t>reporting period?</t>
    <phoneticPr fontId="11" type="noConversion"/>
  </si>
  <si>
    <t>Please write down the allotment amount as per presentation amount</t>
    <phoneticPr fontId="11" type="noConversion"/>
  </si>
  <si>
    <t>Number of shares</t>
    <phoneticPr fontId="11" type="noConversion"/>
  </si>
  <si>
    <t>Price of each shares</t>
    <phoneticPr fontId="11" type="noConversion"/>
  </si>
  <si>
    <t>Curreny of price of each shares (USD, HKD, EUR, etc)</t>
    <phoneticPr fontId="11" type="noConversion"/>
  </si>
  <si>
    <t>Please do not amend the name of this expense</t>
    <phoneticPr fontId="11" type="noConversion"/>
  </si>
  <si>
    <t>NON-CURRENT LIABILITIES</t>
    <phoneticPr fontId="11" type="noConversion"/>
  </si>
  <si>
    <t>Obligation under finance lease</t>
    <phoneticPr fontId="11" type="noConversion"/>
  </si>
  <si>
    <t>Long-term loan</t>
    <phoneticPr fontId="11" type="noConversion"/>
  </si>
  <si>
    <t>Is it offshore claim?</t>
    <phoneticPr fontId="11" type="noConversion"/>
  </si>
  <si>
    <t xml:space="preserve">  Tax payables</t>
  </si>
  <si>
    <t xml:space="preserve">  Account payables</t>
  </si>
  <si>
    <t xml:space="preserve">  Other payables and accruals</t>
  </si>
  <si>
    <t xml:space="preserve">  Deposit received</t>
  </si>
  <si>
    <t xml:space="preserve">  Accrued expenses</t>
  </si>
  <si>
    <t>Bank loan</t>
  </si>
  <si>
    <t xml:space="preserve">  Bank overdraft</t>
  </si>
  <si>
    <t>Amount due to a subsidiary</t>
  </si>
  <si>
    <t>Amount due to shareholders</t>
  </si>
  <si>
    <t>Obligation under finance lease</t>
  </si>
  <si>
    <t>Amount due to a director</t>
  </si>
  <si>
    <t xml:space="preserve">  Inventories</t>
  </si>
  <si>
    <t xml:space="preserve">  Other receivables</t>
  </si>
  <si>
    <t xml:space="preserve">  Deposit paid</t>
  </si>
  <si>
    <t xml:space="preserve">  Deposits and prepayments</t>
  </si>
  <si>
    <t xml:space="preserve"> Account receivables</t>
  </si>
  <si>
    <t>Amount due from an immediate holding company</t>
  </si>
  <si>
    <t>Amount due from a director</t>
  </si>
  <si>
    <t>Amount due from a shareholder</t>
  </si>
  <si>
    <t>Tax refundable</t>
  </si>
  <si>
    <t>Bank balances and cash</t>
  </si>
  <si>
    <t>Euro</t>
    <phoneticPr fontId="11" type="noConversion"/>
  </si>
  <si>
    <t>AAAMOP ENTERTAINMENT LIMITED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</si>
</sst>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1" formatCode="_(* #,##0_);_(* \(#,##0\);_(* &quot;-&quot;_);_(@_)"/>
    <numFmt numFmtId="43" formatCode="_(* #,##0.00_);_(* \(#,##0.00\);_(* &quot;-&quot;??_);_(@_)"/>
    <numFmt numFmtId="164" formatCode="&quot;HK$&quot;#,##0.00_);\(&quot;HK$&quot;#,##0.00\)"/>
    <numFmt numFmtId="165" formatCode="&quot;HK$&quot;#,##0.00_);[Red]\(&quot;HK$&quot;#,##0.00\)"/>
    <numFmt numFmtId="166" formatCode="0_);\(0\)"/>
    <numFmt numFmtId="167" formatCode="_ * #,##0.00_ ;_ * \-#,##0.00_ ;_ * &quot;-&quot;??_ ;_ @_ "/>
    <numFmt numFmtId="168" formatCode="_(* #,##0_);_(* \(#,##0\);_(* &quot;-&quot;??_);_(@_)"/>
    <numFmt numFmtId="169" formatCode="yyyy/m/d;@"/>
    <numFmt numFmtId="170" formatCode="d/m/yyyy;@"/>
  </numFmts>
  <fonts count="44">
    <font>
      <sz val="12"/>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Times New Roman"/>
      <family val="1"/>
    </font>
    <font>
      <u/>
      <sz val="12"/>
      <color theme="1"/>
      <name val="Times New Roman"/>
      <family val="1"/>
    </font>
    <font>
      <sz val="10.5"/>
      <color theme="1"/>
      <name val="Times New Roman"/>
      <family val="1"/>
    </font>
    <font>
      <u/>
      <sz val="10.5"/>
      <color theme="1"/>
      <name val="Times New Roman"/>
      <family val="1"/>
    </font>
    <font>
      <sz val="10"/>
      <color theme="1"/>
      <name val="Times New Roman"/>
      <family val="1"/>
    </font>
    <font>
      <u/>
      <sz val="10"/>
      <color theme="1"/>
      <name val="Times New Roman"/>
      <family val="1"/>
    </font>
    <font>
      <sz val="11"/>
      <color theme="1"/>
      <name val="Times New Roman"/>
      <family val="1"/>
    </font>
    <font>
      <sz val="9"/>
      <name val="Calibri"/>
      <family val="3"/>
      <charset val="136"/>
      <scheme val="minor"/>
    </font>
    <font>
      <b/>
      <sz val="10"/>
      <color theme="1"/>
      <name val="Times New Roman"/>
      <family val="1"/>
    </font>
    <font>
      <b/>
      <u/>
      <sz val="11"/>
      <color theme="1"/>
      <name val="Times New Roman"/>
      <family val="1"/>
    </font>
    <font>
      <sz val="9"/>
      <name val="Times New Roman"/>
      <family val="1"/>
    </font>
    <font>
      <sz val="9"/>
      <name val="新細明體"/>
      <family val="1"/>
      <charset val="136"/>
    </font>
    <font>
      <sz val="10"/>
      <name val="Times New Roman"/>
      <family val="1"/>
    </font>
    <font>
      <sz val="9"/>
      <color theme="1"/>
      <name val="Calibri"/>
      <family val="2"/>
      <scheme val="minor"/>
    </font>
    <font>
      <b/>
      <u/>
      <sz val="11"/>
      <name val="Times New Roman"/>
      <family val="1"/>
    </font>
    <font>
      <b/>
      <sz val="10"/>
      <name val="Times New Roman"/>
      <family val="1"/>
    </font>
    <font>
      <sz val="12"/>
      <name val="Times New Roman"/>
      <family val="1"/>
    </font>
    <font>
      <i/>
      <sz val="10"/>
      <name val="Times New Roman"/>
      <family val="1"/>
    </font>
    <font>
      <u/>
      <sz val="12"/>
      <name val="Times New Roman"/>
      <family val="1"/>
    </font>
    <font>
      <b/>
      <sz val="12"/>
      <color theme="1"/>
      <name val="Calibri"/>
      <family val="1"/>
      <charset val="136"/>
      <scheme val="minor"/>
    </font>
    <font>
      <sz val="12"/>
      <color theme="1"/>
      <name val="Calibri"/>
      <family val="1"/>
      <charset val="136"/>
      <scheme val="minor"/>
    </font>
    <font>
      <sz val="11"/>
      <color theme="1"/>
      <name val="Calibri"/>
      <family val="2"/>
      <scheme val="minor"/>
    </font>
    <font>
      <sz val="11"/>
      <name val="Times New Roman"/>
      <family val="1"/>
    </font>
    <font>
      <u/>
      <sz val="11"/>
      <name val="Times New Roman"/>
      <family val="1"/>
    </font>
    <font>
      <sz val="10"/>
      <color indexed="8"/>
      <name val="Times New Roman"/>
      <family val="1"/>
    </font>
    <font>
      <b/>
      <sz val="11"/>
      <name val="Times New Roman"/>
      <family val="1"/>
    </font>
    <font>
      <sz val="12"/>
      <name val="新細明體"/>
      <family val="1"/>
      <charset val="136"/>
    </font>
    <font>
      <u/>
      <sz val="12"/>
      <color theme="10"/>
      <name val="Calibri"/>
      <family val="2"/>
      <scheme val="minor"/>
    </font>
    <font>
      <sz val="11"/>
      <color theme="1"/>
      <name val="Calibri"/>
      <family val="1"/>
      <charset val="136"/>
      <scheme val="minor"/>
    </font>
    <font>
      <b/>
      <sz val="11"/>
      <color theme="1"/>
      <name val="Calibri"/>
      <family val="2"/>
      <scheme val="minor"/>
    </font>
    <font>
      <sz val="11"/>
      <name val="Calibri"/>
      <family val="2"/>
      <scheme val="minor"/>
    </font>
    <font>
      <u/>
      <sz val="11"/>
      <name val="Calibri"/>
      <family val="2"/>
      <scheme val="minor"/>
    </font>
    <font>
      <sz val="12"/>
      <name val="Calibri"/>
      <family val="2"/>
      <scheme val="minor"/>
    </font>
    <font>
      <u/>
      <sz val="12"/>
      <name val="Calibri"/>
      <family val="2"/>
      <scheme val="minor"/>
    </font>
    <font>
      <u/>
      <sz val="11"/>
      <color theme="1"/>
      <name val="Calibri"/>
      <family val="2"/>
      <scheme val="minor"/>
    </font>
    <font>
      <u/>
      <sz val="11"/>
      <color theme="1"/>
      <name val="Calibri"/>
      <family val="1"/>
      <charset val="136"/>
      <scheme val="minor"/>
    </font>
    <font>
      <b/>
      <sz val="11"/>
      <color theme="1"/>
      <name val="Calibri"/>
      <family val="1"/>
      <charset val="136"/>
      <scheme val="minor"/>
    </font>
    <font>
      <sz val="12"/>
      <name val="宋体"/>
      <family val="3"/>
      <charset val="136"/>
    </font>
    <font>
      <sz val="12"/>
      <color theme="0"/>
      <name val="Calibri"/>
      <family val="2"/>
      <scheme val="minor"/>
    </font>
    <font>
      <sz val="12"/>
      <name val="Symbol"/>
      <family val="1"/>
      <charset val="2"/>
    </font>
  </fonts>
  <fills count="6">
    <fill>
      <patternFill patternType="none"/>
    </fill>
    <fill>
      <patternFill patternType="gray125"/>
    </fill>
    <fill>
      <patternFill patternType="solid">
        <fgColor theme="4" tint="0.39997558519241921"/>
        <bgColor indexed="64"/>
      </patternFill>
    </fill>
    <fill>
      <patternFill patternType="solid">
        <fgColor theme="4" tint="0.59999389629810485"/>
        <bgColor indexed="64"/>
      </patternFill>
    </fill>
    <fill>
      <patternFill patternType="solid">
        <fgColor rgb="FFFF0000"/>
        <bgColor indexed="64"/>
      </patternFill>
    </fill>
    <fill>
      <patternFill patternType="solid">
        <fgColor rgb="FFFFFF00"/>
        <bgColor indexed="64"/>
      </patternFill>
    </fill>
  </fills>
  <borders count="2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otted">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dotted">
        <color indexed="64"/>
      </top>
      <bottom style="dotted">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right/>
      <top/>
      <bottom style="double">
        <color indexed="64"/>
      </bottom>
      <diagonal/>
    </border>
  </borders>
  <cellStyleXfs count="9">
    <xf numFmtId="0" fontId="0" fillId="0" borderId="0"/>
    <xf numFmtId="43" fontId="3" fillId="0" borderId="0" applyFont="0" applyFill="0" applyBorder="0" applyAlignment="0" applyProtection="0">
      <alignment vertical="center"/>
    </xf>
    <xf numFmtId="0" fontId="30" fillId="0" borderId="0">
      <alignment vertical="center"/>
    </xf>
    <xf numFmtId="0" fontId="31" fillId="0" borderId="0" applyNumberFormat="0" applyFill="0" applyBorder="0" applyAlignment="0" applyProtection="0"/>
    <xf numFmtId="0" fontId="32" fillId="0" borderId="0"/>
    <xf numFmtId="43" fontId="32" fillId="0" borderId="0" applyFont="0" applyFill="0" applyBorder="0" applyAlignment="0" applyProtection="0"/>
    <xf numFmtId="0" fontId="41" fillId="0" borderId="0">
      <alignment vertical="center"/>
    </xf>
    <xf numFmtId="0" fontId="30" fillId="0" borderId="0">
      <alignment vertical="center"/>
    </xf>
    <xf numFmtId="43" fontId="30" fillId="0" borderId="0" applyFont="0" applyFill="0" applyBorder="0" applyAlignment="0" applyProtection="0">
      <alignment vertical="center"/>
    </xf>
  </cellStyleXfs>
  <cellXfs count="332">
    <xf numFmtId="0" fontId="0" fillId="0" borderId="0" xfId="0"/>
    <xf numFmtId="0" fontId="6" fillId="0" borderId="0" xfId="0" applyFont="1" applyAlignment="1">
      <alignment horizontal="justify" vertical="center"/>
    </xf>
    <xf numFmtId="0" fontId="7" fillId="0" borderId="0" xfId="0" applyFont="1" applyAlignment="1">
      <alignment horizontal="justify" vertical="center"/>
    </xf>
    <xf numFmtId="0" fontId="6" fillId="0" borderId="0" xfId="0" applyFont="1" applyAlignment="1">
      <alignment vertical="center"/>
    </xf>
    <xf numFmtId="0" fontId="7" fillId="0" borderId="0" xfId="0" applyFont="1" applyAlignment="1">
      <alignment vertical="center"/>
    </xf>
    <xf numFmtId="0" fontId="8" fillId="0" borderId="3" xfId="0" applyFont="1" applyBorder="1" applyAlignment="1">
      <alignment horizontal="center" vertical="center" wrapText="1"/>
    </xf>
    <xf numFmtId="0" fontId="8" fillId="0" borderId="4" xfId="0" applyFont="1" applyBorder="1" applyAlignment="1">
      <alignment horizontal="center" vertical="center" wrapText="1"/>
    </xf>
    <xf numFmtId="0" fontId="6" fillId="0" borderId="4" xfId="0" applyFont="1" applyBorder="1" applyAlignment="1">
      <alignment horizontal="justify" vertical="center" wrapText="1"/>
    </xf>
    <xf numFmtId="0" fontId="7" fillId="0" borderId="5" xfId="0" applyFont="1" applyBorder="1" applyAlignment="1">
      <alignment horizontal="justify" vertical="center" wrapText="1"/>
    </xf>
    <xf numFmtId="0" fontId="6" fillId="0" borderId="4" xfId="0" applyFont="1" applyBorder="1" applyAlignment="1">
      <alignment vertical="center" wrapText="1"/>
    </xf>
    <xf numFmtId="0" fontId="6" fillId="0" borderId="5" xfId="0" applyFont="1" applyBorder="1" applyAlignment="1">
      <alignment horizontal="justify" vertical="center" wrapText="1"/>
    </xf>
    <xf numFmtId="0" fontId="8" fillId="0" borderId="3" xfId="0" applyFont="1" applyBorder="1" applyAlignment="1">
      <alignment horizontal="left" vertical="center" wrapText="1" indent="2"/>
    </xf>
    <xf numFmtId="0" fontId="8" fillId="0" borderId="4" xfId="0" applyFont="1" applyBorder="1" applyAlignment="1">
      <alignment horizontal="left" vertical="center" wrapText="1" indent="2"/>
    </xf>
    <xf numFmtId="0" fontId="8" fillId="0" borderId="4" xfId="0" applyFont="1" applyBorder="1" applyAlignment="1">
      <alignment horizontal="left" vertical="center" wrapText="1" indent="1"/>
    </xf>
    <xf numFmtId="0" fontId="7" fillId="0" borderId="5" xfId="0" applyFont="1" applyBorder="1" applyAlignment="1">
      <alignment vertical="center" wrapText="1"/>
    </xf>
    <xf numFmtId="0" fontId="0" fillId="0" borderId="5" xfId="0" applyBorder="1" applyAlignment="1">
      <alignment vertical="top" wrapText="1"/>
    </xf>
    <xf numFmtId="0" fontId="8" fillId="0" borderId="4" xfId="0" applyFont="1" applyBorder="1" applyAlignment="1">
      <alignment horizontal="left" vertical="center" wrapText="1" indent="5"/>
    </xf>
    <xf numFmtId="0" fontId="8" fillId="0" borderId="4" xfId="0" applyFont="1" applyBorder="1" applyAlignment="1">
      <alignment vertical="center" wrapText="1"/>
    </xf>
    <xf numFmtId="0" fontId="0" fillId="0" borderId="4" xfId="0" applyBorder="1" applyAlignment="1">
      <alignment vertical="top" wrapText="1"/>
    </xf>
    <xf numFmtId="0" fontId="8" fillId="2" borderId="4" xfId="0" applyFont="1" applyFill="1" applyBorder="1" applyAlignment="1">
      <alignment horizontal="center" vertical="center" wrapText="1"/>
    </xf>
    <xf numFmtId="0" fontId="9" fillId="0" borderId="5" xfId="0" applyFont="1" applyBorder="1" applyAlignment="1">
      <alignment vertical="center" wrapText="1"/>
    </xf>
    <xf numFmtId="0" fontId="9" fillId="0" borderId="5" xfId="0" applyFont="1" applyBorder="1" applyAlignment="1">
      <alignment horizontal="justify" vertical="center" wrapText="1"/>
    </xf>
    <xf numFmtId="0" fontId="6" fillId="0" borderId="4" xfId="0" applyFont="1" applyBorder="1" applyAlignment="1">
      <alignment horizontal="center" vertical="center" wrapText="1"/>
    </xf>
    <xf numFmtId="0" fontId="6" fillId="0" borderId="0" xfId="0" applyFont="1" applyAlignment="1">
      <alignment horizontal="right" vertical="center"/>
    </xf>
    <xf numFmtId="0" fontId="0" fillId="0" borderId="1" xfId="0" applyBorder="1"/>
    <xf numFmtId="43" fontId="8" fillId="2" borderId="4" xfId="1" applyFont="1" applyFill="1" applyBorder="1" applyAlignment="1">
      <alignment horizontal="center" vertical="center" wrapText="1"/>
    </xf>
    <xf numFmtId="0" fontId="14" fillId="0" borderId="0" xfId="0" applyFont="1" applyAlignment="1"/>
    <xf numFmtId="0" fontId="14" fillId="0" borderId="0" xfId="0" applyFont="1" applyBorder="1" applyAlignment="1">
      <alignment vertical="center"/>
    </xf>
    <xf numFmtId="0" fontId="14" fillId="0" borderId="7" xfId="0" applyFont="1" applyBorder="1" applyAlignment="1">
      <alignment vertical="center"/>
    </xf>
    <xf numFmtId="0" fontId="14" fillId="0" borderId="9" xfId="0" applyFont="1" applyBorder="1" applyAlignment="1">
      <alignment vertical="center"/>
    </xf>
    <xf numFmtId="0" fontId="14" fillId="0" borderId="0" xfId="0" applyFont="1" applyAlignment="1">
      <alignment vertical="center"/>
    </xf>
    <xf numFmtId="0" fontId="14" fillId="0" borderId="11" xfId="0" applyFont="1" applyBorder="1" applyAlignment="1">
      <alignment vertical="center"/>
    </xf>
    <xf numFmtId="0" fontId="14" fillId="0" borderId="12" xfId="0" applyFont="1" applyBorder="1" applyAlignment="1">
      <alignment vertical="center"/>
    </xf>
    <xf numFmtId="0" fontId="14" fillId="0" borderId="0" xfId="0" quotePrefix="1" applyFont="1" applyAlignment="1">
      <alignment vertical="center"/>
    </xf>
    <xf numFmtId="164" fontId="14" fillId="0" borderId="0" xfId="0" applyNumberFormat="1" applyFont="1" applyAlignment="1">
      <alignment horizontal="center" vertical="center"/>
    </xf>
    <xf numFmtId="0" fontId="17" fillId="0" borderId="0" xfId="0" applyFont="1"/>
    <xf numFmtId="0" fontId="14" fillId="0" borderId="1" xfId="0" applyFont="1" applyBorder="1" applyAlignment="1">
      <alignment vertical="center"/>
    </xf>
    <xf numFmtId="0" fontId="8" fillId="0" borderId="0" xfId="0" applyFont="1" applyAlignment="1">
      <alignment vertical="center"/>
    </xf>
    <xf numFmtId="0" fontId="10" fillId="0" borderId="0" xfId="0" applyFont="1" applyAlignment="1">
      <alignment vertical="center"/>
    </xf>
    <xf numFmtId="0" fontId="0" fillId="3" borderId="0" xfId="0" applyFill="1"/>
    <xf numFmtId="0" fontId="8" fillId="0" borderId="13" xfId="0" applyFont="1" applyFill="1" applyBorder="1" applyAlignment="1">
      <alignment horizontal="center" vertical="center" wrapText="1"/>
    </xf>
    <xf numFmtId="0" fontId="4" fillId="0" borderId="0" xfId="0" applyFont="1" applyFill="1" applyAlignment="1">
      <alignment horizontal="center" vertical="center"/>
    </xf>
    <xf numFmtId="0" fontId="5" fillId="0" borderId="0" xfId="0" applyFont="1" applyFill="1" applyAlignment="1">
      <alignment horizontal="center" vertical="center"/>
    </xf>
    <xf numFmtId="0" fontId="0" fillId="0" borderId="0" xfId="0" applyFill="1"/>
    <xf numFmtId="0" fontId="6" fillId="0" borderId="0" xfId="0" applyFont="1" applyFill="1" applyBorder="1" applyAlignment="1">
      <alignment horizontal="left" vertical="center"/>
    </xf>
    <xf numFmtId="0" fontId="6" fillId="0" borderId="0" xfId="0" applyFont="1" applyFill="1" applyBorder="1" applyAlignment="1">
      <alignment horizontal="left" vertical="top" wrapText="1"/>
    </xf>
    <xf numFmtId="0" fontId="6" fillId="0" borderId="0" xfId="0" applyFont="1" applyFill="1" applyAlignment="1">
      <alignment horizontal="distributed" vertical="center"/>
    </xf>
    <xf numFmtId="0" fontId="7" fillId="0" borderId="0" xfId="0" applyFont="1" applyFill="1" applyAlignment="1">
      <alignment vertical="center"/>
    </xf>
    <xf numFmtId="0" fontId="8" fillId="0" borderId="0" xfId="0" applyFont="1" applyFill="1" applyBorder="1" applyAlignment="1">
      <alignment horizontal="center" vertical="center" wrapText="1"/>
    </xf>
    <xf numFmtId="0" fontId="7" fillId="0" borderId="0" xfId="0" applyFont="1" applyFill="1" applyBorder="1" applyAlignment="1">
      <alignment vertical="center" wrapText="1"/>
    </xf>
    <xf numFmtId="0" fontId="8" fillId="0" borderId="0" xfId="0" applyFont="1" applyFill="1" applyBorder="1" applyAlignment="1">
      <alignment vertical="center" wrapText="1"/>
    </xf>
    <xf numFmtId="0" fontId="8" fillId="0" borderId="0" xfId="0" applyFont="1" applyFill="1" applyBorder="1" applyAlignment="1">
      <alignment horizontal="left" vertical="center" wrapText="1"/>
    </xf>
    <xf numFmtId="0" fontId="0" fillId="0" borderId="0" xfId="0" applyFill="1" applyBorder="1" applyAlignment="1">
      <alignment vertical="top" wrapText="1"/>
    </xf>
    <xf numFmtId="0" fontId="6" fillId="0" borderId="0" xfId="0" applyFont="1" applyFill="1" applyBorder="1" applyAlignment="1">
      <alignment horizontal="center" vertical="center" wrapText="1"/>
    </xf>
    <xf numFmtId="0" fontId="7" fillId="0" borderId="0" xfId="0" applyFont="1" applyFill="1" applyBorder="1" applyAlignment="1">
      <alignment horizontal="justify" vertical="center" wrapText="1"/>
    </xf>
    <xf numFmtId="0" fontId="6" fillId="0" borderId="0" xfId="0" applyFont="1" applyFill="1" applyBorder="1" applyAlignment="1">
      <alignment vertical="center" wrapText="1"/>
    </xf>
    <xf numFmtId="0" fontId="6" fillId="0" borderId="0" xfId="0" applyFont="1" applyFill="1" applyAlignment="1">
      <alignment horizontal="left" vertical="center"/>
    </xf>
    <xf numFmtId="0" fontId="0" fillId="0" borderId="0" xfId="0" applyFill="1" applyBorder="1"/>
    <xf numFmtId="0" fontId="20" fillId="0" borderId="0" xfId="0" applyFont="1" applyAlignment="1">
      <alignment vertical="center"/>
    </xf>
    <xf numFmtId="0" fontId="21" fillId="0" borderId="0" xfId="0" applyFont="1" applyFill="1" applyAlignment="1">
      <alignment vertical="center"/>
    </xf>
    <xf numFmtId="0" fontId="19" fillId="0" borderId="0" xfId="0" applyFont="1" applyFill="1" applyAlignment="1">
      <alignment vertical="center"/>
    </xf>
    <xf numFmtId="43" fontId="0" fillId="3" borderId="0" xfId="1" applyFont="1" applyFill="1" applyAlignment="1"/>
    <xf numFmtId="0" fontId="22" fillId="0" borderId="0" xfId="0" applyFont="1" applyAlignment="1">
      <alignment vertical="center"/>
    </xf>
    <xf numFmtId="0" fontId="22" fillId="0" borderId="0" xfId="0" applyFont="1" applyFill="1" applyAlignment="1">
      <alignment vertical="center"/>
    </xf>
    <xf numFmtId="0" fontId="20" fillId="0" borderId="0" xfId="0" applyFont="1" applyAlignment="1">
      <alignment horizontal="center" vertical="center"/>
    </xf>
    <xf numFmtId="0" fontId="20" fillId="0" borderId="0" xfId="0" applyFont="1" applyFill="1" applyAlignment="1">
      <alignment vertical="center"/>
    </xf>
    <xf numFmtId="41" fontId="20" fillId="0" borderId="0" xfId="0" applyNumberFormat="1" applyFont="1" applyFill="1" applyBorder="1" applyAlignment="1">
      <alignment vertical="center"/>
    </xf>
    <xf numFmtId="41" fontId="20" fillId="0" borderId="0" xfId="0" applyNumberFormat="1" applyFont="1" applyAlignment="1">
      <alignment vertical="center"/>
    </xf>
    <xf numFmtId="41" fontId="20" fillId="0" borderId="18" xfId="0" applyNumberFormat="1" applyFont="1" applyFill="1" applyBorder="1" applyAlignment="1">
      <alignment horizontal="right" vertical="center"/>
    </xf>
    <xf numFmtId="41" fontId="20" fillId="0" borderId="0" xfId="0" applyNumberFormat="1" applyFont="1" applyFill="1" applyAlignment="1">
      <alignment vertical="center"/>
    </xf>
    <xf numFmtId="41" fontId="20" fillId="0" borderId="0" xfId="0" applyNumberFormat="1" applyFont="1" applyFill="1" applyBorder="1" applyAlignment="1">
      <alignment horizontal="right" vertical="center"/>
    </xf>
    <xf numFmtId="0" fontId="20" fillId="0" borderId="0" xfId="0" applyFont="1" applyFill="1" applyBorder="1" applyAlignment="1">
      <alignment vertical="center"/>
    </xf>
    <xf numFmtId="41" fontId="20" fillId="0" borderId="18" xfId="0" applyNumberFormat="1" applyFont="1" applyFill="1" applyBorder="1" applyAlignment="1">
      <alignment vertical="center"/>
    </xf>
    <xf numFmtId="41" fontId="20" fillId="0" borderId="19" xfId="0" applyNumberFormat="1" applyFont="1" applyBorder="1" applyAlignment="1">
      <alignment vertical="center"/>
    </xf>
    <xf numFmtId="41" fontId="20" fillId="0" borderId="1" xfId="0" applyNumberFormat="1" applyFont="1" applyBorder="1" applyAlignment="1">
      <alignment vertical="center"/>
    </xf>
    <xf numFmtId="41" fontId="20" fillId="0" borderId="0" xfId="0" applyNumberFormat="1" applyFont="1" applyBorder="1" applyAlignment="1">
      <alignment vertical="center"/>
    </xf>
    <xf numFmtId="0" fontId="23" fillId="0" borderId="0" xfId="0" applyFont="1"/>
    <xf numFmtId="0" fontId="24" fillId="0" borderId="0" xfId="0" applyFont="1"/>
    <xf numFmtId="14" fontId="0" fillId="0" borderId="0" xfId="0" applyNumberFormat="1"/>
    <xf numFmtId="14" fontId="0" fillId="3" borderId="0" xfId="0" applyNumberFormat="1" applyFill="1"/>
    <xf numFmtId="0" fontId="0" fillId="4" borderId="0" xfId="0" applyFill="1"/>
    <xf numFmtId="43" fontId="0" fillId="4" borderId="0" xfId="0" applyNumberFormat="1" applyFill="1"/>
    <xf numFmtId="0" fontId="26" fillId="0" borderId="0" xfId="0" applyFont="1" applyAlignment="1">
      <alignment vertical="center"/>
    </xf>
    <xf numFmtId="0" fontId="26" fillId="0" borderId="0" xfId="0" applyFont="1" applyAlignment="1">
      <alignment horizontal="center" vertical="center"/>
    </xf>
    <xf numFmtId="41" fontId="26" fillId="0" borderId="0" xfId="0" applyNumberFormat="1" applyFont="1" applyAlignment="1">
      <alignment vertical="center"/>
    </xf>
    <xf numFmtId="167" fontId="28" fillId="0" borderId="0" xfId="0" applyNumberFormat="1" applyFont="1" applyAlignment="1">
      <alignment horizontal="right" vertical="center"/>
    </xf>
    <xf numFmtId="0" fontId="27" fillId="0" borderId="0" xfId="0" applyFont="1" applyFill="1" applyAlignment="1">
      <alignment horizontal="center" vertical="center"/>
    </xf>
    <xf numFmtId="0" fontId="26" fillId="0" borderId="0" xfId="0" applyFont="1" applyFill="1" applyAlignment="1">
      <alignment horizontal="center" vertical="center"/>
    </xf>
    <xf numFmtId="41" fontId="26" fillId="0" borderId="0" xfId="0" applyNumberFormat="1" applyFont="1" applyFill="1" applyAlignment="1">
      <alignment vertical="center"/>
    </xf>
    <xf numFmtId="0" fontId="26" fillId="0" borderId="0" xfId="0" applyFont="1" applyFill="1" applyAlignment="1">
      <alignment vertical="center"/>
    </xf>
    <xf numFmtId="170" fontId="0" fillId="3" borderId="0" xfId="0" applyNumberFormat="1" applyFill="1"/>
    <xf numFmtId="169" fontId="0" fillId="0" borderId="0" xfId="0" applyNumberFormat="1"/>
    <xf numFmtId="14" fontId="14" fillId="0" borderId="0" xfId="0" applyNumberFormat="1" applyFont="1" applyAlignment="1">
      <alignment vertical="center"/>
    </xf>
    <xf numFmtId="43" fontId="14" fillId="0" borderId="0" xfId="1" applyFont="1" applyAlignment="1">
      <alignment vertical="center"/>
    </xf>
    <xf numFmtId="0" fontId="31" fillId="0" borderId="0" xfId="3"/>
    <xf numFmtId="14" fontId="0" fillId="3" borderId="0" xfId="0" quotePrefix="1" applyNumberFormat="1" applyFill="1"/>
    <xf numFmtId="0" fontId="32" fillId="0" borderId="0" xfId="4" applyAlignment="1"/>
    <xf numFmtId="0" fontId="25" fillId="0" borderId="0" xfId="4" applyFont="1" applyAlignment="1"/>
    <xf numFmtId="0" fontId="25" fillId="0" borderId="0" xfId="4" applyFont="1" applyFill="1" applyAlignment="1"/>
    <xf numFmtId="0" fontId="26" fillId="0" borderId="0" xfId="0" applyNumberFormat="1" applyFont="1" applyAlignment="1">
      <alignment horizontal="center" vertical="center"/>
    </xf>
    <xf numFmtId="0" fontId="32" fillId="0" borderId="0" xfId="4" applyFill="1" applyAlignment="1"/>
    <xf numFmtId="170" fontId="0" fillId="0" borderId="0" xfId="0" applyNumberFormat="1"/>
    <xf numFmtId="41" fontId="26" fillId="0" borderId="0" xfId="0" applyNumberFormat="1" applyFont="1" applyAlignment="1">
      <alignment horizontal="right" vertical="center"/>
    </xf>
    <xf numFmtId="0" fontId="26" fillId="0" borderId="0" xfId="0" applyFont="1" applyAlignment="1">
      <alignment horizontal="right" vertical="center"/>
    </xf>
    <xf numFmtId="41" fontId="26" fillId="0" borderId="1" xfId="0" applyNumberFormat="1" applyFont="1" applyFill="1" applyBorder="1" applyAlignment="1">
      <alignment horizontal="right" vertical="center"/>
    </xf>
    <xf numFmtId="0" fontId="26" fillId="0" borderId="0" xfId="0" applyFont="1" applyBorder="1" applyAlignment="1">
      <alignment horizontal="right" vertical="center"/>
    </xf>
    <xf numFmtId="41" fontId="26" fillId="0" borderId="18" xfId="0" applyNumberFormat="1" applyFont="1" applyBorder="1" applyAlignment="1">
      <alignment horizontal="right" vertical="center"/>
    </xf>
    <xf numFmtId="41" fontId="26" fillId="0" borderId="0" xfId="0" applyNumberFormat="1" applyFont="1" applyFill="1" applyAlignment="1">
      <alignment horizontal="right" vertical="center"/>
    </xf>
    <xf numFmtId="41" fontId="26" fillId="0" borderId="0" xfId="0" applyNumberFormat="1" applyFont="1" applyFill="1" applyBorder="1" applyAlignment="1">
      <alignment horizontal="right" vertical="center"/>
    </xf>
    <xf numFmtId="41" fontId="26" fillId="0" borderId="18" xfId="0" applyNumberFormat="1" applyFont="1" applyFill="1" applyBorder="1" applyAlignment="1">
      <alignment horizontal="right" vertical="center"/>
    </xf>
    <xf numFmtId="0" fontId="0" fillId="3" borderId="0" xfId="0" quotePrefix="1" applyFill="1"/>
    <xf numFmtId="0" fontId="26" fillId="0" borderId="0" xfId="0" applyFont="1" applyFill="1" applyBorder="1" applyAlignment="1">
      <alignment horizontal="right" vertical="center"/>
    </xf>
    <xf numFmtId="43" fontId="0" fillId="0" borderId="0" xfId="1" applyFont="1" applyFill="1" applyAlignment="1"/>
    <xf numFmtId="41" fontId="20" fillId="0" borderId="8" xfId="0" applyNumberFormat="1" applyFont="1" applyFill="1" applyBorder="1" applyAlignment="1">
      <alignment vertical="center"/>
    </xf>
    <xf numFmtId="168" fontId="20" fillId="0" borderId="1" xfId="1" applyNumberFormat="1" applyFont="1" applyBorder="1" applyAlignment="1">
      <alignment vertical="center"/>
    </xf>
    <xf numFmtId="3" fontId="20" fillId="0" borderId="0" xfId="0" applyNumberFormat="1" applyFont="1" applyAlignment="1">
      <alignment vertical="center"/>
    </xf>
    <xf numFmtId="168" fontId="25" fillId="0" borderId="0" xfId="1" applyNumberFormat="1" applyFont="1" applyFill="1" applyAlignment="1"/>
    <xf numFmtId="0" fontId="25" fillId="0" borderId="0" xfId="4" applyFont="1" applyFill="1" applyAlignment="1">
      <alignment horizontal="right"/>
    </xf>
    <xf numFmtId="43" fontId="20" fillId="0" borderId="0" xfId="1" applyFont="1" applyAlignment="1">
      <alignment vertical="center"/>
    </xf>
    <xf numFmtId="14" fontId="20" fillId="0" borderId="0" xfId="0" applyNumberFormat="1" applyFont="1" applyAlignment="1">
      <alignment vertical="center"/>
    </xf>
    <xf numFmtId="43" fontId="0" fillId="0" borderId="0" xfId="1" applyFont="1" applyAlignment="1"/>
    <xf numFmtId="41" fontId="34" fillId="0" borderId="0" xfId="4" applyNumberFormat="1" applyFont="1" applyFill="1" applyAlignment="1">
      <alignment horizontal="right" vertical="center"/>
    </xf>
    <xf numFmtId="3" fontId="0" fillId="3" borderId="0" xfId="0" applyNumberFormat="1" applyFill="1"/>
    <xf numFmtId="0" fontId="20" fillId="2" borderId="0" xfId="0" applyFont="1" applyFill="1" applyAlignment="1">
      <alignment vertical="center"/>
    </xf>
    <xf numFmtId="0" fontId="20" fillId="0" borderId="0" xfId="0" quotePrefix="1" applyFont="1" applyFill="1" applyAlignment="1">
      <alignment vertical="center"/>
    </xf>
    <xf numFmtId="0" fontId="20" fillId="0" borderId="0" xfId="0" applyFont="1" applyFill="1" applyAlignment="1">
      <alignment vertical="top"/>
    </xf>
    <xf numFmtId="0" fontId="0" fillId="3" borderId="0" xfId="0" applyFill="1" applyAlignment="1">
      <alignment horizontal="left"/>
    </xf>
    <xf numFmtId="0" fontId="0" fillId="0" borderId="0" xfId="0" applyFill="1" applyAlignment="1">
      <alignment horizontal="left"/>
    </xf>
    <xf numFmtId="0" fontId="22" fillId="0" borderId="0" xfId="0" applyFont="1" applyFill="1" applyAlignment="1">
      <alignment horizontal="center" vertical="center"/>
    </xf>
    <xf numFmtId="0" fontId="20" fillId="0" borderId="0" xfId="0" applyFont="1" applyFill="1" applyAlignment="1">
      <alignment horizontal="center" vertical="center"/>
    </xf>
    <xf numFmtId="0" fontId="27" fillId="0" borderId="0" xfId="0" applyNumberFormat="1" applyFont="1" applyAlignment="1">
      <alignment horizontal="center" vertical="center"/>
    </xf>
    <xf numFmtId="15" fontId="27" fillId="0" borderId="0" xfId="0" applyNumberFormat="1" applyFont="1" applyFill="1" applyAlignment="1">
      <alignment horizontal="center" vertical="center"/>
    </xf>
    <xf numFmtId="0" fontId="27" fillId="0" borderId="0" xfId="0" applyFont="1" applyAlignment="1">
      <alignment horizontal="center" vertical="center"/>
    </xf>
    <xf numFmtId="14" fontId="0" fillId="0" borderId="0" xfId="0" applyNumberFormat="1" applyFill="1"/>
    <xf numFmtId="170" fontId="0" fillId="0" borderId="0" xfId="0" applyNumberFormat="1" applyFill="1"/>
    <xf numFmtId="0" fontId="10" fillId="0" borderId="0" xfId="0" applyFont="1" applyFill="1" applyAlignment="1">
      <alignment vertical="center"/>
    </xf>
    <xf numFmtId="0" fontId="29" fillId="0" borderId="0" xfId="0" applyFont="1" applyFill="1" applyAlignment="1">
      <alignment vertical="center"/>
    </xf>
    <xf numFmtId="0" fontId="12" fillId="0" borderId="0" xfId="0" applyFont="1" applyAlignment="1">
      <alignment horizontal="center" vertical="center"/>
    </xf>
    <xf numFmtId="0" fontId="6" fillId="0" borderId="0" xfId="0" applyFont="1" applyAlignment="1">
      <alignment horizontal="left" vertical="center"/>
    </xf>
    <xf numFmtId="0" fontId="4" fillId="0" borderId="0" xfId="0" applyFont="1" applyAlignment="1">
      <alignment horizontal="center" vertical="center"/>
    </xf>
    <xf numFmtId="0" fontId="6" fillId="2" borderId="1" xfId="0" applyFont="1" applyFill="1" applyBorder="1" applyAlignment="1">
      <alignment horizontal="left" vertical="center"/>
    </xf>
    <xf numFmtId="0" fontId="23" fillId="4" borderId="0" xfId="0" applyFont="1" applyFill="1"/>
    <xf numFmtId="0" fontId="0" fillId="0" borderId="0" xfId="0" applyFill="1" applyAlignment="1">
      <alignment horizontal="left"/>
    </xf>
    <xf numFmtId="0" fontId="0" fillId="3" borderId="0" xfId="0" applyFill="1" applyAlignment="1">
      <alignment horizontal="left"/>
    </xf>
    <xf numFmtId="0" fontId="0" fillId="3" borderId="0" xfId="0" applyFill="1" applyAlignment="1"/>
    <xf numFmtId="0" fontId="0" fillId="3" borderId="0" xfId="0" applyFill="1" applyAlignment="1">
      <alignment horizontal="left"/>
    </xf>
    <xf numFmtId="0" fontId="36" fillId="3" borderId="0" xfId="0" applyFont="1" applyFill="1"/>
    <xf numFmtId="168" fontId="20" fillId="0" borderId="0" xfId="0" applyNumberFormat="1" applyFont="1" applyAlignment="1">
      <alignment vertical="center"/>
    </xf>
    <xf numFmtId="0" fontId="0" fillId="3" borderId="0" xfId="0" applyFill="1" applyAlignment="1">
      <alignment horizontal="left"/>
    </xf>
    <xf numFmtId="0" fontId="20" fillId="0" borderId="0" xfId="7" applyFont="1">
      <alignment vertical="center"/>
    </xf>
    <xf numFmtId="0" fontId="22" fillId="0" borderId="0" xfId="7" applyFont="1">
      <alignment vertical="center"/>
    </xf>
    <xf numFmtId="0" fontId="20" fillId="0" borderId="0" xfId="7" applyFont="1" applyAlignment="1">
      <alignment horizontal="center" vertical="center"/>
    </xf>
    <xf numFmtId="0" fontId="22" fillId="0" borderId="0" xfId="7" applyFont="1" applyAlignment="1">
      <alignment horizontal="center" vertical="center"/>
    </xf>
    <xf numFmtId="41" fontId="20" fillId="0" borderId="0" xfId="7" applyNumberFormat="1" applyFont="1">
      <alignment vertical="center"/>
    </xf>
    <xf numFmtId="41" fontId="20" fillId="0" borderId="1" xfId="7" applyNumberFormat="1" applyFont="1" applyBorder="1">
      <alignment vertical="center"/>
    </xf>
    <xf numFmtId="37" fontId="20" fillId="0" borderId="0" xfId="7" applyNumberFormat="1" applyFont="1">
      <alignment vertical="center"/>
    </xf>
    <xf numFmtId="0" fontId="20" fillId="0" borderId="0" xfId="7" applyFont="1" applyBorder="1">
      <alignment vertical="center"/>
    </xf>
    <xf numFmtId="37" fontId="20" fillId="0" borderId="1" xfId="7" applyNumberFormat="1" applyFont="1" applyBorder="1">
      <alignment vertical="center"/>
    </xf>
    <xf numFmtId="41" fontId="20" fillId="0" borderId="0" xfId="7" applyNumberFormat="1" applyFont="1" applyBorder="1">
      <alignment vertical="center"/>
    </xf>
    <xf numFmtId="37" fontId="20" fillId="0" borderId="16" xfId="7" applyNumberFormat="1" applyFont="1" applyBorder="1">
      <alignment vertical="center"/>
    </xf>
    <xf numFmtId="41" fontId="20" fillId="0" borderId="19" xfId="7" applyNumberFormat="1" applyFont="1" applyBorder="1">
      <alignment vertical="center"/>
    </xf>
    <xf numFmtId="4" fontId="20" fillId="0" borderId="0" xfId="7" applyNumberFormat="1" applyFont="1">
      <alignment vertical="center"/>
    </xf>
    <xf numFmtId="9" fontId="22" fillId="0" borderId="0" xfId="7" applyNumberFormat="1" applyFont="1" applyBorder="1" applyAlignment="1">
      <alignment horizontal="center" vertical="center"/>
    </xf>
    <xf numFmtId="0" fontId="22" fillId="0" borderId="0" xfId="7" applyFont="1" applyBorder="1" applyAlignment="1">
      <alignment horizontal="center" vertical="center"/>
    </xf>
    <xf numFmtId="9" fontId="22" fillId="0" borderId="0" xfId="7" applyNumberFormat="1" applyFont="1" applyAlignment="1">
      <alignment horizontal="center" vertical="center"/>
    </xf>
    <xf numFmtId="0" fontId="20" fillId="0" borderId="0" xfId="7" applyFont="1" applyBorder="1" applyAlignment="1">
      <alignment horizontal="center" vertical="center"/>
    </xf>
    <xf numFmtId="41" fontId="20" fillId="0" borderId="18" xfId="7" applyNumberFormat="1" applyFont="1" applyBorder="1">
      <alignment vertical="center"/>
    </xf>
    <xf numFmtId="41" fontId="20" fillId="0" borderId="1" xfId="0" applyNumberFormat="1" applyFont="1" applyFill="1" applyBorder="1" applyAlignment="1">
      <alignment vertical="center"/>
    </xf>
    <xf numFmtId="41" fontId="26" fillId="0" borderId="0" xfId="0" applyNumberFormat="1" applyFont="1" applyFill="1" applyAlignment="1">
      <alignment horizontal="center" vertical="center"/>
    </xf>
    <xf numFmtId="0" fontId="2" fillId="0" borderId="0" xfId="4" applyFont="1" applyFill="1" applyAlignment="1"/>
    <xf numFmtId="0" fontId="2" fillId="0" borderId="0" xfId="4" applyFont="1" applyAlignment="1"/>
    <xf numFmtId="0" fontId="2" fillId="2" borderId="0" xfId="4" applyFont="1" applyFill="1" applyAlignment="1"/>
    <xf numFmtId="9" fontId="2" fillId="2" borderId="0" xfId="4" quotePrefix="1" applyNumberFormat="1" applyFont="1" applyFill="1" applyAlignment="1"/>
    <xf numFmtId="0" fontId="33" fillId="0" borderId="0" xfId="4" applyFont="1" applyFill="1" applyAlignment="1"/>
    <xf numFmtId="0" fontId="34" fillId="0" borderId="0" xfId="4" applyFont="1" applyFill="1" applyBorder="1" applyAlignment="1">
      <alignment vertical="center"/>
    </xf>
    <xf numFmtId="0" fontId="34" fillId="0" borderId="0" xfId="4" applyFont="1" applyFill="1" applyAlignment="1">
      <alignment vertical="center"/>
    </xf>
    <xf numFmtId="0" fontId="34" fillId="0" borderId="0" xfId="4" applyFont="1" applyFill="1" applyAlignment="1">
      <alignment horizontal="right" vertical="center"/>
    </xf>
    <xf numFmtId="41" fontId="34" fillId="0" borderId="0" xfId="4" applyNumberFormat="1" applyFont="1" applyFill="1" applyBorder="1" applyAlignment="1">
      <alignment horizontal="right" vertical="center"/>
    </xf>
    <xf numFmtId="41" fontId="34" fillId="2" borderId="0" xfId="4" applyNumberFormat="1" applyFont="1" applyFill="1" applyAlignment="1">
      <alignment horizontal="right" vertical="center"/>
    </xf>
    <xf numFmtId="41" fontId="34" fillId="2" borderId="0" xfId="4" applyNumberFormat="1" applyFont="1" applyFill="1" applyBorder="1" applyAlignment="1">
      <alignment horizontal="right" vertical="center"/>
    </xf>
    <xf numFmtId="41" fontId="34" fillId="2" borderId="19" xfId="4" applyNumberFormat="1" applyFont="1" applyFill="1" applyBorder="1" applyAlignment="1">
      <alignment horizontal="right" vertical="center"/>
    </xf>
    <xf numFmtId="0" fontId="25" fillId="2" borderId="0" xfId="4" applyFont="1" applyFill="1" applyAlignment="1"/>
    <xf numFmtId="0" fontId="35" fillId="2" borderId="0" xfId="4" applyFont="1" applyFill="1" applyBorder="1" applyAlignment="1">
      <alignment horizontal="center" vertical="center"/>
    </xf>
    <xf numFmtId="168" fontId="34" fillId="2" borderId="0" xfId="5" applyNumberFormat="1" applyFont="1" applyFill="1" applyBorder="1" applyAlignment="1">
      <alignment horizontal="right" vertical="center"/>
    </xf>
    <xf numFmtId="168" fontId="34" fillId="2" borderId="19" xfId="5" applyNumberFormat="1" applyFont="1" applyFill="1" applyBorder="1" applyAlignment="1">
      <alignment horizontal="right" vertical="center"/>
    </xf>
    <xf numFmtId="0" fontId="36" fillId="0" borderId="0" xfId="4" applyFont="1" applyFill="1" applyBorder="1" applyAlignment="1">
      <alignment horizontal="center" vertical="center"/>
    </xf>
    <xf numFmtId="0" fontId="34" fillId="0" borderId="0" xfId="4" applyFont="1" applyFill="1" applyBorder="1" applyAlignment="1">
      <alignment horizontal="center" vertical="center"/>
    </xf>
    <xf numFmtId="0" fontId="37" fillId="0" borderId="0" xfId="4" applyFont="1" applyFill="1" applyBorder="1" applyAlignment="1">
      <alignment horizontal="center" vertical="center"/>
    </xf>
    <xf numFmtId="0" fontId="35" fillId="0" borderId="0" xfId="4" applyFont="1" applyFill="1" applyBorder="1" applyAlignment="1">
      <alignment horizontal="left" vertical="center"/>
    </xf>
    <xf numFmtId="37" fontId="34" fillId="0" borderId="0" xfId="4" applyNumberFormat="1" applyFont="1" applyFill="1" applyBorder="1" applyAlignment="1">
      <alignment horizontal="right" vertical="center"/>
    </xf>
    <xf numFmtId="37" fontId="34" fillId="0" borderId="0" xfId="4" applyNumberFormat="1" applyFont="1" applyFill="1" applyBorder="1" applyAlignment="1">
      <alignment vertical="center"/>
    </xf>
    <xf numFmtId="0" fontId="36" fillId="0" borderId="0" xfId="4" applyFont="1" applyFill="1" applyBorder="1" applyAlignment="1">
      <alignment vertical="center"/>
    </xf>
    <xf numFmtId="0" fontId="34" fillId="0" borderId="0" xfId="4" applyFont="1" applyFill="1" applyBorder="1" applyAlignment="1">
      <alignment horizontal="left" vertical="center"/>
    </xf>
    <xf numFmtId="168" fontId="34" fillId="0" borderId="0" xfId="5" applyNumberFormat="1" applyFont="1" applyFill="1" applyBorder="1" applyAlignment="1">
      <alignment horizontal="right" vertical="center"/>
    </xf>
    <xf numFmtId="168" fontId="34" fillId="0" borderId="16" xfId="5" applyNumberFormat="1" applyFont="1" applyFill="1" applyBorder="1" applyAlignment="1">
      <alignment horizontal="right" vertical="center"/>
    </xf>
    <xf numFmtId="0" fontId="36" fillId="0" borderId="0" xfId="4" applyFont="1" applyFill="1" applyBorder="1" applyAlignment="1">
      <alignment horizontal="left" vertical="center"/>
    </xf>
    <xf numFmtId="0" fontId="37" fillId="0" borderId="0" xfId="4" applyFont="1" applyFill="1" applyBorder="1" applyAlignment="1">
      <alignment vertical="center"/>
    </xf>
    <xf numFmtId="168" fontId="34" fillId="0" borderId="19" xfId="5" applyNumberFormat="1" applyFont="1" applyFill="1" applyBorder="1" applyAlignment="1">
      <alignment horizontal="right" vertical="center"/>
    </xf>
    <xf numFmtId="0" fontId="40" fillId="0" borderId="0" xfId="4" applyFont="1" applyFill="1" applyAlignment="1"/>
    <xf numFmtId="15" fontId="38" fillId="0" borderId="0" xfId="4" applyNumberFormat="1" applyFont="1" applyFill="1" applyAlignment="1">
      <alignment horizontal="center"/>
    </xf>
    <xf numFmtId="0" fontId="25" fillId="0" borderId="0" xfId="4" applyFont="1" applyFill="1" applyAlignment="1">
      <alignment horizontal="center"/>
    </xf>
    <xf numFmtId="0" fontId="39" fillId="0" borderId="0" xfId="4" applyFont="1" applyFill="1" applyAlignment="1">
      <alignment horizontal="center"/>
    </xf>
    <xf numFmtId="168" fontId="25" fillId="0" borderId="0" xfId="1" applyNumberFormat="1" applyFont="1" applyFill="1" applyBorder="1" applyAlignment="1"/>
    <xf numFmtId="0" fontId="25" fillId="0" borderId="0" xfId="4" quotePrefix="1" applyFont="1" applyFill="1" applyAlignment="1"/>
    <xf numFmtId="168" fontId="25" fillId="0" borderId="18" xfId="1" applyNumberFormat="1" applyFont="1" applyFill="1" applyBorder="1" applyAlignment="1"/>
    <xf numFmtId="0" fontId="2" fillId="0" borderId="0" xfId="4" quotePrefix="1" applyFont="1" applyFill="1" applyAlignment="1"/>
    <xf numFmtId="168" fontId="25" fillId="2" borderId="0" xfId="1" applyNumberFormat="1" applyFont="1" applyFill="1" applyBorder="1" applyAlignment="1"/>
    <xf numFmtId="0" fontId="25" fillId="2" borderId="0" xfId="4" quotePrefix="1" applyFont="1" applyFill="1" applyAlignment="1"/>
    <xf numFmtId="0" fontId="2" fillId="2" borderId="0" xfId="4" quotePrefix="1" applyFont="1" applyFill="1" applyAlignment="1"/>
    <xf numFmtId="0" fontId="32" fillId="0" borderId="0" xfId="4" applyFont="1" applyFill="1" applyAlignment="1"/>
    <xf numFmtId="0" fontId="2" fillId="0" borderId="0" xfId="4" applyFont="1" applyFill="1" applyAlignment="1">
      <alignment horizontal="center"/>
    </xf>
    <xf numFmtId="168" fontId="2" fillId="0" borderId="0" xfId="1" applyNumberFormat="1" applyFont="1" applyFill="1" applyBorder="1" applyAlignment="1"/>
    <xf numFmtId="168" fontId="2" fillId="0" borderId="18" xfId="1" applyNumberFormat="1" applyFont="1" applyFill="1" applyBorder="1" applyAlignment="1"/>
    <xf numFmtId="168" fontId="2" fillId="2" borderId="0" xfId="1" applyNumberFormat="1" applyFont="1" applyFill="1" applyBorder="1" applyAlignment="1"/>
    <xf numFmtId="0" fontId="38" fillId="0" borderId="0" xfId="4" applyFont="1" applyFill="1" applyAlignment="1"/>
    <xf numFmtId="0" fontId="25" fillId="2" borderId="0" xfId="4" applyFont="1" applyFill="1" applyAlignment="1">
      <alignment wrapText="1"/>
    </xf>
    <xf numFmtId="168" fontId="25" fillId="2" borderId="19" xfId="1" applyNumberFormat="1" applyFont="1" applyFill="1" applyBorder="1" applyAlignment="1"/>
    <xf numFmtId="168" fontId="25" fillId="2" borderId="19" xfId="1" applyNumberFormat="1" applyFont="1" applyFill="1" applyBorder="1" applyAlignment="1">
      <alignment horizontal="right"/>
    </xf>
    <xf numFmtId="168" fontId="25" fillId="2" borderId="0" xfId="1" applyNumberFormat="1" applyFont="1" applyFill="1" applyAlignment="1">
      <alignment horizontal="right"/>
    </xf>
    <xf numFmtId="168" fontId="25" fillId="0" borderId="0" xfId="1" applyNumberFormat="1" applyFont="1" applyFill="1" applyAlignment="1">
      <alignment horizontal="right"/>
    </xf>
    <xf numFmtId="168" fontId="25" fillId="0" borderId="18" xfId="1" applyNumberFormat="1" applyFont="1" applyFill="1" applyBorder="1" applyAlignment="1">
      <alignment horizontal="right"/>
    </xf>
    <xf numFmtId="0" fontId="26" fillId="0" borderId="0" xfId="0" applyFont="1" applyFill="1" applyAlignment="1">
      <alignment horizontal="right" vertical="center"/>
    </xf>
    <xf numFmtId="41" fontId="26" fillId="0" borderId="8" xfId="0" applyNumberFormat="1" applyFont="1" applyFill="1" applyBorder="1" applyAlignment="1">
      <alignment horizontal="right" vertical="center"/>
    </xf>
    <xf numFmtId="41" fontId="26" fillId="0" borderId="16" xfId="0" applyNumberFormat="1" applyFont="1" applyFill="1" applyBorder="1" applyAlignment="1">
      <alignment horizontal="right" vertical="center"/>
    </xf>
    <xf numFmtId="0" fontId="0" fillId="0" borderId="0" xfId="0" applyFill="1" applyAlignment="1">
      <alignment horizontal="center"/>
    </xf>
    <xf numFmtId="41" fontId="26" fillId="2" borderId="0" xfId="0" applyNumberFormat="1" applyFont="1" applyFill="1" applyAlignment="1">
      <alignment horizontal="right" vertical="center"/>
    </xf>
    <xf numFmtId="41" fontId="26" fillId="2" borderId="1" xfId="0" applyNumberFormat="1" applyFont="1" applyFill="1" applyBorder="1" applyAlignment="1">
      <alignment horizontal="right" vertical="center"/>
    </xf>
    <xf numFmtId="41" fontId="26" fillId="2" borderId="0" xfId="0" applyNumberFormat="1" applyFont="1" applyFill="1" applyBorder="1" applyAlignment="1">
      <alignment horizontal="right" vertical="center"/>
    </xf>
    <xf numFmtId="0" fontId="16" fillId="0" borderId="0" xfId="0" applyFont="1" applyFill="1" applyAlignment="1">
      <alignment vertical="center"/>
    </xf>
    <xf numFmtId="0" fontId="19" fillId="0" borderId="0" xfId="0" applyFont="1" applyFill="1" applyAlignment="1">
      <alignment horizontal="center"/>
    </xf>
    <xf numFmtId="43" fontId="19" fillId="0" borderId="1" xfId="0" applyNumberFormat="1" applyFont="1" applyFill="1" applyBorder="1" applyAlignment="1">
      <alignment horizontal="center"/>
    </xf>
    <xf numFmtId="0" fontId="19" fillId="0" borderId="0" xfId="0" applyFont="1" applyFill="1" applyBorder="1" applyAlignment="1">
      <alignment horizontal="center"/>
    </xf>
    <xf numFmtId="0" fontId="19" fillId="0" borderId="0" xfId="0" applyFont="1" applyFill="1" applyAlignment="1">
      <alignment horizontal="center" wrapText="1"/>
    </xf>
    <xf numFmtId="0" fontId="19" fillId="0" borderId="0" xfId="0" applyFont="1" applyFill="1" applyAlignment="1">
      <alignment horizontal="center" vertical="center"/>
    </xf>
    <xf numFmtId="43" fontId="19" fillId="0" borderId="0" xfId="0" applyNumberFormat="1" applyFont="1" applyFill="1" applyAlignment="1">
      <alignment horizontal="center" vertical="center"/>
    </xf>
    <xf numFmtId="0" fontId="19" fillId="0" borderId="0" xfId="0" applyFont="1" applyFill="1" applyBorder="1" applyAlignment="1">
      <alignment horizontal="center" vertical="center"/>
    </xf>
    <xf numFmtId="43" fontId="19" fillId="0" borderId="0" xfId="0" applyNumberFormat="1" applyFont="1" applyFill="1" applyAlignment="1">
      <alignment vertical="center"/>
    </xf>
    <xf numFmtId="0" fontId="19" fillId="0" borderId="0" xfId="0" applyFont="1" applyFill="1" applyBorder="1" applyAlignment="1">
      <alignment vertical="center"/>
    </xf>
    <xf numFmtId="49" fontId="16" fillId="0" borderId="0" xfId="0" applyNumberFormat="1" applyFont="1" applyFill="1" applyAlignment="1">
      <alignment vertical="center"/>
    </xf>
    <xf numFmtId="43" fontId="16" fillId="0" borderId="0" xfId="0" applyNumberFormat="1" applyFont="1" applyFill="1" applyAlignment="1">
      <alignment vertical="center"/>
    </xf>
    <xf numFmtId="0" fontId="16" fillId="0" borderId="0" xfId="0" applyFont="1" applyFill="1" applyBorder="1" applyAlignment="1">
      <alignment vertical="center"/>
    </xf>
    <xf numFmtId="39" fontId="16" fillId="0" borderId="0" xfId="0" applyNumberFormat="1" applyFont="1" applyFill="1" applyAlignment="1">
      <alignment vertical="center"/>
    </xf>
    <xf numFmtId="43" fontId="21" fillId="0" borderId="0" xfId="0" applyNumberFormat="1" applyFont="1" applyFill="1" applyAlignment="1">
      <alignment vertical="center"/>
    </xf>
    <xf numFmtId="0" fontId="21" fillId="0" borderId="0" xfId="0" applyFont="1" applyFill="1" applyBorder="1" applyAlignment="1">
      <alignment vertical="center"/>
    </xf>
    <xf numFmtId="39" fontId="19" fillId="0" borderId="18" xfId="0" applyNumberFormat="1" applyFont="1" applyFill="1" applyBorder="1" applyAlignment="1">
      <alignment vertical="center"/>
    </xf>
    <xf numFmtId="39" fontId="19" fillId="0" borderId="0" xfId="0" applyNumberFormat="1" applyFont="1" applyFill="1" applyBorder="1" applyAlignment="1">
      <alignment vertical="center"/>
    </xf>
    <xf numFmtId="39" fontId="12" fillId="2" borderId="0" xfId="0" applyNumberFormat="1" applyFont="1" applyFill="1" applyAlignment="1">
      <alignment vertical="center"/>
    </xf>
    <xf numFmtId="0" fontId="8" fillId="2" borderId="0" xfId="0" applyFont="1" applyFill="1" applyAlignment="1">
      <alignment vertical="center"/>
    </xf>
    <xf numFmtId="43" fontId="8" fillId="2" borderId="0" xfId="0" applyNumberFormat="1" applyFont="1" applyFill="1" applyAlignment="1">
      <alignment vertical="center"/>
    </xf>
    <xf numFmtId="39" fontId="8" fillId="2" borderId="0" xfId="0" applyNumberFormat="1" applyFont="1" applyFill="1" applyAlignment="1">
      <alignment vertical="center"/>
    </xf>
    <xf numFmtId="41" fontId="20" fillId="2" borderId="0" xfId="7" applyNumberFormat="1" applyFont="1" applyFill="1">
      <alignment vertical="center"/>
    </xf>
    <xf numFmtId="37" fontId="20" fillId="2" borderId="0" xfId="7" applyNumberFormat="1" applyFont="1" applyFill="1">
      <alignment vertical="center"/>
    </xf>
    <xf numFmtId="168" fontId="20" fillId="2" borderId="0" xfId="8" applyNumberFormat="1" applyFont="1" applyFill="1">
      <alignment vertical="center"/>
    </xf>
    <xf numFmtId="41" fontId="20" fillId="2" borderId="0" xfId="7" applyNumberFormat="1" applyFont="1" applyFill="1" applyBorder="1">
      <alignment vertical="center"/>
    </xf>
    <xf numFmtId="0" fontId="34" fillId="0" borderId="0" xfId="4" applyFont="1" applyAlignment="1">
      <alignment horizontal="right" vertical="center"/>
    </xf>
    <xf numFmtId="0" fontId="40" fillId="0" borderId="0" xfId="4" applyFont="1" applyAlignment="1"/>
    <xf numFmtId="168" fontId="2" fillId="0" borderId="0" xfId="1" applyNumberFormat="1" applyFont="1" applyAlignment="1"/>
    <xf numFmtId="168" fontId="2" fillId="0" borderId="18" xfId="1" applyNumberFormat="1" applyFont="1" applyBorder="1" applyAlignment="1"/>
    <xf numFmtId="0" fontId="2" fillId="0" borderId="0" xfId="4" quotePrefix="1" applyFont="1" applyAlignment="1"/>
    <xf numFmtId="0" fontId="39" fillId="0" borderId="0" xfId="4" applyFont="1" applyAlignment="1"/>
    <xf numFmtId="0" fontId="38" fillId="0" borderId="0" xfId="4" quotePrefix="1" applyFont="1" applyAlignment="1"/>
    <xf numFmtId="0" fontId="39" fillId="0" borderId="0" xfId="4" quotePrefix="1" applyFont="1" applyAlignment="1"/>
    <xf numFmtId="168" fontId="2" fillId="2" borderId="0" xfId="1" applyNumberFormat="1" applyFont="1" applyFill="1" applyAlignment="1"/>
    <xf numFmtId="168" fontId="2" fillId="2" borderId="1" xfId="1" applyNumberFormat="1" applyFont="1" applyFill="1" applyBorder="1" applyAlignment="1"/>
    <xf numFmtId="0" fontId="2" fillId="5" borderId="0" xfId="4" applyFont="1" applyFill="1" applyAlignment="1"/>
    <xf numFmtId="0" fontId="25" fillId="5" borderId="0" xfId="4" applyFont="1" applyFill="1" applyAlignment="1"/>
    <xf numFmtId="0" fontId="0" fillId="5" borderId="0" xfId="0" applyFill="1"/>
    <xf numFmtId="0" fontId="0" fillId="5" borderId="2" xfId="0" applyFill="1" applyBorder="1"/>
    <xf numFmtId="0" fontId="0" fillId="3" borderId="0" xfId="0" applyFill="1" applyAlignment="1">
      <alignment horizontal="left"/>
    </xf>
    <xf numFmtId="0" fontId="0" fillId="3" borderId="0" xfId="0" quotePrefix="1" applyFill="1" applyAlignment="1">
      <alignment horizontal="left"/>
    </xf>
    <xf numFmtId="0" fontId="42" fillId="0" borderId="0" xfId="0" applyFont="1" applyFill="1" applyAlignment="1">
      <alignment horizontal="left"/>
    </xf>
    <xf numFmtId="0" fontId="0" fillId="0" borderId="0" xfId="0" quotePrefix="1" applyFill="1" applyAlignment="1">
      <alignment horizontal="left"/>
    </xf>
    <xf numFmtId="0" fontId="0" fillId="0" borderId="0" xfId="0" applyFill="1" applyAlignment="1">
      <alignment horizontal="left"/>
    </xf>
    <xf numFmtId="39" fontId="0" fillId="3" borderId="0" xfId="0" applyNumberFormat="1" applyFill="1" applyAlignment="1">
      <alignment horizontal="left"/>
    </xf>
    <xf numFmtId="166" fontId="0" fillId="3" borderId="0" xfId="0" quotePrefix="1" applyNumberFormat="1" applyFill="1" applyAlignment="1">
      <alignment horizontal="left"/>
    </xf>
    <xf numFmtId="166" fontId="0" fillId="3" borderId="0" xfId="0" applyNumberFormat="1" applyFill="1" applyAlignment="1">
      <alignment horizontal="left"/>
    </xf>
    <xf numFmtId="0" fontId="12" fillId="0" borderId="0" xfId="0" applyFont="1" applyAlignment="1">
      <alignment horizontal="center" vertical="center"/>
    </xf>
    <xf numFmtId="0" fontId="13" fillId="3" borderId="0" xfId="0" applyFont="1" applyFill="1" applyAlignment="1">
      <alignment horizontal="center" vertical="center"/>
    </xf>
    <xf numFmtId="0" fontId="18" fillId="0" borderId="0" xfId="0" applyFont="1" applyAlignment="1">
      <alignment horizontal="center" vertical="center"/>
    </xf>
    <xf numFmtId="0" fontId="17" fillId="0" borderId="0" xfId="0" applyFont="1" applyAlignment="1">
      <alignment horizontal="distributed"/>
    </xf>
    <xf numFmtId="0" fontId="16" fillId="2" borderId="6" xfId="0" applyFont="1" applyFill="1" applyBorder="1" applyAlignment="1">
      <alignment horizontal="center" vertical="center"/>
    </xf>
    <xf numFmtId="0" fontId="14" fillId="0" borderId="7"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11" xfId="0" applyFont="1" applyBorder="1" applyAlignment="1">
      <alignment horizontal="center" vertical="center"/>
    </xf>
    <xf numFmtId="0" fontId="14" fillId="0" borderId="1" xfId="0" applyFont="1" applyBorder="1" applyAlignment="1">
      <alignment horizontal="center" vertical="center"/>
    </xf>
    <xf numFmtId="0" fontId="14" fillId="0" borderId="12" xfId="0" applyFont="1" applyBorder="1" applyAlignment="1">
      <alignment horizontal="center" vertical="center"/>
    </xf>
    <xf numFmtId="0" fontId="14" fillId="0" borderId="8"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11" xfId="0" applyFont="1" applyBorder="1" applyAlignment="1">
      <alignment horizontal="center" vertical="center" wrapText="1"/>
    </xf>
    <xf numFmtId="0" fontId="14" fillId="0" borderId="12" xfId="0" applyFont="1" applyBorder="1" applyAlignment="1">
      <alignment horizontal="center" vertical="center" wrapText="1"/>
    </xf>
    <xf numFmtId="0" fontId="16" fillId="0" borderId="10" xfId="0" applyFont="1" applyFill="1" applyBorder="1" applyAlignment="1">
      <alignment horizontal="center" vertical="center"/>
    </xf>
    <xf numFmtId="0" fontId="14" fillId="0" borderId="15" xfId="0" applyFont="1" applyBorder="1" applyAlignment="1">
      <alignment horizontal="center"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2" xfId="0" applyFont="1" applyBorder="1" applyAlignment="1">
      <alignment horizontal="center" vertical="center"/>
    </xf>
    <xf numFmtId="43" fontId="14" fillId="2" borderId="2" xfId="1" applyFont="1" applyFill="1" applyBorder="1" applyAlignment="1">
      <alignment horizontal="center" vertical="center"/>
    </xf>
    <xf numFmtId="3" fontId="14" fillId="0" borderId="2" xfId="0" applyNumberFormat="1" applyFont="1" applyBorder="1" applyAlignment="1">
      <alignment horizontal="center" vertical="center"/>
    </xf>
    <xf numFmtId="165" fontId="14" fillId="0" borderId="2" xfId="1" applyNumberFormat="1" applyFont="1" applyBorder="1" applyAlignment="1">
      <alignment horizontal="center" vertical="center"/>
    </xf>
    <xf numFmtId="165" fontId="14" fillId="0" borderId="7" xfId="0" applyNumberFormat="1" applyFont="1" applyBorder="1" applyAlignment="1">
      <alignment horizontal="center" vertical="center"/>
    </xf>
    <xf numFmtId="165" fontId="14" fillId="0" borderId="8" xfId="0" applyNumberFormat="1" applyFont="1" applyBorder="1" applyAlignment="1">
      <alignment horizontal="center" vertical="center"/>
    </xf>
    <xf numFmtId="165" fontId="14" fillId="0" borderId="9" xfId="0" applyNumberFormat="1" applyFont="1" applyBorder="1" applyAlignment="1">
      <alignment horizontal="center" vertical="center"/>
    </xf>
    <xf numFmtId="165" fontId="14" fillId="0" borderId="13" xfId="0" applyNumberFormat="1" applyFont="1" applyBorder="1" applyAlignment="1">
      <alignment horizontal="center" vertical="center"/>
    </xf>
    <xf numFmtId="165" fontId="14" fillId="0" borderId="0" xfId="0" applyNumberFormat="1" applyFont="1" applyBorder="1" applyAlignment="1">
      <alignment horizontal="center" vertical="center"/>
    </xf>
    <xf numFmtId="165" fontId="14" fillId="0" borderId="14" xfId="0" applyNumberFormat="1" applyFont="1" applyBorder="1" applyAlignment="1">
      <alignment horizontal="center" vertical="center"/>
    </xf>
    <xf numFmtId="165" fontId="14" fillId="0" borderId="11" xfId="0" applyNumberFormat="1" applyFont="1" applyBorder="1" applyAlignment="1">
      <alignment horizontal="center" vertical="center"/>
    </xf>
    <xf numFmtId="165" fontId="14" fillId="0" borderId="1" xfId="0" applyNumberFormat="1" applyFont="1" applyBorder="1" applyAlignment="1">
      <alignment horizontal="center" vertical="center"/>
    </xf>
    <xf numFmtId="165" fontId="14" fillId="0" borderId="12" xfId="0" applyNumberFormat="1" applyFont="1" applyBorder="1" applyAlignment="1">
      <alignment horizontal="center" vertical="center"/>
    </xf>
    <xf numFmtId="0" fontId="14" fillId="0" borderId="13" xfId="0" applyFont="1" applyBorder="1" applyAlignment="1">
      <alignment horizontal="center" vertical="center"/>
    </xf>
    <xf numFmtId="0" fontId="14" fillId="0" borderId="0" xfId="0" applyFont="1" applyBorder="1" applyAlignment="1">
      <alignment horizontal="center" vertical="center"/>
    </xf>
    <xf numFmtId="0" fontId="14" fillId="0" borderId="14" xfId="0" applyFont="1" applyBorder="1" applyAlignment="1">
      <alignment horizontal="center" vertical="center"/>
    </xf>
    <xf numFmtId="39" fontId="14" fillId="0" borderId="15" xfId="0" applyNumberFormat="1" applyFont="1" applyBorder="1" applyAlignment="1">
      <alignment horizontal="center" vertical="center"/>
    </xf>
    <xf numFmtId="39" fontId="14" fillId="0" borderId="16" xfId="0" applyNumberFormat="1" applyFont="1" applyBorder="1" applyAlignment="1">
      <alignment horizontal="center" vertical="center"/>
    </xf>
    <xf numFmtId="39" fontId="14" fillId="0" borderId="17" xfId="0" applyNumberFormat="1" applyFont="1" applyBorder="1" applyAlignment="1">
      <alignment horizontal="center" vertical="center"/>
    </xf>
    <xf numFmtId="0" fontId="6" fillId="0" borderId="0" xfId="0" applyFont="1" applyAlignment="1">
      <alignment horizontal="distributed" vertical="center"/>
    </xf>
    <xf numFmtId="0" fontId="4" fillId="0" borderId="0" xfId="0" applyFont="1" applyAlignment="1">
      <alignment horizontal="center" vertical="center"/>
    </xf>
    <xf numFmtId="0" fontId="5" fillId="0" borderId="0" xfId="0" applyFont="1" applyAlignment="1">
      <alignment horizontal="center" vertical="center"/>
    </xf>
    <xf numFmtId="0" fontId="6" fillId="2" borderId="1" xfId="0" applyFont="1" applyFill="1" applyBorder="1" applyAlignment="1">
      <alignment horizontal="left" vertical="center"/>
    </xf>
    <xf numFmtId="0" fontId="6" fillId="2" borderId="0" xfId="0" applyFont="1" applyFill="1" applyBorder="1" applyAlignment="1">
      <alignment horizontal="left" vertical="top" wrapText="1"/>
    </xf>
    <xf numFmtId="0" fontId="6" fillId="2" borderId="1" xfId="0" applyFont="1" applyFill="1" applyBorder="1" applyAlignment="1">
      <alignment horizontal="left" vertical="top" wrapText="1"/>
    </xf>
    <xf numFmtId="0" fontId="6" fillId="0" borderId="0" xfId="0" applyFont="1" applyAlignment="1">
      <alignment horizontal="left" vertical="center"/>
    </xf>
    <xf numFmtId="0" fontId="8" fillId="2" borderId="4" xfId="0" applyFont="1" applyFill="1" applyBorder="1" applyAlignment="1">
      <alignment horizontal="left" vertical="center" wrapText="1"/>
    </xf>
    <xf numFmtId="0" fontId="6" fillId="0" borderId="0" xfId="0" applyFont="1" applyBorder="1" applyAlignment="1">
      <alignment horizontal="left" vertical="center"/>
    </xf>
    <xf numFmtId="0" fontId="10" fillId="0" borderId="0" xfId="0" applyFont="1" applyAlignment="1">
      <alignment horizontal="left" vertical="center"/>
    </xf>
    <xf numFmtId="0" fontId="20" fillId="0" borderId="0" xfId="0" applyFont="1" applyFill="1" applyAlignment="1">
      <alignment horizontal="center" vertical="center"/>
    </xf>
    <xf numFmtId="0" fontId="22" fillId="0" borderId="0" xfId="0" applyFont="1" applyAlignment="1">
      <alignment horizontal="center" vertical="center"/>
    </xf>
    <xf numFmtId="0" fontId="22" fillId="0" borderId="0" xfId="0" applyFont="1" applyFill="1" applyAlignment="1">
      <alignment horizontal="center" vertical="center"/>
    </xf>
    <xf numFmtId="0" fontId="22" fillId="3" borderId="0" xfId="0" applyFont="1" applyFill="1" applyAlignment="1">
      <alignment horizontal="center" vertical="center"/>
    </xf>
    <xf numFmtId="0" fontId="20" fillId="3" borderId="0" xfId="0" applyFont="1" applyFill="1" applyAlignment="1">
      <alignment horizontal="center" vertical="center"/>
    </xf>
    <xf numFmtId="0" fontId="22" fillId="0" borderId="0" xfId="7" applyFont="1" applyAlignment="1">
      <alignment horizontal="center" vertical="center"/>
    </xf>
  </cellXfs>
  <cellStyles count="9">
    <cellStyle name="Comma" xfId="1" builtinId="3"/>
    <cellStyle name="Hyperlink" xfId="3" builtinId="8"/>
    <cellStyle name="Normal" xfId="0" builtinId="0"/>
    <cellStyle name="Normal 3" xfId="2"/>
    <cellStyle name="一般 2" xfId="4"/>
    <cellStyle name="一般 3" xfId="6"/>
    <cellStyle name="一般 4" xfId="7"/>
    <cellStyle name="千分位 2" xfId="5"/>
    <cellStyle name="千分位 3" xfId="8"/>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gov.hk/en/residents/taxes/etax/services/brn_enquiry.ht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K150"/>
  <sheetViews>
    <sheetView tabSelected="1" workbookViewId="0">
      <selection activeCell="D3" sqref="D3:H3"/>
    </sheetView>
  </sheetViews>
  <sheetFormatPr defaultRowHeight="15.75"/>
  <cols>
    <col min="1" max="2" width="13.875" customWidth="1"/>
    <col min="3" max="3" width="4.125" customWidth="1"/>
    <col min="4" max="4" width="12.875" bestFit="1" customWidth="1"/>
    <col min="5" max="5" width="13.375" customWidth="1"/>
    <col min="6" max="6" width="14.125" customWidth="1"/>
    <col min="7" max="7" width="9.75" customWidth="1"/>
    <col min="8" max="8" width="13.75" customWidth="1"/>
    <col min="9" max="9" width="12.5" customWidth="1"/>
    <col min="10" max="10" width="11.125" customWidth="1"/>
  </cols>
  <sheetData>
    <row r="1" spans="1:10">
      <c r="A1" s="76" t="s">
        <v>2</v>
      </c>
    </row>
    <row r="2" spans="1:10">
      <c r="A2" t="s">
        <v>3</v>
      </c>
      <c r="D2" s="143" t="s">
        <v>472</v>
      </c>
      <c r="E2" s="143"/>
      <c r="F2" s="143"/>
      <c r="G2" s="143"/>
      <c r="H2" s="143"/>
      <c r="I2" s="143"/>
      <c r="J2" s="143"/>
    </row>
    <row r="3" spans="1:10">
      <c r="D3" s="270" t="str">
        <f>+UPPER(D2)</f>
        <v>AAAMOP ENTERTAINMENT LIMITED</v>
      </c>
      <c r="E3" s="270"/>
      <c r="F3" s="270"/>
      <c r="G3" s="270"/>
      <c r="H3" s="270"/>
      <c r="I3" s="142"/>
      <c r="J3" s="142"/>
    </row>
    <row r="4" spans="1:10">
      <c r="A4" t="s">
        <v>4</v>
      </c>
      <c r="D4" s="148" t="s">
        <v>344</v>
      </c>
      <c r="E4" s="126"/>
      <c r="F4" s="126"/>
      <c r="G4" s="126"/>
      <c r="H4" s="126"/>
      <c r="I4" s="126"/>
      <c r="J4" s="126"/>
    </row>
    <row r="5" spans="1:10">
      <c r="D5" s="127"/>
      <c r="E5" s="127"/>
      <c r="F5" s="127"/>
      <c r="G5" s="127"/>
      <c r="H5" s="127"/>
      <c r="I5" s="127"/>
      <c r="J5" s="127"/>
    </row>
    <row r="6" spans="1:10">
      <c r="A6" t="s">
        <v>5</v>
      </c>
      <c r="D6" s="271"/>
      <c r="E6" s="272"/>
      <c r="F6" s="272"/>
    </row>
    <row r="7" spans="1:10">
      <c r="D7" s="272"/>
      <c r="E7" s="272"/>
      <c r="F7" s="272"/>
    </row>
    <row r="8" spans="1:10">
      <c r="E8" s="43"/>
      <c r="F8" s="43"/>
    </row>
    <row r="9" spans="1:10">
      <c r="A9" t="s">
        <v>6</v>
      </c>
      <c r="D9" t="str">
        <f>+IF(AND(D13=12,D14=0),"Year","Period")</f>
        <v>Period</v>
      </c>
      <c r="G9" t="str">
        <f>+IF(AND(G13=12,G14=0),"Year","Period")</f>
        <v>Year</v>
      </c>
    </row>
    <row r="10" spans="1:10">
      <c r="D10" s="76" t="s">
        <v>7</v>
      </c>
      <c r="G10" s="76" t="s">
        <v>8</v>
      </c>
    </row>
    <row r="11" spans="1:10">
      <c r="A11" t="s">
        <v>9</v>
      </c>
      <c r="D11" s="90">
        <v>41626</v>
      </c>
      <c r="E11" s="91"/>
      <c r="F11" t="s">
        <v>9</v>
      </c>
      <c r="G11" s="90">
        <v>41640</v>
      </c>
      <c r="H11" s="91"/>
    </row>
    <row r="12" spans="1:10">
      <c r="A12" t="s">
        <v>10</v>
      </c>
      <c r="D12" s="79">
        <v>42582</v>
      </c>
      <c r="E12" s="78">
        <f>+D12+1</f>
        <v>42583</v>
      </c>
      <c r="F12" t="s">
        <v>10</v>
      </c>
      <c r="G12" s="79">
        <v>42004</v>
      </c>
      <c r="H12" s="78">
        <f>+G12+1</f>
        <v>42005</v>
      </c>
    </row>
    <row r="13" spans="1:10">
      <c r="A13" t="s">
        <v>11</v>
      </c>
      <c r="D13" s="43">
        <f>+DATEDIF(D11,E12,"m")</f>
        <v>31</v>
      </c>
      <c r="F13" t="s">
        <v>11</v>
      </c>
      <c r="G13" s="43">
        <f>+DATEDIF(G11,H12,"m")</f>
        <v>12</v>
      </c>
      <c r="H13" t="str">
        <f>TEXT(G12, "d mmmm, yyyy")</f>
        <v>31 December, 2014</v>
      </c>
    </row>
    <row r="14" spans="1:10">
      <c r="A14" t="s">
        <v>12</v>
      </c>
      <c r="D14">
        <f>+DATEDIF(D11,E12,"md")</f>
        <v>14</v>
      </c>
      <c r="F14" t="s">
        <v>12</v>
      </c>
      <c r="G14">
        <f>+DATEDIF(G11,H12,"md")</f>
        <v>0</v>
      </c>
      <c r="I14" s="120"/>
    </row>
    <row r="15" spans="1:10">
      <c r="A15" t="s">
        <v>13</v>
      </c>
      <c r="D15" t="str">
        <f>+IF(AND(D13&gt;=18,D14&gt;=0,(D13+D14)&gt;=19),"over 18 months","within 18 months")</f>
        <v>over 18 months</v>
      </c>
      <c r="F15" t="s">
        <v>13</v>
      </c>
      <c r="G15" t="str">
        <f>+IF(AND(G13&gt;=18,G14&gt;=0,(G13+G14)&gt;=19),"over 18 months","within 18 months")</f>
        <v>within 18 months</v>
      </c>
    </row>
    <row r="17" spans="1:8">
      <c r="A17" t="s">
        <v>406</v>
      </c>
      <c r="D17" s="39"/>
      <c r="E17" t="s">
        <v>407</v>
      </c>
    </row>
    <row r="19" spans="1:8" s="266" customFormat="1">
      <c r="A19" s="266" t="s">
        <v>449</v>
      </c>
      <c r="D19" s="267">
        <v>1</v>
      </c>
      <c r="E19" s="266" t="s">
        <v>407</v>
      </c>
    </row>
    <row r="21" spans="1:8">
      <c r="A21" t="s">
        <v>14</v>
      </c>
      <c r="D21" s="144" t="s">
        <v>345</v>
      </c>
    </row>
    <row r="24" spans="1:8">
      <c r="A24" t="s">
        <v>257</v>
      </c>
      <c r="D24" s="39">
        <v>0</v>
      </c>
      <c r="E24" t="s">
        <v>260</v>
      </c>
    </row>
    <row r="25" spans="1:8">
      <c r="D25" s="39"/>
      <c r="E25" t="s">
        <v>258</v>
      </c>
    </row>
    <row r="26" spans="1:8">
      <c r="D26" s="79">
        <v>42300</v>
      </c>
      <c r="E26" t="s">
        <v>259</v>
      </c>
    </row>
    <row r="28" spans="1:8">
      <c r="A28" t="s">
        <v>15</v>
      </c>
      <c r="D28" s="39">
        <v>1</v>
      </c>
      <c r="E28" t="s">
        <v>16</v>
      </c>
    </row>
    <row r="29" spans="1:8">
      <c r="H29" s="101"/>
    </row>
    <row r="30" spans="1:8">
      <c r="A30" t="s">
        <v>17</v>
      </c>
      <c r="D30" s="39">
        <v>1</v>
      </c>
      <c r="E30" t="s">
        <v>18</v>
      </c>
    </row>
    <row r="32" spans="1:8">
      <c r="A32" t="s">
        <v>19</v>
      </c>
      <c r="D32" s="39">
        <v>0</v>
      </c>
      <c r="E32" t="s">
        <v>18</v>
      </c>
    </row>
    <row r="34" spans="1:9">
      <c r="A34" t="s">
        <v>20</v>
      </c>
      <c r="D34" s="39">
        <v>0</v>
      </c>
      <c r="E34" t="s">
        <v>18</v>
      </c>
    </row>
    <row r="36" spans="1:9">
      <c r="A36" t="s">
        <v>352</v>
      </c>
      <c r="D36" s="39">
        <v>1</v>
      </c>
      <c r="E36" t="s">
        <v>18</v>
      </c>
    </row>
    <row r="39" spans="1:9">
      <c r="A39" t="s">
        <v>271</v>
      </c>
      <c r="D39" s="39">
        <v>0</v>
      </c>
      <c r="E39" t="s">
        <v>18</v>
      </c>
    </row>
    <row r="40" spans="1:9">
      <c r="D40" s="39" t="s">
        <v>285</v>
      </c>
      <c r="E40" t="s">
        <v>272</v>
      </c>
    </row>
    <row r="41" spans="1:9">
      <c r="D41" s="267"/>
      <c r="E41" s="266" t="s">
        <v>437</v>
      </c>
      <c r="F41" s="266"/>
      <c r="G41" s="266"/>
    </row>
    <row r="42" spans="1:9">
      <c r="D42" s="39"/>
      <c r="E42" t="s">
        <v>273</v>
      </c>
    </row>
    <row r="43" spans="1:9">
      <c r="D43" s="267"/>
      <c r="E43" s="266" t="s">
        <v>438</v>
      </c>
      <c r="F43" s="266"/>
      <c r="G43" s="266"/>
    </row>
    <row r="45" spans="1:9">
      <c r="A45" s="266" t="s">
        <v>439</v>
      </c>
      <c r="B45" s="266"/>
      <c r="C45" s="266"/>
      <c r="D45" s="266"/>
      <c r="E45" s="266"/>
      <c r="F45" s="266"/>
      <c r="G45" s="266"/>
      <c r="H45" s="266"/>
      <c r="I45" s="266"/>
    </row>
    <row r="46" spans="1:9">
      <c r="A46" s="266" t="s">
        <v>440</v>
      </c>
      <c r="B46" s="266"/>
      <c r="C46" s="266"/>
      <c r="D46" s="267"/>
      <c r="E46" s="266" t="s">
        <v>441</v>
      </c>
      <c r="F46" s="266"/>
      <c r="G46" s="266"/>
      <c r="H46" s="266"/>
      <c r="I46" s="266"/>
    </row>
    <row r="47" spans="1:9">
      <c r="A47" s="266"/>
      <c r="B47" s="266"/>
      <c r="C47" s="266"/>
      <c r="D47" s="267"/>
      <c r="E47" s="266" t="s">
        <v>442</v>
      </c>
      <c r="F47" s="266"/>
      <c r="G47" s="266"/>
      <c r="H47" s="266"/>
      <c r="I47" s="266"/>
    </row>
    <row r="48" spans="1:9">
      <c r="A48" s="266"/>
      <c r="B48" s="266"/>
      <c r="C48" s="266"/>
      <c r="D48" s="267"/>
      <c r="E48" s="266" t="s">
        <v>443</v>
      </c>
      <c r="F48" s="266"/>
      <c r="G48" s="266"/>
      <c r="H48" s="266"/>
      <c r="I48" s="266"/>
    </row>
    <row r="49" spans="1:9">
      <c r="A49" s="266"/>
      <c r="B49" s="266"/>
      <c r="C49" s="266"/>
      <c r="D49" s="267"/>
      <c r="E49" s="266" t="s">
        <v>444</v>
      </c>
      <c r="F49" s="266"/>
      <c r="G49" s="266"/>
      <c r="H49" s="266"/>
      <c r="I49" s="266"/>
    </row>
    <row r="51" spans="1:9">
      <c r="A51" t="s">
        <v>21</v>
      </c>
      <c r="D51" s="39" t="s">
        <v>297</v>
      </c>
      <c r="E51" t="s">
        <v>22</v>
      </c>
    </row>
    <row r="52" spans="1:9">
      <c r="D52" s="39" t="s">
        <v>298</v>
      </c>
      <c r="E52" t="s">
        <v>23</v>
      </c>
    </row>
    <row r="53" spans="1:9">
      <c r="D53" s="39" t="s">
        <v>299</v>
      </c>
    </row>
    <row r="55" spans="1:9">
      <c r="A55" t="s">
        <v>24</v>
      </c>
      <c r="D55" s="39">
        <v>1</v>
      </c>
      <c r="E55" t="s">
        <v>18</v>
      </c>
    </row>
    <row r="56" spans="1:9">
      <c r="A56" t="s">
        <v>25</v>
      </c>
      <c r="D56" s="39" t="s">
        <v>343</v>
      </c>
      <c r="E56" t="s">
        <v>26</v>
      </c>
    </row>
    <row r="57" spans="1:9">
      <c r="A57" t="s">
        <v>27</v>
      </c>
      <c r="D57" s="79">
        <v>42016</v>
      </c>
    </row>
    <row r="59" spans="1:9">
      <c r="A59" t="s">
        <v>28</v>
      </c>
      <c r="D59" s="39">
        <v>0</v>
      </c>
      <c r="E59" t="s">
        <v>18</v>
      </c>
    </row>
    <row r="60" spans="1:9">
      <c r="A60" t="s">
        <v>29</v>
      </c>
      <c r="D60" s="79">
        <v>42004</v>
      </c>
    </row>
    <row r="61" spans="1:9">
      <c r="A61" t="s">
        <v>30</v>
      </c>
      <c r="D61" s="95" t="s">
        <v>31</v>
      </c>
      <c r="E61" t="s">
        <v>32</v>
      </c>
    </row>
    <row r="62" spans="1:9">
      <c r="A62" t="s">
        <v>33</v>
      </c>
      <c r="D62" s="39" t="s">
        <v>34</v>
      </c>
    </row>
    <row r="64" spans="1:9">
      <c r="A64" t="s">
        <v>35</v>
      </c>
      <c r="D64" s="39">
        <v>1</v>
      </c>
      <c r="E64" t="s">
        <v>414</v>
      </c>
    </row>
    <row r="65" spans="1:8">
      <c r="A65" t="s">
        <v>237</v>
      </c>
      <c r="D65" s="39" t="s">
        <v>346</v>
      </c>
    </row>
    <row r="67" spans="1:8">
      <c r="A67" t="s">
        <v>36</v>
      </c>
      <c r="D67" s="39" t="s">
        <v>291</v>
      </c>
      <c r="F67" t="s">
        <v>471</v>
      </c>
      <c r="G67" t="s">
        <v>290</v>
      </c>
      <c r="H67" t="s">
        <v>410</v>
      </c>
    </row>
    <row r="68" spans="1:8">
      <c r="D68" s="39" t="s">
        <v>293</v>
      </c>
      <c r="F68" t="s">
        <v>289</v>
      </c>
      <c r="G68" t="s">
        <v>292</v>
      </c>
      <c r="H68" t="s">
        <v>411</v>
      </c>
    </row>
    <row r="69" spans="1:8">
      <c r="D69" s="39" t="s">
        <v>295</v>
      </c>
      <c r="F69" t="s">
        <v>296</v>
      </c>
      <c r="G69" t="s">
        <v>294</v>
      </c>
      <c r="H69" t="s">
        <v>412</v>
      </c>
    </row>
    <row r="71" spans="1:8">
      <c r="A71" t="s">
        <v>409</v>
      </c>
      <c r="D71" s="39" t="s">
        <v>291</v>
      </c>
      <c r="F71" t="s">
        <v>471</v>
      </c>
      <c r="G71" t="s">
        <v>290</v>
      </c>
      <c r="H71" t="s">
        <v>410</v>
      </c>
    </row>
    <row r="72" spans="1:8">
      <c r="D72" s="39" t="s">
        <v>293</v>
      </c>
      <c r="F72" t="s">
        <v>289</v>
      </c>
      <c r="G72" t="s">
        <v>292</v>
      </c>
      <c r="H72" t="s">
        <v>411</v>
      </c>
    </row>
    <row r="73" spans="1:8">
      <c r="D73" s="39" t="s">
        <v>295</v>
      </c>
      <c r="F73" t="s">
        <v>296</v>
      </c>
      <c r="G73" t="s">
        <v>294</v>
      </c>
      <c r="H73" t="s">
        <v>412</v>
      </c>
    </row>
    <row r="75" spans="1:8">
      <c r="A75" t="s">
        <v>37</v>
      </c>
      <c r="D75" s="110" t="s">
        <v>347</v>
      </c>
      <c r="E75" s="39"/>
      <c r="F75" s="94" t="s">
        <v>38</v>
      </c>
    </row>
    <row r="77" spans="1:8">
      <c r="A77" s="141"/>
      <c r="B77" s="80"/>
      <c r="C77" s="80"/>
      <c r="D77" s="80"/>
      <c r="E77" s="80"/>
    </row>
    <row r="78" spans="1:8" hidden="1">
      <c r="A78" s="77" t="s">
        <v>39</v>
      </c>
      <c r="D78" s="43" t="e">
        <f>+'Dir info'!#REF!</f>
        <v>#REF!</v>
      </c>
    </row>
    <row r="79" spans="1:8" hidden="1">
      <c r="A79" s="77"/>
    </row>
    <row r="80" spans="1:8" hidden="1">
      <c r="A80" t="s">
        <v>40</v>
      </c>
      <c r="D80" s="272" t="s">
        <v>253</v>
      </c>
      <c r="E80" s="272"/>
      <c r="F80" s="272"/>
    </row>
    <row r="81" spans="1:10" hidden="1">
      <c r="A81" t="s">
        <v>41</v>
      </c>
    </row>
    <row r="82" spans="1:10" hidden="1">
      <c r="A82" t="s">
        <v>42</v>
      </c>
      <c r="D82" s="268" t="s">
        <v>235</v>
      </c>
      <c r="E82" s="268"/>
      <c r="F82" s="268"/>
    </row>
    <row r="83" spans="1:10" hidden="1"/>
    <row r="84" spans="1:10" hidden="1">
      <c r="A84" t="s">
        <v>43</v>
      </c>
      <c r="D84" s="268" t="s">
        <v>254</v>
      </c>
      <c r="E84" s="268"/>
      <c r="F84" s="268"/>
      <c r="H84" t="s">
        <v>44</v>
      </c>
      <c r="I84" t="s">
        <v>45</v>
      </c>
    </row>
    <row r="85" spans="1:10" hidden="1"/>
    <row r="86" spans="1:10" hidden="1">
      <c r="A86" t="s">
        <v>46</v>
      </c>
      <c r="D86" s="273">
        <v>355709</v>
      </c>
      <c r="E86" s="273"/>
      <c r="F86" s="273"/>
      <c r="G86" t="s">
        <v>47</v>
      </c>
    </row>
    <row r="87" spans="1:10" hidden="1"/>
    <row r="88" spans="1:10" hidden="1">
      <c r="A88" t="s">
        <v>48</v>
      </c>
      <c r="D88" s="268" t="s">
        <v>49</v>
      </c>
      <c r="E88" s="268"/>
      <c r="F88" s="268"/>
      <c r="G88" s="268"/>
      <c r="H88" s="268"/>
      <c r="I88" s="126"/>
      <c r="J88" s="126"/>
    </row>
    <row r="89" spans="1:10" hidden="1"/>
    <row r="90" spans="1:10" hidden="1">
      <c r="A90" s="76" t="s">
        <v>50</v>
      </c>
    </row>
    <row r="91" spans="1:10" hidden="1">
      <c r="A91" t="s">
        <v>51</v>
      </c>
      <c r="D91" s="273">
        <v>38400</v>
      </c>
      <c r="E91" s="273"/>
      <c r="F91" s="273"/>
    </row>
    <row r="94" spans="1:10">
      <c r="A94" s="76" t="s">
        <v>52</v>
      </c>
    </row>
    <row r="95" spans="1:10">
      <c r="A95" s="77" t="s">
        <v>53</v>
      </c>
      <c r="D95" s="39"/>
    </row>
    <row r="96" spans="1:10">
      <c r="A96" t="s">
        <v>54</v>
      </c>
      <c r="D96" s="43" t="str">
        <f>+IF(D95=1,"shareholder","shareholders")</f>
        <v>shareholders</v>
      </c>
    </row>
    <row r="97" spans="1:10">
      <c r="A97" t="s">
        <v>55</v>
      </c>
      <c r="D97" s="39" t="s">
        <v>349</v>
      </c>
      <c r="G97" t="s">
        <v>56</v>
      </c>
      <c r="H97" t="s">
        <v>57</v>
      </c>
      <c r="I97" t="s">
        <v>58</v>
      </c>
    </row>
    <row r="98" spans="1:10">
      <c r="A98" t="s">
        <v>59</v>
      </c>
      <c r="D98" s="43" t="str">
        <f>+IF(D95=1,"I","We")</f>
        <v>We</v>
      </c>
      <c r="E98" s="43" t="str">
        <f>+IF(D95=1,"I","we")</f>
        <v>we</v>
      </c>
    </row>
    <row r="100" spans="1:10">
      <c r="A100" t="s">
        <v>60</v>
      </c>
      <c r="C100">
        <v>1</v>
      </c>
      <c r="D100" s="268"/>
      <c r="E100" s="268"/>
      <c r="F100">
        <v>2</v>
      </c>
      <c r="G100" s="269">
        <f>+'Dir info'!C4</f>
        <v>0</v>
      </c>
      <c r="H100" s="268"/>
      <c r="I100" s="268"/>
      <c r="J100" s="268"/>
    </row>
    <row r="101" spans="1:10">
      <c r="C101">
        <v>3</v>
      </c>
      <c r="D101" s="268">
        <f>+'Dir info'!C5</f>
        <v>0</v>
      </c>
      <c r="E101" s="268"/>
      <c r="F101">
        <v>4</v>
      </c>
      <c r="G101" s="268">
        <f>+'Dir info'!C6</f>
        <v>0</v>
      </c>
      <c r="H101" s="268"/>
      <c r="I101" s="268"/>
      <c r="J101" s="268"/>
    </row>
    <row r="102" spans="1:10">
      <c r="C102">
        <v>5</v>
      </c>
      <c r="D102" s="268">
        <f>+'Dir info'!C7</f>
        <v>0</v>
      </c>
      <c r="E102" s="268"/>
      <c r="F102">
        <v>6</v>
      </c>
      <c r="G102" s="268">
        <f>+'Dir info'!C8</f>
        <v>0</v>
      </c>
      <c r="H102" s="268"/>
      <c r="I102" s="268"/>
      <c r="J102" s="268"/>
    </row>
    <row r="103" spans="1:10">
      <c r="D103" s="43"/>
      <c r="E103" s="43"/>
      <c r="F103" s="43"/>
    </row>
    <row r="104" spans="1:10">
      <c r="A104" s="76" t="s">
        <v>61</v>
      </c>
    </row>
    <row r="106" spans="1:10">
      <c r="A106" t="s">
        <v>62</v>
      </c>
      <c r="D106" s="112"/>
    </row>
    <row r="108" spans="1:10">
      <c r="A108" s="76" t="s">
        <v>63</v>
      </c>
    </row>
    <row r="110" spans="1:10">
      <c r="A110" t="s">
        <v>46</v>
      </c>
      <c r="D110" s="61">
        <v>10506.66</v>
      </c>
    </row>
    <row r="112" spans="1:10">
      <c r="A112" s="76" t="s">
        <v>64</v>
      </c>
      <c r="E112" s="43"/>
    </row>
    <row r="113" spans="1:5">
      <c r="A113" t="s">
        <v>65</v>
      </c>
      <c r="D113" s="43"/>
    </row>
    <row r="114" spans="1:5">
      <c r="A114" t="s">
        <v>46</v>
      </c>
      <c r="D114" s="112"/>
    </row>
    <row r="116" spans="1:5">
      <c r="A116" t="s">
        <v>66</v>
      </c>
      <c r="D116" s="112">
        <f>IF(D114&gt;0,'T com (profit)'!D38,0)</f>
        <v>0</v>
      </c>
    </row>
    <row r="118" spans="1:5" s="80" customFormat="1">
      <c r="D118" s="81"/>
    </row>
    <row r="119" spans="1:5">
      <c r="A119" s="76" t="s">
        <v>67</v>
      </c>
    </row>
    <row r="120" spans="1:5">
      <c r="A120" t="s">
        <v>68</v>
      </c>
      <c r="D120" s="39" t="s">
        <v>350</v>
      </c>
    </row>
    <row r="122" spans="1:5">
      <c r="A122" t="s">
        <v>69</v>
      </c>
      <c r="D122" s="43"/>
      <c r="E122" s="43"/>
    </row>
    <row r="123" spans="1:5">
      <c r="D123" s="43"/>
      <c r="E123" s="43"/>
    </row>
    <row r="124" spans="1:5">
      <c r="A124" t="s">
        <v>70</v>
      </c>
      <c r="D124" s="39">
        <v>-9</v>
      </c>
      <c r="E124" t="s">
        <v>71</v>
      </c>
    </row>
    <row r="125" spans="1:5">
      <c r="E125" s="43" t="s">
        <v>72</v>
      </c>
    </row>
    <row r="127" spans="1:5">
      <c r="A127" t="s">
        <v>73</v>
      </c>
      <c r="D127" s="122"/>
    </row>
    <row r="129" spans="1:11">
      <c r="A129" s="76" t="s">
        <v>74</v>
      </c>
    </row>
    <row r="130" spans="1:11">
      <c r="A130" t="s">
        <v>75</v>
      </c>
      <c r="D130" s="39"/>
    </row>
    <row r="132" spans="1:11">
      <c r="A132" t="s">
        <v>76</v>
      </c>
      <c r="D132" s="274"/>
      <c r="E132" s="275"/>
    </row>
    <row r="135" spans="1:11">
      <c r="A135" s="76" t="s">
        <v>77</v>
      </c>
    </row>
    <row r="136" spans="1:11">
      <c r="A136" t="s">
        <v>78</v>
      </c>
      <c r="D136" s="126" t="s">
        <v>263</v>
      </c>
      <c r="E136" s="126"/>
      <c r="F136" s="126"/>
      <c r="G136" s="126"/>
      <c r="H136" s="126"/>
      <c r="I136" s="126"/>
      <c r="J136" s="126"/>
      <c r="K136" t="s">
        <v>397</v>
      </c>
    </row>
    <row r="137" spans="1:11">
      <c r="D137" s="126" t="s">
        <v>341</v>
      </c>
      <c r="E137" s="126"/>
      <c r="F137" s="126"/>
      <c r="G137" s="126"/>
      <c r="H137" s="126"/>
      <c r="I137" s="126"/>
      <c r="J137" s="126"/>
      <c r="K137" t="s">
        <v>341</v>
      </c>
    </row>
    <row r="138" spans="1:11">
      <c r="D138" s="126" t="s">
        <v>354</v>
      </c>
      <c r="E138" s="126"/>
      <c r="F138" s="126"/>
      <c r="G138" s="126"/>
      <c r="H138" s="126"/>
      <c r="I138" s="126"/>
      <c r="J138" s="126"/>
      <c r="K138" t="s">
        <v>398</v>
      </c>
    </row>
    <row r="139" spans="1:11">
      <c r="A139" t="s">
        <v>265</v>
      </c>
      <c r="D139" s="145" t="s">
        <v>353</v>
      </c>
      <c r="E139" s="145"/>
      <c r="F139" s="145"/>
      <c r="G139" s="145"/>
      <c r="H139" s="145"/>
      <c r="I139" s="145"/>
      <c r="J139" s="145"/>
      <c r="K139" t="s">
        <v>399</v>
      </c>
    </row>
    <row r="140" spans="1:11">
      <c r="A140" t="s">
        <v>266</v>
      </c>
      <c r="D140" s="145" t="s">
        <v>358</v>
      </c>
      <c r="E140" s="145"/>
      <c r="F140" s="145"/>
      <c r="G140" s="145"/>
      <c r="H140" s="145"/>
      <c r="I140" s="145"/>
      <c r="J140" s="145"/>
      <c r="K140" t="s">
        <v>400</v>
      </c>
    </row>
    <row r="142" spans="1:11">
      <c r="A142" t="s">
        <v>79</v>
      </c>
      <c r="D142" s="39" t="s">
        <v>356</v>
      </c>
      <c r="E142" s="39"/>
      <c r="F142" s="39"/>
      <c r="G142" s="39"/>
      <c r="H142" s="39"/>
      <c r="I142" s="39"/>
      <c r="J142" s="39"/>
      <c r="K142" t="s">
        <v>401</v>
      </c>
    </row>
    <row r="143" spans="1:11">
      <c r="D143" s="39" t="s">
        <v>357</v>
      </c>
      <c r="E143" s="39"/>
      <c r="F143" s="39"/>
      <c r="G143" s="39"/>
      <c r="H143" s="39"/>
      <c r="I143" s="39"/>
      <c r="J143" s="39"/>
      <c r="K143" t="s">
        <v>402</v>
      </c>
    </row>
    <row r="144" spans="1:11">
      <c r="D144" s="43"/>
      <c r="E144" s="43"/>
      <c r="F144" s="43"/>
      <c r="G144" s="43"/>
      <c r="H144" s="43"/>
      <c r="I144" s="43"/>
      <c r="J144" s="43"/>
    </row>
    <row r="145" spans="1:11">
      <c r="A145" t="s">
        <v>80</v>
      </c>
      <c r="D145" s="39" t="s">
        <v>267</v>
      </c>
      <c r="E145" s="39"/>
      <c r="F145" s="43"/>
      <c r="G145" s="43"/>
      <c r="H145" s="43"/>
      <c r="I145" s="43"/>
      <c r="J145" s="43"/>
      <c r="K145" t="s">
        <v>267</v>
      </c>
    </row>
    <row r="146" spans="1:11">
      <c r="A146" t="s">
        <v>81</v>
      </c>
      <c r="D146" s="39" t="s">
        <v>268</v>
      </c>
      <c r="E146" s="39"/>
      <c r="F146" s="43" t="s">
        <v>82</v>
      </c>
      <c r="G146" s="43"/>
      <c r="H146" s="43"/>
      <c r="I146" s="43"/>
      <c r="J146" s="43"/>
      <c r="K146" t="s">
        <v>403</v>
      </c>
    </row>
    <row r="147" spans="1:11">
      <c r="A147" t="s">
        <v>81</v>
      </c>
      <c r="D147" s="39" t="s">
        <v>268</v>
      </c>
      <c r="E147" s="39"/>
      <c r="F147" s="43" t="s">
        <v>83</v>
      </c>
      <c r="G147" s="43"/>
      <c r="H147" s="43"/>
      <c r="I147" s="43"/>
      <c r="J147" s="43"/>
      <c r="K147" t="s">
        <v>403</v>
      </c>
    </row>
    <row r="148" spans="1:11">
      <c r="A148" t="s">
        <v>84</v>
      </c>
      <c r="D148" s="39" t="s">
        <v>355</v>
      </c>
      <c r="E148" s="39"/>
      <c r="F148" s="43"/>
      <c r="G148" s="43"/>
      <c r="H148" s="43"/>
      <c r="I148" s="43"/>
      <c r="J148" s="43"/>
      <c r="K148" t="s">
        <v>404</v>
      </c>
    </row>
    <row r="150" spans="1:11">
      <c r="A150" t="s">
        <v>269</v>
      </c>
      <c r="D150" s="146" t="s">
        <v>274</v>
      </c>
      <c r="K150" t="s">
        <v>405</v>
      </c>
    </row>
  </sheetData>
  <mergeCells count="16">
    <mergeCell ref="D91:F91"/>
    <mergeCell ref="D86:F86"/>
    <mergeCell ref="D7:F7"/>
    <mergeCell ref="D80:F80"/>
    <mergeCell ref="D132:E132"/>
    <mergeCell ref="D3:H3"/>
    <mergeCell ref="D82:F82"/>
    <mergeCell ref="D84:F84"/>
    <mergeCell ref="D88:H88"/>
    <mergeCell ref="D6:F6"/>
    <mergeCell ref="G102:J102"/>
    <mergeCell ref="G101:J101"/>
    <mergeCell ref="G100:J100"/>
    <mergeCell ref="D102:E102"/>
    <mergeCell ref="D101:E101"/>
    <mergeCell ref="D100:E100"/>
  </mergeCells>
  <phoneticPr fontId="11" type="noConversion"/>
  <dataValidations count="3">
    <dataValidation type="list" allowBlank="1" showInputMessage="1" showErrorMessage="1" sqref="D113">
      <formula1>TITLE2</formula1>
    </dataValidation>
    <dataValidation type="list" allowBlank="1" showInputMessage="1" showErrorMessage="1" sqref="D97">
      <formula1>Shareholderhishertheir</formula1>
    </dataValidation>
    <dataValidation type="list" allowBlank="1" showInputMessage="1" showErrorMessage="1" sqref="D84:F84">
      <formula1>Due_to_from_a_director</formula1>
    </dataValidation>
  </dataValidations>
  <hyperlinks>
    <hyperlink ref="F75" r:id="rId1"/>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tabColor rgb="FFFF0000"/>
  </sheetPr>
  <dimension ref="A1:O57"/>
  <sheetViews>
    <sheetView view="pageBreakPreview" zoomScale="115" zoomScaleNormal="100" zoomScaleSheetLayoutView="115" workbookViewId="0">
      <selection activeCell="C10" sqref="C10"/>
    </sheetView>
  </sheetViews>
  <sheetFormatPr defaultRowHeight="15.75"/>
  <cols>
    <col min="1" max="1" width="19.625" bestFit="1" customWidth="1"/>
    <col min="3" max="3" width="20.375" customWidth="1"/>
    <col min="4" max="4" width="21.125" style="43" bestFit="1" customWidth="1"/>
    <col min="5" max="5" width="13.5" style="43" bestFit="1" customWidth="1"/>
    <col min="6" max="6" width="2.75" style="43" customWidth="1"/>
    <col min="7" max="7" width="11.875" style="43" customWidth="1"/>
    <col min="8" max="8" width="2.125" style="43" customWidth="1"/>
    <col min="9" max="9" width="15.25" style="43" bestFit="1" customWidth="1"/>
    <col min="10" max="10" width="13.125" bestFit="1" customWidth="1"/>
    <col min="11" max="11" width="12.875" style="120" customWidth="1"/>
    <col min="12" max="12" width="2.5" customWidth="1"/>
    <col min="13" max="13" width="0" hidden="1" customWidth="1"/>
    <col min="14" max="14" width="10.875" bestFit="1" customWidth="1"/>
    <col min="15" max="15" width="11.75" style="120" customWidth="1"/>
  </cols>
  <sheetData>
    <row r="1" spans="1:15">
      <c r="D1" s="43" t="s">
        <v>248</v>
      </c>
      <c r="G1" s="43" t="s">
        <v>249</v>
      </c>
      <c r="I1" s="43" t="s">
        <v>252</v>
      </c>
      <c r="K1" s="120" t="s">
        <v>221</v>
      </c>
      <c r="M1" t="s">
        <v>244</v>
      </c>
      <c r="O1" s="120" t="s">
        <v>221</v>
      </c>
    </row>
    <row r="2" spans="1:15">
      <c r="D2" s="43" t="s">
        <v>250</v>
      </c>
      <c r="E2" s="43" t="s">
        <v>251</v>
      </c>
    </row>
    <row r="3" spans="1:15">
      <c r="A3" t="s">
        <v>238</v>
      </c>
      <c r="C3" s="39" t="s">
        <v>348</v>
      </c>
      <c r="D3" s="134">
        <f>+IF(Control!$D$30=1,Control!$D$11,E3)</f>
        <v>41626</v>
      </c>
      <c r="E3" s="79"/>
      <c r="F3" s="133"/>
      <c r="G3" s="79"/>
      <c r="I3" s="43">
        <f t="shared" ref="I3:I8" si="0">IF(C3=0,0,IF(G3=0,1,0))</f>
        <v>1</v>
      </c>
      <c r="J3" t="s">
        <v>245</v>
      </c>
      <c r="K3" s="61"/>
      <c r="M3" s="39"/>
      <c r="N3" t="s">
        <v>246</v>
      </c>
      <c r="O3" s="61"/>
    </row>
    <row r="4" spans="1:15">
      <c r="A4" t="s">
        <v>239</v>
      </c>
      <c r="C4" s="39"/>
      <c r="D4" s="134">
        <f>+IF(Control!$D$30=1,Control!$D$11,E4)</f>
        <v>41626</v>
      </c>
      <c r="E4" s="79"/>
      <c r="G4" s="79"/>
      <c r="I4" s="43">
        <f t="shared" si="0"/>
        <v>0</v>
      </c>
      <c r="J4" t="s">
        <v>245</v>
      </c>
      <c r="K4" s="61"/>
      <c r="M4" s="39"/>
      <c r="N4" t="s">
        <v>246</v>
      </c>
      <c r="O4" s="61"/>
    </row>
    <row r="5" spans="1:15">
      <c r="A5" t="s">
        <v>240</v>
      </c>
      <c r="C5" s="39">
        <v>0</v>
      </c>
      <c r="D5" s="134">
        <f>+IF(Control!$D$30=1,Control!$D$11,E5)</f>
        <v>41626</v>
      </c>
      <c r="E5" s="79"/>
      <c r="G5" s="79"/>
      <c r="I5" s="43">
        <f t="shared" si="0"/>
        <v>0</v>
      </c>
      <c r="J5" t="s">
        <v>245</v>
      </c>
      <c r="K5" s="61"/>
      <c r="M5" s="39"/>
      <c r="N5" t="s">
        <v>246</v>
      </c>
      <c r="O5" s="61"/>
    </row>
    <row r="6" spans="1:15">
      <c r="A6" t="s">
        <v>241</v>
      </c>
      <c r="C6" s="39">
        <v>0</v>
      </c>
      <c r="D6" s="134">
        <f>+IF(Control!$D$30=1,Control!$D$11,E6)</f>
        <v>41626</v>
      </c>
      <c r="E6" s="79"/>
      <c r="G6" s="79"/>
      <c r="I6" s="43">
        <f t="shared" si="0"/>
        <v>0</v>
      </c>
      <c r="J6" t="s">
        <v>245</v>
      </c>
      <c r="K6" s="61"/>
      <c r="M6" s="39"/>
      <c r="N6" t="s">
        <v>246</v>
      </c>
      <c r="O6" s="61"/>
    </row>
    <row r="7" spans="1:15">
      <c r="A7" t="s">
        <v>242</v>
      </c>
      <c r="C7" s="39">
        <v>0</v>
      </c>
      <c r="D7" s="134">
        <f>+IF(Control!$D$30=1,Control!$D$11,E7)</f>
        <v>41626</v>
      </c>
      <c r="E7" s="79"/>
      <c r="G7" s="79"/>
      <c r="I7" s="43">
        <f t="shared" si="0"/>
        <v>0</v>
      </c>
      <c r="J7" t="s">
        <v>245</v>
      </c>
      <c r="K7" s="61"/>
      <c r="M7" s="39"/>
      <c r="N7" t="s">
        <v>246</v>
      </c>
      <c r="O7" s="61"/>
    </row>
    <row r="8" spans="1:15">
      <c r="A8" t="s">
        <v>243</v>
      </c>
      <c r="C8" s="39">
        <v>0</v>
      </c>
      <c r="D8" s="134">
        <f>+IF(Control!$D$30=1,Control!$D$11,E8)</f>
        <v>41626</v>
      </c>
      <c r="E8" s="79"/>
      <c r="G8" s="79"/>
      <c r="I8" s="43">
        <f t="shared" si="0"/>
        <v>0</v>
      </c>
      <c r="J8" t="s">
        <v>245</v>
      </c>
      <c r="K8" s="61"/>
      <c r="M8" s="39"/>
      <c r="N8" t="s">
        <v>246</v>
      </c>
      <c r="O8" s="61"/>
    </row>
    <row r="57" spans="4:4">
      <c r="D57" s="43">
        <v>-23056</v>
      </c>
    </row>
  </sheetData>
  <phoneticPr fontId="1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4">
    <pageSetUpPr fitToPage="1"/>
  </sheetPr>
  <dimension ref="A1:AQ78"/>
  <sheetViews>
    <sheetView workbookViewId="0">
      <selection activeCell="C55" sqref="C55"/>
    </sheetView>
  </sheetViews>
  <sheetFormatPr defaultColWidth="2.625" defaultRowHeight="12"/>
  <cols>
    <col min="1" max="14" width="2.625" style="30" customWidth="1"/>
    <col min="15" max="16" width="2.5" style="30" customWidth="1"/>
    <col min="17" max="17" width="2.625" style="30" customWidth="1"/>
    <col min="18" max="18" width="6" style="30" customWidth="1"/>
    <col min="19" max="20" width="2.5" style="30" customWidth="1"/>
    <col min="21" max="22" width="2.125" style="30" customWidth="1"/>
    <col min="23" max="25" width="2.5" style="30" customWidth="1"/>
    <col min="26" max="26" width="1.875" style="30" customWidth="1"/>
    <col min="27" max="29" width="2.5" style="30" customWidth="1"/>
    <col min="30" max="30" width="1.875" style="30" customWidth="1"/>
    <col min="31" max="33" width="2.5" style="30" customWidth="1"/>
    <col min="34" max="34" width="1.375" style="30" customWidth="1"/>
    <col min="35" max="35" width="2.5" style="30" customWidth="1"/>
    <col min="36" max="36" width="2.125" style="30" customWidth="1"/>
    <col min="37" max="37" width="1.625" style="30" customWidth="1"/>
    <col min="38" max="38" width="2.5" style="30" customWidth="1"/>
    <col min="39" max="42" width="2.625" style="30"/>
    <col min="43" max="43" width="11.375" style="30" bestFit="1" customWidth="1"/>
    <col min="44" max="256" width="2.625" style="30"/>
    <col min="257" max="270" width="2.625" style="30" customWidth="1"/>
    <col min="271" max="272" width="2.5" style="30" customWidth="1"/>
    <col min="273" max="273" width="2.625" style="30" customWidth="1"/>
    <col min="274" max="274" width="6" style="30" customWidth="1"/>
    <col min="275" max="276" width="2.5" style="30" customWidth="1"/>
    <col min="277" max="278" width="2.125" style="30" customWidth="1"/>
    <col min="279" max="281" width="2.5" style="30" customWidth="1"/>
    <col min="282" max="282" width="1.875" style="30" customWidth="1"/>
    <col min="283" max="285" width="2.5" style="30" customWidth="1"/>
    <col min="286" max="286" width="1.875" style="30" customWidth="1"/>
    <col min="287" max="289" width="2.5" style="30" customWidth="1"/>
    <col min="290" max="290" width="1.375" style="30" customWidth="1"/>
    <col min="291" max="291" width="2.5" style="30" customWidth="1"/>
    <col min="292" max="292" width="2.125" style="30" customWidth="1"/>
    <col min="293" max="293" width="1.625" style="30" customWidth="1"/>
    <col min="294" max="294" width="2.5" style="30" customWidth="1"/>
    <col min="295" max="512" width="2.625" style="30"/>
    <col min="513" max="526" width="2.625" style="30" customWidth="1"/>
    <col min="527" max="528" width="2.5" style="30" customWidth="1"/>
    <col min="529" max="529" width="2.625" style="30" customWidth="1"/>
    <col min="530" max="530" width="6" style="30" customWidth="1"/>
    <col min="531" max="532" width="2.5" style="30" customWidth="1"/>
    <col min="533" max="534" width="2.125" style="30" customWidth="1"/>
    <col min="535" max="537" width="2.5" style="30" customWidth="1"/>
    <col min="538" max="538" width="1.875" style="30" customWidth="1"/>
    <col min="539" max="541" width="2.5" style="30" customWidth="1"/>
    <col min="542" max="542" width="1.875" style="30" customWidth="1"/>
    <col min="543" max="545" width="2.5" style="30" customWidth="1"/>
    <col min="546" max="546" width="1.375" style="30" customWidth="1"/>
    <col min="547" max="547" width="2.5" style="30" customWidth="1"/>
    <col min="548" max="548" width="2.125" style="30" customWidth="1"/>
    <col min="549" max="549" width="1.625" style="30" customWidth="1"/>
    <col min="550" max="550" width="2.5" style="30" customWidth="1"/>
    <col min="551" max="768" width="2.625" style="30"/>
    <col min="769" max="782" width="2.625" style="30" customWidth="1"/>
    <col min="783" max="784" width="2.5" style="30" customWidth="1"/>
    <col min="785" max="785" width="2.625" style="30" customWidth="1"/>
    <col min="786" max="786" width="6" style="30" customWidth="1"/>
    <col min="787" max="788" width="2.5" style="30" customWidth="1"/>
    <col min="789" max="790" width="2.125" style="30" customWidth="1"/>
    <col min="791" max="793" width="2.5" style="30" customWidth="1"/>
    <col min="794" max="794" width="1.875" style="30" customWidth="1"/>
    <col min="795" max="797" width="2.5" style="30" customWidth="1"/>
    <col min="798" max="798" width="1.875" style="30" customWidth="1"/>
    <col min="799" max="801" width="2.5" style="30" customWidth="1"/>
    <col min="802" max="802" width="1.375" style="30" customWidth="1"/>
    <col min="803" max="803" width="2.5" style="30" customWidth="1"/>
    <col min="804" max="804" width="2.125" style="30" customWidth="1"/>
    <col min="805" max="805" width="1.625" style="30" customWidth="1"/>
    <col min="806" max="806" width="2.5" style="30" customWidth="1"/>
    <col min="807" max="1024" width="2.625" style="30"/>
    <col min="1025" max="1038" width="2.625" style="30" customWidth="1"/>
    <col min="1039" max="1040" width="2.5" style="30" customWidth="1"/>
    <col min="1041" max="1041" width="2.625" style="30" customWidth="1"/>
    <col min="1042" max="1042" width="6" style="30" customWidth="1"/>
    <col min="1043" max="1044" width="2.5" style="30" customWidth="1"/>
    <col min="1045" max="1046" width="2.125" style="30" customWidth="1"/>
    <col min="1047" max="1049" width="2.5" style="30" customWidth="1"/>
    <col min="1050" max="1050" width="1.875" style="30" customWidth="1"/>
    <col min="1051" max="1053" width="2.5" style="30" customWidth="1"/>
    <col min="1054" max="1054" width="1.875" style="30" customWidth="1"/>
    <col min="1055" max="1057" width="2.5" style="30" customWidth="1"/>
    <col min="1058" max="1058" width="1.375" style="30" customWidth="1"/>
    <col min="1059" max="1059" width="2.5" style="30" customWidth="1"/>
    <col min="1060" max="1060" width="2.125" style="30" customWidth="1"/>
    <col min="1061" max="1061" width="1.625" style="30" customWidth="1"/>
    <col min="1062" max="1062" width="2.5" style="30" customWidth="1"/>
    <col min="1063" max="1280" width="2.625" style="30"/>
    <col min="1281" max="1294" width="2.625" style="30" customWidth="1"/>
    <col min="1295" max="1296" width="2.5" style="30" customWidth="1"/>
    <col min="1297" max="1297" width="2.625" style="30" customWidth="1"/>
    <col min="1298" max="1298" width="6" style="30" customWidth="1"/>
    <col min="1299" max="1300" width="2.5" style="30" customWidth="1"/>
    <col min="1301" max="1302" width="2.125" style="30" customWidth="1"/>
    <col min="1303" max="1305" width="2.5" style="30" customWidth="1"/>
    <col min="1306" max="1306" width="1.875" style="30" customWidth="1"/>
    <col min="1307" max="1309" width="2.5" style="30" customWidth="1"/>
    <col min="1310" max="1310" width="1.875" style="30" customWidth="1"/>
    <col min="1311" max="1313" width="2.5" style="30" customWidth="1"/>
    <col min="1314" max="1314" width="1.375" style="30" customWidth="1"/>
    <col min="1315" max="1315" width="2.5" style="30" customWidth="1"/>
    <col min="1316" max="1316" width="2.125" style="30" customWidth="1"/>
    <col min="1317" max="1317" width="1.625" style="30" customWidth="1"/>
    <col min="1318" max="1318" width="2.5" style="30" customWidth="1"/>
    <col min="1319" max="1536" width="2.625" style="30"/>
    <col min="1537" max="1550" width="2.625" style="30" customWidth="1"/>
    <col min="1551" max="1552" width="2.5" style="30" customWidth="1"/>
    <col min="1553" max="1553" width="2.625" style="30" customWidth="1"/>
    <col min="1554" max="1554" width="6" style="30" customWidth="1"/>
    <col min="1555" max="1556" width="2.5" style="30" customWidth="1"/>
    <col min="1557" max="1558" width="2.125" style="30" customWidth="1"/>
    <col min="1559" max="1561" width="2.5" style="30" customWidth="1"/>
    <col min="1562" max="1562" width="1.875" style="30" customWidth="1"/>
    <col min="1563" max="1565" width="2.5" style="30" customWidth="1"/>
    <col min="1566" max="1566" width="1.875" style="30" customWidth="1"/>
    <col min="1567" max="1569" width="2.5" style="30" customWidth="1"/>
    <col min="1570" max="1570" width="1.375" style="30" customWidth="1"/>
    <col min="1571" max="1571" width="2.5" style="30" customWidth="1"/>
    <col min="1572" max="1572" width="2.125" style="30" customWidth="1"/>
    <col min="1573" max="1573" width="1.625" style="30" customWidth="1"/>
    <col min="1574" max="1574" width="2.5" style="30" customWidth="1"/>
    <col min="1575" max="1792" width="2.625" style="30"/>
    <col min="1793" max="1806" width="2.625" style="30" customWidth="1"/>
    <col min="1807" max="1808" width="2.5" style="30" customWidth="1"/>
    <col min="1809" max="1809" width="2.625" style="30" customWidth="1"/>
    <col min="1810" max="1810" width="6" style="30" customWidth="1"/>
    <col min="1811" max="1812" width="2.5" style="30" customWidth="1"/>
    <col min="1813" max="1814" width="2.125" style="30" customWidth="1"/>
    <col min="1815" max="1817" width="2.5" style="30" customWidth="1"/>
    <col min="1818" max="1818" width="1.875" style="30" customWidth="1"/>
    <col min="1819" max="1821" width="2.5" style="30" customWidth="1"/>
    <col min="1822" max="1822" width="1.875" style="30" customWidth="1"/>
    <col min="1823" max="1825" width="2.5" style="30" customWidth="1"/>
    <col min="1826" max="1826" width="1.375" style="30" customWidth="1"/>
    <col min="1827" max="1827" width="2.5" style="30" customWidth="1"/>
    <col min="1828" max="1828" width="2.125" style="30" customWidth="1"/>
    <col min="1829" max="1829" width="1.625" style="30" customWidth="1"/>
    <col min="1830" max="1830" width="2.5" style="30" customWidth="1"/>
    <col min="1831" max="2048" width="2.625" style="30"/>
    <col min="2049" max="2062" width="2.625" style="30" customWidth="1"/>
    <col min="2063" max="2064" width="2.5" style="30" customWidth="1"/>
    <col min="2065" max="2065" width="2.625" style="30" customWidth="1"/>
    <col min="2066" max="2066" width="6" style="30" customWidth="1"/>
    <col min="2067" max="2068" width="2.5" style="30" customWidth="1"/>
    <col min="2069" max="2070" width="2.125" style="30" customWidth="1"/>
    <col min="2071" max="2073" width="2.5" style="30" customWidth="1"/>
    <col min="2074" max="2074" width="1.875" style="30" customWidth="1"/>
    <col min="2075" max="2077" width="2.5" style="30" customWidth="1"/>
    <col min="2078" max="2078" width="1.875" style="30" customWidth="1"/>
    <col min="2079" max="2081" width="2.5" style="30" customWidth="1"/>
    <col min="2082" max="2082" width="1.375" style="30" customWidth="1"/>
    <col min="2083" max="2083" width="2.5" style="30" customWidth="1"/>
    <col min="2084" max="2084" width="2.125" style="30" customWidth="1"/>
    <col min="2085" max="2085" width="1.625" style="30" customWidth="1"/>
    <col min="2086" max="2086" width="2.5" style="30" customWidth="1"/>
    <col min="2087" max="2304" width="2.625" style="30"/>
    <col min="2305" max="2318" width="2.625" style="30" customWidth="1"/>
    <col min="2319" max="2320" width="2.5" style="30" customWidth="1"/>
    <col min="2321" max="2321" width="2.625" style="30" customWidth="1"/>
    <col min="2322" max="2322" width="6" style="30" customWidth="1"/>
    <col min="2323" max="2324" width="2.5" style="30" customWidth="1"/>
    <col min="2325" max="2326" width="2.125" style="30" customWidth="1"/>
    <col min="2327" max="2329" width="2.5" style="30" customWidth="1"/>
    <col min="2330" max="2330" width="1.875" style="30" customWidth="1"/>
    <col min="2331" max="2333" width="2.5" style="30" customWidth="1"/>
    <col min="2334" max="2334" width="1.875" style="30" customWidth="1"/>
    <col min="2335" max="2337" width="2.5" style="30" customWidth="1"/>
    <col min="2338" max="2338" width="1.375" style="30" customWidth="1"/>
    <col min="2339" max="2339" width="2.5" style="30" customWidth="1"/>
    <col min="2340" max="2340" width="2.125" style="30" customWidth="1"/>
    <col min="2341" max="2341" width="1.625" style="30" customWidth="1"/>
    <col min="2342" max="2342" width="2.5" style="30" customWidth="1"/>
    <col min="2343" max="2560" width="2.625" style="30"/>
    <col min="2561" max="2574" width="2.625" style="30" customWidth="1"/>
    <col min="2575" max="2576" width="2.5" style="30" customWidth="1"/>
    <col min="2577" max="2577" width="2.625" style="30" customWidth="1"/>
    <col min="2578" max="2578" width="6" style="30" customWidth="1"/>
    <col min="2579" max="2580" width="2.5" style="30" customWidth="1"/>
    <col min="2581" max="2582" width="2.125" style="30" customWidth="1"/>
    <col min="2583" max="2585" width="2.5" style="30" customWidth="1"/>
    <col min="2586" max="2586" width="1.875" style="30" customWidth="1"/>
    <col min="2587" max="2589" width="2.5" style="30" customWidth="1"/>
    <col min="2590" max="2590" width="1.875" style="30" customWidth="1"/>
    <col min="2591" max="2593" width="2.5" style="30" customWidth="1"/>
    <col min="2594" max="2594" width="1.375" style="30" customWidth="1"/>
    <col min="2595" max="2595" width="2.5" style="30" customWidth="1"/>
    <col min="2596" max="2596" width="2.125" style="30" customWidth="1"/>
    <col min="2597" max="2597" width="1.625" style="30" customWidth="1"/>
    <col min="2598" max="2598" width="2.5" style="30" customWidth="1"/>
    <col min="2599" max="2816" width="2.625" style="30"/>
    <col min="2817" max="2830" width="2.625" style="30" customWidth="1"/>
    <col min="2831" max="2832" width="2.5" style="30" customWidth="1"/>
    <col min="2833" max="2833" width="2.625" style="30" customWidth="1"/>
    <col min="2834" max="2834" width="6" style="30" customWidth="1"/>
    <col min="2835" max="2836" width="2.5" style="30" customWidth="1"/>
    <col min="2837" max="2838" width="2.125" style="30" customWidth="1"/>
    <col min="2839" max="2841" width="2.5" style="30" customWidth="1"/>
    <col min="2842" max="2842" width="1.875" style="30" customWidth="1"/>
    <col min="2843" max="2845" width="2.5" style="30" customWidth="1"/>
    <col min="2846" max="2846" width="1.875" style="30" customWidth="1"/>
    <col min="2847" max="2849" width="2.5" style="30" customWidth="1"/>
    <col min="2850" max="2850" width="1.375" style="30" customWidth="1"/>
    <col min="2851" max="2851" width="2.5" style="30" customWidth="1"/>
    <col min="2852" max="2852" width="2.125" style="30" customWidth="1"/>
    <col min="2853" max="2853" width="1.625" style="30" customWidth="1"/>
    <col min="2854" max="2854" width="2.5" style="30" customWidth="1"/>
    <col min="2855" max="3072" width="2.625" style="30"/>
    <col min="3073" max="3086" width="2.625" style="30" customWidth="1"/>
    <col min="3087" max="3088" width="2.5" style="30" customWidth="1"/>
    <col min="3089" max="3089" width="2.625" style="30" customWidth="1"/>
    <col min="3090" max="3090" width="6" style="30" customWidth="1"/>
    <col min="3091" max="3092" width="2.5" style="30" customWidth="1"/>
    <col min="3093" max="3094" width="2.125" style="30" customWidth="1"/>
    <col min="3095" max="3097" width="2.5" style="30" customWidth="1"/>
    <col min="3098" max="3098" width="1.875" style="30" customWidth="1"/>
    <col min="3099" max="3101" width="2.5" style="30" customWidth="1"/>
    <col min="3102" max="3102" width="1.875" style="30" customWidth="1"/>
    <col min="3103" max="3105" width="2.5" style="30" customWidth="1"/>
    <col min="3106" max="3106" width="1.375" style="30" customWidth="1"/>
    <col min="3107" max="3107" width="2.5" style="30" customWidth="1"/>
    <col min="3108" max="3108" width="2.125" style="30" customWidth="1"/>
    <col min="3109" max="3109" width="1.625" style="30" customWidth="1"/>
    <col min="3110" max="3110" width="2.5" style="30" customWidth="1"/>
    <col min="3111" max="3328" width="2.625" style="30"/>
    <col min="3329" max="3342" width="2.625" style="30" customWidth="1"/>
    <col min="3343" max="3344" width="2.5" style="30" customWidth="1"/>
    <col min="3345" max="3345" width="2.625" style="30" customWidth="1"/>
    <col min="3346" max="3346" width="6" style="30" customWidth="1"/>
    <col min="3347" max="3348" width="2.5" style="30" customWidth="1"/>
    <col min="3349" max="3350" width="2.125" style="30" customWidth="1"/>
    <col min="3351" max="3353" width="2.5" style="30" customWidth="1"/>
    <col min="3354" max="3354" width="1.875" style="30" customWidth="1"/>
    <col min="3355" max="3357" width="2.5" style="30" customWidth="1"/>
    <col min="3358" max="3358" width="1.875" style="30" customWidth="1"/>
    <col min="3359" max="3361" width="2.5" style="30" customWidth="1"/>
    <col min="3362" max="3362" width="1.375" style="30" customWidth="1"/>
    <col min="3363" max="3363" width="2.5" style="30" customWidth="1"/>
    <col min="3364" max="3364" width="2.125" style="30" customWidth="1"/>
    <col min="3365" max="3365" width="1.625" style="30" customWidth="1"/>
    <col min="3366" max="3366" width="2.5" style="30" customWidth="1"/>
    <col min="3367" max="3584" width="2.625" style="30"/>
    <col min="3585" max="3598" width="2.625" style="30" customWidth="1"/>
    <col min="3599" max="3600" width="2.5" style="30" customWidth="1"/>
    <col min="3601" max="3601" width="2.625" style="30" customWidth="1"/>
    <col min="3602" max="3602" width="6" style="30" customWidth="1"/>
    <col min="3603" max="3604" width="2.5" style="30" customWidth="1"/>
    <col min="3605" max="3606" width="2.125" style="30" customWidth="1"/>
    <col min="3607" max="3609" width="2.5" style="30" customWidth="1"/>
    <col min="3610" max="3610" width="1.875" style="30" customWidth="1"/>
    <col min="3611" max="3613" width="2.5" style="30" customWidth="1"/>
    <col min="3614" max="3614" width="1.875" style="30" customWidth="1"/>
    <col min="3615" max="3617" width="2.5" style="30" customWidth="1"/>
    <col min="3618" max="3618" width="1.375" style="30" customWidth="1"/>
    <col min="3619" max="3619" width="2.5" style="30" customWidth="1"/>
    <col min="3620" max="3620" width="2.125" style="30" customWidth="1"/>
    <col min="3621" max="3621" width="1.625" style="30" customWidth="1"/>
    <col min="3622" max="3622" width="2.5" style="30" customWidth="1"/>
    <col min="3623" max="3840" width="2.625" style="30"/>
    <col min="3841" max="3854" width="2.625" style="30" customWidth="1"/>
    <col min="3855" max="3856" width="2.5" style="30" customWidth="1"/>
    <col min="3857" max="3857" width="2.625" style="30" customWidth="1"/>
    <col min="3858" max="3858" width="6" style="30" customWidth="1"/>
    <col min="3859" max="3860" width="2.5" style="30" customWidth="1"/>
    <col min="3861" max="3862" width="2.125" style="30" customWidth="1"/>
    <col min="3863" max="3865" width="2.5" style="30" customWidth="1"/>
    <col min="3866" max="3866" width="1.875" style="30" customWidth="1"/>
    <col min="3867" max="3869" width="2.5" style="30" customWidth="1"/>
    <col min="3870" max="3870" width="1.875" style="30" customWidth="1"/>
    <col min="3871" max="3873" width="2.5" style="30" customWidth="1"/>
    <col min="3874" max="3874" width="1.375" style="30" customWidth="1"/>
    <col min="3875" max="3875" width="2.5" style="30" customWidth="1"/>
    <col min="3876" max="3876" width="2.125" style="30" customWidth="1"/>
    <col min="3877" max="3877" width="1.625" style="30" customWidth="1"/>
    <col min="3878" max="3878" width="2.5" style="30" customWidth="1"/>
    <col min="3879" max="4096" width="2.625" style="30"/>
    <col min="4097" max="4110" width="2.625" style="30" customWidth="1"/>
    <col min="4111" max="4112" width="2.5" style="30" customWidth="1"/>
    <col min="4113" max="4113" width="2.625" style="30" customWidth="1"/>
    <col min="4114" max="4114" width="6" style="30" customWidth="1"/>
    <col min="4115" max="4116" width="2.5" style="30" customWidth="1"/>
    <col min="4117" max="4118" width="2.125" style="30" customWidth="1"/>
    <col min="4119" max="4121" width="2.5" style="30" customWidth="1"/>
    <col min="4122" max="4122" width="1.875" style="30" customWidth="1"/>
    <col min="4123" max="4125" width="2.5" style="30" customWidth="1"/>
    <col min="4126" max="4126" width="1.875" style="30" customWidth="1"/>
    <col min="4127" max="4129" width="2.5" style="30" customWidth="1"/>
    <col min="4130" max="4130" width="1.375" style="30" customWidth="1"/>
    <col min="4131" max="4131" width="2.5" style="30" customWidth="1"/>
    <col min="4132" max="4132" width="2.125" style="30" customWidth="1"/>
    <col min="4133" max="4133" width="1.625" style="30" customWidth="1"/>
    <col min="4134" max="4134" width="2.5" style="30" customWidth="1"/>
    <col min="4135" max="4352" width="2.625" style="30"/>
    <col min="4353" max="4366" width="2.625" style="30" customWidth="1"/>
    <col min="4367" max="4368" width="2.5" style="30" customWidth="1"/>
    <col min="4369" max="4369" width="2.625" style="30" customWidth="1"/>
    <col min="4370" max="4370" width="6" style="30" customWidth="1"/>
    <col min="4371" max="4372" width="2.5" style="30" customWidth="1"/>
    <col min="4373" max="4374" width="2.125" style="30" customWidth="1"/>
    <col min="4375" max="4377" width="2.5" style="30" customWidth="1"/>
    <col min="4378" max="4378" width="1.875" style="30" customWidth="1"/>
    <col min="4379" max="4381" width="2.5" style="30" customWidth="1"/>
    <col min="4382" max="4382" width="1.875" style="30" customWidth="1"/>
    <col min="4383" max="4385" width="2.5" style="30" customWidth="1"/>
    <col min="4386" max="4386" width="1.375" style="30" customWidth="1"/>
    <col min="4387" max="4387" width="2.5" style="30" customWidth="1"/>
    <col min="4388" max="4388" width="2.125" style="30" customWidth="1"/>
    <col min="4389" max="4389" width="1.625" style="30" customWidth="1"/>
    <col min="4390" max="4390" width="2.5" style="30" customWidth="1"/>
    <col min="4391" max="4608" width="2.625" style="30"/>
    <col min="4609" max="4622" width="2.625" style="30" customWidth="1"/>
    <col min="4623" max="4624" width="2.5" style="30" customWidth="1"/>
    <col min="4625" max="4625" width="2.625" style="30" customWidth="1"/>
    <col min="4626" max="4626" width="6" style="30" customWidth="1"/>
    <col min="4627" max="4628" width="2.5" style="30" customWidth="1"/>
    <col min="4629" max="4630" width="2.125" style="30" customWidth="1"/>
    <col min="4631" max="4633" width="2.5" style="30" customWidth="1"/>
    <col min="4634" max="4634" width="1.875" style="30" customWidth="1"/>
    <col min="4635" max="4637" width="2.5" style="30" customWidth="1"/>
    <col min="4638" max="4638" width="1.875" style="30" customWidth="1"/>
    <col min="4639" max="4641" width="2.5" style="30" customWidth="1"/>
    <col min="4642" max="4642" width="1.375" style="30" customWidth="1"/>
    <col min="4643" max="4643" width="2.5" style="30" customWidth="1"/>
    <col min="4644" max="4644" width="2.125" style="30" customWidth="1"/>
    <col min="4645" max="4645" width="1.625" style="30" customWidth="1"/>
    <col min="4646" max="4646" width="2.5" style="30" customWidth="1"/>
    <col min="4647" max="4864" width="2.625" style="30"/>
    <col min="4865" max="4878" width="2.625" style="30" customWidth="1"/>
    <col min="4879" max="4880" width="2.5" style="30" customWidth="1"/>
    <col min="4881" max="4881" width="2.625" style="30" customWidth="1"/>
    <col min="4882" max="4882" width="6" style="30" customWidth="1"/>
    <col min="4883" max="4884" width="2.5" style="30" customWidth="1"/>
    <col min="4885" max="4886" width="2.125" style="30" customWidth="1"/>
    <col min="4887" max="4889" width="2.5" style="30" customWidth="1"/>
    <col min="4890" max="4890" width="1.875" style="30" customWidth="1"/>
    <col min="4891" max="4893" width="2.5" style="30" customWidth="1"/>
    <col min="4894" max="4894" width="1.875" style="30" customWidth="1"/>
    <col min="4895" max="4897" width="2.5" style="30" customWidth="1"/>
    <col min="4898" max="4898" width="1.375" style="30" customWidth="1"/>
    <col min="4899" max="4899" width="2.5" style="30" customWidth="1"/>
    <col min="4900" max="4900" width="2.125" style="30" customWidth="1"/>
    <col min="4901" max="4901" width="1.625" style="30" customWidth="1"/>
    <col min="4902" max="4902" width="2.5" style="30" customWidth="1"/>
    <col min="4903" max="5120" width="2.625" style="30"/>
    <col min="5121" max="5134" width="2.625" style="30" customWidth="1"/>
    <col min="5135" max="5136" width="2.5" style="30" customWidth="1"/>
    <col min="5137" max="5137" width="2.625" style="30" customWidth="1"/>
    <col min="5138" max="5138" width="6" style="30" customWidth="1"/>
    <col min="5139" max="5140" width="2.5" style="30" customWidth="1"/>
    <col min="5141" max="5142" width="2.125" style="30" customWidth="1"/>
    <col min="5143" max="5145" width="2.5" style="30" customWidth="1"/>
    <col min="5146" max="5146" width="1.875" style="30" customWidth="1"/>
    <col min="5147" max="5149" width="2.5" style="30" customWidth="1"/>
    <col min="5150" max="5150" width="1.875" style="30" customWidth="1"/>
    <col min="5151" max="5153" width="2.5" style="30" customWidth="1"/>
    <col min="5154" max="5154" width="1.375" style="30" customWidth="1"/>
    <col min="5155" max="5155" width="2.5" style="30" customWidth="1"/>
    <col min="5156" max="5156" width="2.125" style="30" customWidth="1"/>
    <col min="5157" max="5157" width="1.625" style="30" customWidth="1"/>
    <col min="5158" max="5158" width="2.5" style="30" customWidth="1"/>
    <col min="5159" max="5376" width="2.625" style="30"/>
    <col min="5377" max="5390" width="2.625" style="30" customWidth="1"/>
    <col min="5391" max="5392" width="2.5" style="30" customWidth="1"/>
    <col min="5393" max="5393" width="2.625" style="30" customWidth="1"/>
    <col min="5394" max="5394" width="6" style="30" customWidth="1"/>
    <col min="5395" max="5396" width="2.5" style="30" customWidth="1"/>
    <col min="5397" max="5398" width="2.125" style="30" customWidth="1"/>
    <col min="5399" max="5401" width="2.5" style="30" customWidth="1"/>
    <col min="5402" max="5402" width="1.875" style="30" customWidth="1"/>
    <col min="5403" max="5405" width="2.5" style="30" customWidth="1"/>
    <col min="5406" max="5406" width="1.875" style="30" customWidth="1"/>
    <col min="5407" max="5409" width="2.5" style="30" customWidth="1"/>
    <col min="5410" max="5410" width="1.375" style="30" customWidth="1"/>
    <col min="5411" max="5411" width="2.5" style="30" customWidth="1"/>
    <col min="5412" max="5412" width="2.125" style="30" customWidth="1"/>
    <col min="5413" max="5413" width="1.625" style="30" customWidth="1"/>
    <col min="5414" max="5414" width="2.5" style="30" customWidth="1"/>
    <col min="5415" max="5632" width="2.625" style="30"/>
    <col min="5633" max="5646" width="2.625" style="30" customWidth="1"/>
    <col min="5647" max="5648" width="2.5" style="30" customWidth="1"/>
    <col min="5649" max="5649" width="2.625" style="30" customWidth="1"/>
    <col min="5650" max="5650" width="6" style="30" customWidth="1"/>
    <col min="5651" max="5652" width="2.5" style="30" customWidth="1"/>
    <col min="5653" max="5654" width="2.125" style="30" customWidth="1"/>
    <col min="5655" max="5657" width="2.5" style="30" customWidth="1"/>
    <col min="5658" max="5658" width="1.875" style="30" customWidth="1"/>
    <col min="5659" max="5661" width="2.5" style="30" customWidth="1"/>
    <col min="5662" max="5662" width="1.875" style="30" customWidth="1"/>
    <col min="5663" max="5665" width="2.5" style="30" customWidth="1"/>
    <col min="5666" max="5666" width="1.375" style="30" customWidth="1"/>
    <col min="5667" max="5667" width="2.5" style="30" customWidth="1"/>
    <col min="5668" max="5668" width="2.125" style="30" customWidth="1"/>
    <col min="5669" max="5669" width="1.625" style="30" customWidth="1"/>
    <col min="5670" max="5670" width="2.5" style="30" customWidth="1"/>
    <col min="5671" max="5888" width="2.625" style="30"/>
    <col min="5889" max="5902" width="2.625" style="30" customWidth="1"/>
    <col min="5903" max="5904" width="2.5" style="30" customWidth="1"/>
    <col min="5905" max="5905" width="2.625" style="30" customWidth="1"/>
    <col min="5906" max="5906" width="6" style="30" customWidth="1"/>
    <col min="5907" max="5908" width="2.5" style="30" customWidth="1"/>
    <col min="5909" max="5910" width="2.125" style="30" customWidth="1"/>
    <col min="5911" max="5913" width="2.5" style="30" customWidth="1"/>
    <col min="5914" max="5914" width="1.875" style="30" customWidth="1"/>
    <col min="5915" max="5917" width="2.5" style="30" customWidth="1"/>
    <col min="5918" max="5918" width="1.875" style="30" customWidth="1"/>
    <col min="5919" max="5921" width="2.5" style="30" customWidth="1"/>
    <col min="5922" max="5922" width="1.375" style="30" customWidth="1"/>
    <col min="5923" max="5923" width="2.5" style="30" customWidth="1"/>
    <col min="5924" max="5924" width="2.125" style="30" customWidth="1"/>
    <col min="5925" max="5925" width="1.625" style="30" customWidth="1"/>
    <col min="5926" max="5926" width="2.5" style="30" customWidth="1"/>
    <col min="5927" max="6144" width="2.625" style="30"/>
    <col min="6145" max="6158" width="2.625" style="30" customWidth="1"/>
    <col min="6159" max="6160" width="2.5" style="30" customWidth="1"/>
    <col min="6161" max="6161" width="2.625" style="30" customWidth="1"/>
    <col min="6162" max="6162" width="6" style="30" customWidth="1"/>
    <col min="6163" max="6164" width="2.5" style="30" customWidth="1"/>
    <col min="6165" max="6166" width="2.125" style="30" customWidth="1"/>
    <col min="6167" max="6169" width="2.5" style="30" customWidth="1"/>
    <col min="6170" max="6170" width="1.875" style="30" customWidth="1"/>
    <col min="6171" max="6173" width="2.5" style="30" customWidth="1"/>
    <col min="6174" max="6174" width="1.875" style="30" customWidth="1"/>
    <col min="6175" max="6177" width="2.5" style="30" customWidth="1"/>
    <col min="6178" max="6178" width="1.375" style="30" customWidth="1"/>
    <col min="6179" max="6179" width="2.5" style="30" customWidth="1"/>
    <col min="6180" max="6180" width="2.125" style="30" customWidth="1"/>
    <col min="6181" max="6181" width="1.625" style="30" customWidth="1"/>
    <col min="6182" max="6182" width="2.5" style="30" customWidth="1"/>
    <col min="6183" max="6400" width="2.625" style="30"/>
    <col min="6401" max="6414" width="2.625" style="30" customWidth="1"/>
    <col min="6415" max="6416" width="2.5" style="30" customWidth="1"/>
    <col min="6417" max="6417" width="2.625" style="30" customWidth="1"/>
    <col min="6418" max="6418" width="6" style="30" customWidth="1"/>
    <col min="6419" max="6420" width="2.5" style="30" customWidth="1"/>
    <col min="6421" max="6422" width="2.125" style="30" customWidth="1"/>
    <col min="6423" max="6425" width="2.5" style="30" customWidth="1"/>
    <col min="6426" max="6426" width="1.875" style="30" customWidth="1"/>
    <col min="6427" max="6429" width="2.5" style="30" customWidth="1"/>
    <col min="6430" max="6430" width="1.875" style="30" customWidth="1"/>
    <col min="6431" max="6433" width="2.5" style="30" customWidth="1"/>
    <col min="6434" max="6434" width="1.375" style="30" customWidth="1"/>
    <col min="6435" max="6435" width="2.5" style="30" customWidth="1"/>
    <col min="6436" max="6436" width="2.125" style="30" customWidth="1"/>
    <col min="6437" max="6437" width="1.625" style="30" customWidth="1"/>
    <col min="6438" max="6438" width="2.5" style="30" customWidth="1"/>
    <col min="6439" max="6656" width="2.625" style="30"/>
    <col min="6657" max="6670" width="2.625" style="30" customWidth="1"/>
    <col min="6671" max="6672" width="2.5" style="30" customWidth="1"/>
    <col min="6673" max="6673" width="2.625" style="30" customWidth="1"/>
    <col min="6674" max="6674" width="6" style="30" customWidth="1"/>
    <col min="6675" max="6676" width="2.5" style="30" customWidth="1"/>
    <col min="6677" max="6678" width="2.125" style="30" customWidth="1"/>
    <col min="6679" max="6681" width="2.5" style="30" customWidth="1"/>
    <col min="6682" max="6682" width="1.875" style="30" customWidth="1"/>
    <col min="6683" max="6685" width="2.5" style="30" customWidth="1"/>
    <col min="6686" max="6686" width="1.875" style="30" customWidth="1"/>
    <col min="6687" max="6689" width="2.5" style="30" customWidth="1"/>
    <col min="6690" max="6690" width="1.375" style="30" customWidth="1"/>
    <col min="6691" max="6691" width="2.5" style="30" customWidth="1"/>
    <col min="6692" max="6692" width="2.125" style="30" customWidth="1"/>
    <col min="6693" max="6693" width="1.625" style="30" customWidth="1"/>
    <col min="6694" max="6694" width="2.5" style="30" customWidth="1"/>
    <col min="6695" max="6912" width="2.625" style="30"/>
    <col min="6913" max="6926" width="2.625" style="30" customWidth="1"/>
    <col min="6927" max="6928" width="2.5" style="30" customWidth="1"/>
    <col min="6929" max="6929" width="2.625" style="30" customWidth="1"/>
    <col min="6930" max="6930" width="6" style="30" customWidth="1"/>
    <col min="6931" max="6932" width="2.5" style="30" customWidth="1"/>
    <col min="6933" max="6934" width="2.125" style="30" customWidth="1"/>
    <col min="6935" max="6937" width="2.5" style="30" customWidth="1"/>
    <col min="6938" max="6938" width="1.875" style="30" customWidth="1"/>
    <col min="6939" max="6941" width="2.5" style="30" customWidth="1"/>
    <col min="6942" max="6942" width="1.875" style="30" customWidth="1"/>
    <col min="6943" max="6945" width="2.5" style="30" customWidth="1"/>
    <col min="6946" max="6946" width="1.375" style="30" customWidth="1"/>
    <col min="6947" max="6947" width="2.5" style="30" customWidth="1"/>
    <col min="6948" max="6948" width="2.125" style="30" customWidth="1"/>
    <col min="6949" max="6949" width="1.625" style="30" customWidth="1"/>
    <col min="6950" max="6950" width="2.5" style="30" customWidth="1"/>
    <col min="6951" max="7168" width="2.625" style="30"/>
    <col min="7169" max="7182" width="2.625" style="30" customWidth="1"/>
    <col min="7183" max="7184" width="2.5" style="30" customWidth="1"/>
    <col min="7185" max="7185" width="2.625" style="30" customWidth="1"/>
    <col min="7186" max="7186" width="6" style="30" customWidth="1"/>
    <col min="7187" max="7188" width="2.5" style="30" customWidth="1"/>
    <col min="7189" max="7190" width="2.125" style="30" customWidth="1"/>
    <col min="7191" max="7193" width="2.5" style="30" customWidth="1"/>
    <col min="7194" max="7194" width="1.875" style="30" customWidth="1"/>
    <col min="7195" max="7197" width="2.5" style="30" customWidth="1"/>
    <col min="7198" max="7198" width="1.875" style="30" customWidth="1"/>
    <col min="7199" max="7201" width="2.5" style="30" customWidth="1"/>
    <col min="7202" max="7202" width="1.375" style="30" customWidth="1"/>
    <col min="7203" max="7203" width="2.5" style="30" customWidth="1"/>
    <col min="7204" max="7204" width="2.125" style="30" customWidth="1"/>
    <col min="7205" max="7205" width="1.625" style="30" customWidth="1"/>
    <col min="7206" max="7206" width="2.5" style="30" customWidth="1"/>
    <col min="7207" max="7424" width="2.625" style="30"/>
    <col min="7425" max="7438" width="2.625" style="30" customWidth="1"/>
    <col min="7439" max="7440" width="2.5" style="30" customWidth="1"/>
    <col min="7441" max="7441" width="2.625" style="30" customWidth="1"/>
    <col min="7442" max="7442" width="6" style="30" customWidth="1"/>
    <col min="7443" max="7444" width="2.5" style="30" customWidth="1"/>
    <col min="7445" max="7446" width="2.125" style="30" customWidth="1"/>
    <col min="7447" max="7449" width="2.5" style="30" customWidth="1"/>
    <col min="7450" max="7450" width="1.875" style="30" customWidth="1"/>
    <col min="7451" max="7453" width="2.5" style="30" customWidth="1"/>
    <col min="7454" max="7454" width="1.875" style="30" customWidth="1"/>
    <col min="7455" max="7457" width="2.5" style="30" customWidth="1"/>
    <col min="7458" max="7458" width="1.375" style="30" customWidth="1"/>
    <col min="7459" max="7459" width="2.5" style="30" customWidth="1"/>
    <col min="7460" max="7460" width="2.125" style="30" customWidth="1"/>
    <col min="7461" max="7461" width="1.625" style="30" customWidth="1"/>
    <col min="7462" max="7462" width="2.5" style="30" customWidth="1"/>
    <col min="7463" max="7680" width="2.625" style="30"/>
    <col min="7681" max="7694" width="2.625" style="30" customWidth="1"/>
    <col min="7695" max="7696" width="2.5" style="30" customWidth="1"/>
    <col min="7697" max="7697" width="2.625" style="30" customWidth="1"/>
    <col min="7698" max="7698" width="6" style="30" customWidth="1"/>
    <col min="7699" max="7700" width="2.5" style="30" customWidth="1"/>
    <col min="7701" max="7702" width="2.125" style="30" customWidth="1"/>
    <col min="7703" max="7705" width="2.5" style="30" customWidth="1"/>
    <col min="7706" max="7706" width="1.875" style="30" customWidth="1"/>
    <col min="7707" max="7709" width="2.5" style="30" customWidth="1"/>
    <col min="7710" max="7710" width="1.875" style="30" customWidth="1"/>
    <col min="7711" max="7713" width="2.5" style="30" customWidth="1"/>
    <col min="7714" max="7714" width="1.375" style="30" customWidth="1"/>
    <col min="7715" max="7715" width="2.5" style="30" customWidth="1"/>
    <col min="7716" max="7716" width="2.125" style="30" customWidth="1"/>
    <col min="7717" max="7717" width="1.625" style="30" customWidth="1"/>
    <col min="7718" max="7718" width="2.5" style="30" customWidth="1"/>
    <col min="7719" max="7936" width="2.625" style="30"/>
    <col min="7937" max="7950" width="2.625" style="30" customWidth="1"/>
    <col min="7951" max="7952" width="2.5" style="30" customWidth="1"/>
    <col min="7953" max="7953" width="2.625" style="30" customWidth="1"/>
    <col min="7954" max="7954" width="6" style="30" customWidth="1"/>
    <col min="7955" max="7956" width="2.5" style="30" customWidth="1"/>
    <col min="7957" max="7958" width="2.125" style="30" customWidth="1"/>
    <col min="7959" max="7961" width="2.5" style="30" customWidth="1"/>
    <col min="7962" max="7962" width="1.875" style="30" customWidth="1"/>
    <col min="7963" max="7965" width="2.5" style="30" customWidth="1"/>
    <col min="7966" max="7966" width="1.875" style="30" customWidth="1"/>
    <col min="7967" max="7969" width="2.5" style="30" customWidth="1"/>
    <col min="7970" max="7970" width="1.375" style="30" customWidth="1"/>
    <col min="7971" max="7971" width="2.5" style="30" customWidth="1"/>
    <col min="7972" max="7972" width="2.125" style="30" customWidth="1"/>
    <col min="7973" max="7973" width="1.625" style="30" customWidth="1"/>
    <col min="7974" max="7974" width="2.5" style="30" customWidth="1"/>
    <col min="7975" max="8192" width="2.625" style="30"/>
    <col min="8193" max="8206" width="2.625" style="30" customWidth="1"/>
    <col min="8207" max="8208" width="2.5" style="30" customWidth="1"/>
    <col min="8209" max="8209" width="2.625" style="30" customWidth="1"/>
    <col min="8210" max="8210" width="6" style="30" customWidth="1"/>
    <col min="8211" max="8212" width="2.5" style="30" customWidth="1"/>
    <col min="8213" max="8214" width="2.125" style="30" customWidth="1"/>
    <col min="8215" max="8217" width="2.5" style="30" customWidth="1"/>
    <col min="8218" max="8218" width="1.875" style="30" customWidth="1"/>
    <col min="8219" max="8221" width="2.5" style="30" customWidth="1"/>
    <col min="8222" max="8222" width="1.875" style="30" customWidth="1"/>
    <col min="8223" max="8225" width="2.5" style="30" customWidth="1"/>
    <col min="8226" max="8226" width="1.375" style="30" customWidth="1"/>
    <col min="8227" max="8227" width="2.5" style="30" customWidth="1"/>
    <col min="8228" max="8228" width="2.125" style="30" customWidth="1"/>
    <col min="8229" max="8229" width="1.625" style="30" customWidth="1"/>
    <col min="8230" max="8230" width="2.5" style="30" customWidth="1"/>
    <col min="8231" max="8448" width="2.625" style="30"/>
    <col min="8449" max="8462" width="2.625" style="30" customWidth="1"/>
    <col min="8463" max="8464" width="2.5" style="30" customWidth="1"/>
    <col min="8465" max="8465" width="2.625" style="30" customWidth="1"/>
    <col min="8466" max="8466" width="6" style="30" customWidth="1"/>
    <col min="8467" max="8468" width="2.5" style="30" customWidth="1"/>
    <col min="8469" max="8470" width="2.125" style="30" customWidth="1"/>
    <col min="8471" max="8473" width="2.5" style="30" customWidth="1"/>
    <col min="8474" max="8474" width="1.875" style="30" customWidth="1"/>
    <col min="8475" max="8477" width="2.5" style="30" customWidth="1"/>
    <col min="8478" max="8478" width="1.875" style="30" customWidth="1"/>
    <col min="8479" max="8481" width="2.5" style="30" customWidth="1"/>
    <col min="8482" max="8482" width="1.375" style="30" customWidth="1"/>
    <col min="8483" max="8483" width="2.5" style="30" customWidth="1"/>
    <col min="8484" max="8484" width="2.125" style="30" customWidth="1"/>
    <col min="8485" max="8485" width="1.625" style="30" customWidth="1"/>
    <col min="8486" max="8486" width="2.5" style="30" customWidth="1"/>
    <col min="8487" max="8704" width="2.625" style="30"/>
    <col min="8705" max="8718" width="2.625" style="30" customWidth="1"/>
    <col min="8719" max="8720" width="2.5" style="30" customWidth="1"/>
    <col min="8721" max="8721" width="2.625" style="30" customWidth="1"/>
    <col min="8722" max="8722" width="6" style="30" customWidth="1"/>
    <col min="8723" max="8724" width="2.5" style="30" customWidth="1"/>
    <col min="8725" max="8726" width="2.125" style="30" customWidth="1"/>
    <col min="8727" max="8729" width="2.5" style="30" customWidth="1"/>
    <col min="8730" max="8730" width="1.875" style="30" customWidth="1"/>
    <col min="8731" max="8733" width="2.5" style="30" customWidth="1"/>
    <col min="8734" max="8734" width="1.875" style="30" customWidth="1"/>
    <col min="8735" max="8737" width="2.5" style="30" customWidth="1"/>
    <col min="8738" max="8738" width="1.375" style="30" customWidth="1"/>
    <col min="8739" max="8739" width="2.5" style="30" customWidth="1"/>
    <col min="8740" max="8740" width="2.125" style="30" customWidth="1"/>
    <col min="8741" max="8741" width="1.625" style="30" customWidth="1"/>
    <col min="8742" max="8742" width="2.5" style="30" customWidth="1"/>
    <col min="8743" max="8960" width="2.625" style="30"/>
    <col min="8961" max="8974" width="2.625" style="30" customWidth="1"/>
    <col min="8975" max="8976" width="2.5" style="30" customWidth="1"/>
    <col min="8977" max="8977" width="2.625" style="30" customWidth="1"/>
    <col min="8978" max="8978" width="6" style="30" customWidth="1"/>
    <col min="8979" max="8980" width="2.5" style="30" customWidth="1"/>
    <col min="8981" max="8982" width="2.125" style="30" customWidth="1"/>
    <col min="8983" max="8985" width="2.5" style="30" customWidth="1"/>
    <col min="8986" max="8986" width="1.875" style="30" customWidth="1"/>
    <col min="8987" max="8989" width="2.5" style="30" customWidth="1"/>
    <col min="8990" max="8990" width="1.875" style="30" customWidth="1"/>
    <col min="8991" max="8993" width="2.5" style="30" customWidth="1"/>
    <col min="8994" max="8994" width="1.375" style="30" customWidth="1"/>
    <col min="8995" max="8995" width="2.5" style="30" customWidth="1"/>
    <col min="8996" max="8996" width="2.125" style="30" customWidth="1"/>
    <col min="8997" max="8997" width="1.625" style="30" customWidth="1"/>
    <col min="8998" max="8998" width="2.5" style="30" customWidth="1"/>
    <col min="8999" max="9216" width="2.625" style="30"/>
    <col min="9217" max="9230" width="2.625" style="30" customWidth="1"/>
    <col min="9231" max="9232" width="2.5" style="30" customWidth="1"/>
    <col min="9233" max="9233" width="2.625" style="30" customWidth="1"/>
    <col min="9234" max="9234" width="6" style="30" customWidth="1"/>
    <col min="9235" max="9236" width="2.5" style="30" customWidth="1"/>
    <col min="9237" max="9238" width="2.125" style="30" customWidth="1"/>
    <col min="9239" max="9241" width="2.5" style="30" customWidth="1"/>
    <col min="9242" max="9242" width="1.875" style="30" customWidth="1"/>
    <col min="9243" max="9245" width="2.5" style="30" customWidth="1"/>
    <col min="9246" max="9246" width="1.875" style="30" customWidth="1"/>
    <col min="9247" max="9249" width="2.5" style="30" customWidth="1"/>
    <col min="9250" max="9250" width="1.375" style="30" customWidth="1"/>
    <col min="9251" max="9251" width="2.5" style="30" customWidth="1"/>
    <col min="9252" max="9252" width="2.125" style="30" customWidth="1"/>
    <col min="9253" max="9253" width="1.625" style="30" customWidth="1"/>
    <col min="9254" max="9254" width="2.5" style="30" customWidth="1"/>
    <col min="9255" max="9472" width="2.625" style="30"/>
    <col min="9473" max="9486" width="2.625" style="30" customWidth="1"/>
    <col min="9487" max="9488" width="2.5" style="30" customWidth="1"/>
    <col min="9489" max="9489" width="2.625" style="30" customWidth="1"/>
    <col min="9490" max="9490" width="6" style="30" customWidth="1"/>
    <col min="9491" max="9492" width="2.5" style="30" customWidth="1"/>
    <col min="9493" max="9494" width="2.125" style="30" customWidth="1"/>
    <col min="9495" max="9497" width="2.5" style="30" customWidth="1"/>
    <col min="9498" max="9498" width="1.875" style="30" customWidth="1"/>
    <col min="9499" max="9501" width="2.5" style="30" customWidth="1"/>
    <col min="9502" max="9502" width="1.875" style="30" customWidth="1"/>
    <col min="9503" max="9505" width="2.5" style="30" customWidth="1"/>
    <col min="9506" max="9506" width="1.375" style="30" customWidth="1"/>
    <col min="9507" max="9507" width="2.5" style="30" customWidth="1"/>
    <col min="9508" max="9508" width="2.125" style="30" customWidth="1"/>
    <col min="9509" max="9509" width="1.625" style="30" customWidth="1"/>
    <col min="9510" max="9510" width="2.5" style="30" customWidth="1"/>
    <col min="9511" max="9728" width="2.625" style="30"/>
    <col min="9729" max="9742" width="2.625" style="30" customWidth="1"/>
    <col min="9743" max="9744" width="2.5" style="30" customWidth="1"/>
    <col min="9745" max="9745" width="2.625" style="30" customWidth="1"/>
    <col min="9746" max="9746" width="6" style="30" customWidth="1"/>
    <col min="9747" max="9748" width="2.5" style="30" customWidth="1"/>
    <col min="9749" max="9750" width="2.125" style="30" customWidth="1"/>
    <col min="9751" max="9753" width="2.5" style="30" customWidth="1"/>
    <col min="9754" max="9754" width="1.875" style="30" customWidth="1"/>
    <col min="9755" max="9757" width="2.5" style="30" customWidth="1"/>
    <col min="9758" max="9758" width="1.875" style="30" customWidth="1"/>
    <col min="9759" max="9761" width="2.5" style="30" customWidth="1"/>
    <col min="9762" max="9762" width="1.375" style="30" customWidth="1"/>
    <col min="9763" max="9763" width="2.5" style="30" customWidth="1"/>
    <col min="9764" max="9764" width="2.125" style="30" customWidth="1"/>
    <col min="9765" max="9765" width="1.625" style="30" customWidth="1"/>
    <col min="9766" max="9766" width="2.5" style="30" customWidth="1"/>
    <col min="9767" max="9984" width="2.625" style="30"/>
    <col min="9985" max="9998" width="2.625" style="30" customWidth="1"/>
    <col min="9999" max="10000" width="2.5" style="30" customWidth="1"/>
    <col min="10001" max="10001" width="2.625" style="30" customWidth="1"/>
    <col min="10002" max="10002" width="6" style="30" customWidth="1"/>
    <col min="10003" max="10004" width="2.5" style="30" customWidth="1"/>
    <col min="10005" max="10006" width="2.125" style="30" customWidth="1"/>
    <col min="10007" max="10009" width="2.5" style="30" customWidth="1"/>
    <col min="10010" max="10010" width="1.875" style="30" customWidth="1"/>
    <col min="10011" max="10013" width="2.5" style="30" customWidth="1"/>
    <col min="10014" max="10014" width="1.875" style="30" customWidth="1"/>
    <col min="10015" max="10017" width="2.5" style="30" customWidth="1"/>
    <col min="10018" max="10018" width="1.375" style="30" customWidth="1"/>
    <col min="10019" max="10019" width="2.5" style="30" customWidth="1"/>
    <col min="10020" max="10020" width="2.125" style="30" customWidth="1"/>
    <col min="10021" max="10021" width="1.625" style="30" customWidth="1"/>
    <col min="10022" max="10022" width="2.5" style="30" customWidth="1"/>
    <col min="10023" max="10240" width="2.625" style="30"/>
    <col min="10241" max="10254" width="2.625" style="30" customWidth="1"/>
    <col min="10255" max="10256" width="2.5" style="30" customWidth="1"/>
    <col min="10257" max="10257" width="2.625" style="30" customWidth="1"/>
    <col min="10258" max="10258" width="6" style="30" customWidth="1"/>
    <col min="10259" max="10260" width="2.5" style="30" customWidth="1"/>
    <col min="10261" max="10262" width="2.125" style="30" customWidth="1"/>
    <col min="10263" max="10265" width="2.5" style="30" customWidth="1"/>
    <col min="10266" max="10266" width="1.875" style="30" customWidth="1"/>
    <col min="10267" max="10269" width="2.5" style="30" customWidth="1"/>
    <col min="10270" max="10270" width="1.875" style="30" customWidth="1"/>
    <col min="10271" max="10273" width="2.5" style="30" customWidth="1"/>
    <col min="10274" max="10274" width="1.375" style="30" customWidth="1"/>
    <col min="10275" max="10275" width="2.5" style="30" customWidth="1"/>
    <col min="10276" max="10276" width="2.125" style="30" customWidth="1"/>
    <col min="10277" max="10277" width="1.625" style="30" customWidth="1"/>
    <col min="10278" max="10278" width="2.5" style="30" customWidth="1"/>
    <col min="10279" max="10496" width="2.625" style="30"/>
    <col min="10497" max="10510" width="2.625" style="30" customWidth="1"/>
    <col min="10511" max="10512" width="2.5" style="30" customWidth="1"/>
    <col min="10513" max="10513" width="2.625" style="30" customWidth="1"/>
    <col min="10514" max="10514" width="6" style="30" customWidth="1"/>
    <col min="10515" max="10516" width="2.5" style="30" customWidth="1"/>
    <col min="10517" max="10518" width="2.125" style="30" customWidth="1"/>
    <col min="10519" max="10521" width="2.5" style="30" customWidth="1"/>
    <col min="10522" max="10522" width="1.875" style="30" customWidth="1"/>
    <col min="10523" max="10525" width="2.5" style="30" customWidth="1"/>
    <col min="10526" max="10526" width="1.875" style="30" customWidth="1"/>
    <col min="10527" max="10529" width="2.5" style="30" customWidth="1"/>
    <col min="10530" max="10530" width="1.375" style="30" customWidth="1"/>
    <col min="10531" max="10531" width="2.5" style="30" customWidth="1"/>
    <col min="10532" max="10532" width="2.125" style="30" customWidth="1"/>
    <col min="10533" max="10533" width="1.625" style="30" customWidth="1"/>
    <col min="10534" max="10534" width="2.5" style="30" customWidth="1"/>
    <col min="10535" max="10752" width="2.625" style="30"/>
    <col min="10753" max="10766" width="2.625" style="30" customWidth="1"/>
    <col min="10767" max="10768" width="2.5" style="30" customWidth="1"/>
    <col min="10769" max="10769" width="2.625" style="30" customWidth="1"/>
    <col min="10770" max="10770" width="6" style="30" customWidth="1"/>
    <col min="10771" max="10772" width="2.5" style="30" customWidth="1"/>
    <col min="10773" max="10774" width="2.125" style="30" customWidth="1"/>
    <col min="10775" max="10777" width="2.5" style="30" customWidth="1"/>
    <col min="10778" max="10778" width="1.875" style="30" customWidth="1"/>
    <col min="10779" max="10781" width="2.5" style="30" customWidth="1"/>
    <col min="10782" max="10782" width="1.875" style="30" customWidth="1"/>
    <col min="10783" max="10785" width="2.5" style="30" customWidth="1"/>
    <col min="10786" max="10786" width="1.375" style="30" customWidth="1"/>
    <col min="10787" max="10787" width="2.5" style="30" customWidth="1"/>
    <col min="10788" max="10788" width="2.125" style="30" customWidth="1"/>
    <col min="10789" max="10789" width="1.625" style="30" customWidth="1"/>
    <col min="10790" max="10790" width="2.5" style="30" customWidth="1"/>
    <col min="10791" max="11008" width="2.625" style="30"/>
    <col min="11009" max="11022" width="2.625" style="30" customWidth="1"/>
    <col min="11023" max="11024" width="2.5" style="30" customWidth="1"/>
    <col min="11025" max="11025" width="2.625" style="30" customWidth="1"/>
    <col min="11026" max="11026" width="6" style="30" customWidth="1"/>
    <col min="11027" max="11028" width="2.5" style="30" customWidth="1"/>
    <col min="11029" max="11030" width="2.125" style="30" customWidth="1"/>
    <col min="11031" max="11033" width="2.5" style="30" customWidth="1"/>
    <col min="11034" max="11034" width="1.875" style="30" customWidth="1"/>
    <col min="11035" max="11037" width="2.5" style="30" customWidth="1"/>
    <col min="11038" max="11038" width="1.875" style="30" customWidth="1"/>
    <col min="11039" max="11041" width="2.5" style="30" customWidth="1"/>
    <col min="11042" max="11042" width="1.375" style="30" customWidth="1"/>
    <col min="11043" max="11043" width="2.5" style="30" customWidth="1"/>
    <col min="11044" max="11044" width="2.125" style="30" customWidth="1"/>
    <col min="11045" max="11045" width="1.625" style="30" customWidth="1"/>
    <col min="11046" max="11046" width="2.5" style="30" customWidth="1"/>
    <col min="11047" max="11264" width="2.625" style="30"/>
    <col min="11265" max="11278" width="2.625" style="30" customWidth="1"/>
    <col min="11279" max="11280" width="2.5" style="30" customWidth="1"/>
    <col min="11281" max="11281" width="2.625" style="30" customWidth="1"/>
    <col min="11282" max="11282" width="6" style="30" customWidth="1"/>
    <col min="11283" max="11284" width="2.5" style="30" customWidth="1"/>
    <col min="11285" max="11286" width="2.125" style="30" customWidth="1"/>
    <col min="11287" max="11289" width="2.5" style="30" customWidth="1"/>
    <col min="11290" max="11290" width="1.875" style="30" customWidth="1"/>
    <col min="11291" max="11293" width="2.5" style="30" customWidth="1"/>
    <col min="11294" max="11294" width="1.875" style="30" customWidth="1"/>
    <col min="11295" max="11297" width="2.5" style="30" customWidth="1"/>
    <col min="11298" max="11298" width="1.375" style="30" customWidth="1"/>
    <col min="11299" max="11299" width="2.5" style="30" customWidth="1"/>
    <col min="11300" max="11300" width="2.125" style="30" customWidth="1"/>
    <col min="11301" max="11301" width="1.625" style="30" customWidth="1"/>
    <col min="11302" max="11302" width="2.5" style="30" customWidth="1"/>
    <col min="11303" max="11520" width="2.625" style="30"/>
    <col min="11521" max="11534" width="2.625" style="30" customWidth="1"/>
    <col min="11535" max="11536" width="2.5" style="30" customWidth="1"/>
    <col min="11537" max="11537" width="2.625" style="30" customWidth="1"/>
    <col min="11538" max="11538" width="6" style="30" customWidth="1"/>
    <col min="11539" max="11540" width="2.5" style="30" customWidth="1"/>
    <col min="11541" max="11542" width="2.125" style="30" customWidth="1"/>
    <col min="11543" max="11545" width="2.5" style="30" customWidth="1"/>
    <col min="11546" max="11546" width="1.875" style="30" customWidth="1"/>
    <col min="11547" max="11549" width="2.5" style="30" customWidth="1"/>
    <col min="11550" max="11550" width="1.875" style="30" customWidth="1"/>
    <col min="11551" max="11553" width="2.5" style="30" customWidth="1"/>
    <col min="11554" max="11554" width="1.375" style="30" customWidth="1"/>
    <col min="11555" max="11555" width="2.5" style="30" customWidth="1"/>
    <col min="11556" max="11556" width="2.125" style="30" customWidth="1"/>
    <col min="11557" max="11557" width="1.625" style="30" customWidth="1"/>
    <col min="11558" max="11558" width="2.5" style="30" customWidth="1"/>
    <col min="11559" max="11776" width="2.625" style="30"/>
    <col min="11777" max="11790" width="2.625" style="30" customWidth="1"/>
    <col min="11791" max="11792" width="2.5" style="30" customWidth="1"/>
    <col min="11793" max="11793" width="2.625" style="30" customWidth="1"/>
    <col min="11794" max="11794" width="6" style="30" customWidth="1"/>
    <col min="11795" max="11796" width="2.5" style="30" customWidth="1"/>
    <col min="11797" max="11798" width="2.125" style="30" customWidth="1"/>
    <col min="11799" max="11801" width="2.5" style="30" customWidth="1"/>
    <col min="11802" max="11802" width="1.875" style="30" customWidth="1"/>
    <col min="11803" max="11805" width="2.5" style="30" customWidth="1"/>
    <col min="11806" max="11806" width="1.875" style="30" customWidth="1"/>
    <col min="11807" max="11809" width="2.5" style="30" customWidth="1"/>
    <col min="11810" max="11810" width="1.375" style="30" customWidth="1"/>
    <col min="11811" max="11811" width="2.5" style="30" customWidth="1"/>
    <col min="11812" max="11812" width="2.125" style="30" customWidth="1"/>
    <col min="11813" max="11813" width="1.625" style="30" customWidth="1"/>
    <col min="11814" max="11814" width="2.5" style="30" customWidth="1"/>
    <col min="11815" max="12032" width="2.625" style="30"/>
    <col min="12033" max="12046" width="2.625" style="30" customWidth="1"/>
    <col min="12047" max="12048" width="2.5" style="30" customWidth="1"/>
    <col min="12049" max="12049" width="2.625" style="30" customWidth="1"/>
    <col min="12050" max="12050" width="6" style="30" customWidth="1"/>
    <col min="12051" max="12052" width="2.5" style="30" customWidth="1"/>
    <col min="12053" max="12054" width="2.125" style="30" customWidth="1"/>
    <col min="12055" max="12057" width="2.5" style="30" customWidth="1"/>
    <col min="12058" max="12058" width="1.875" style="30" customWidth="1"/>
    <col min="12059" max="12061" width="2.5" style="30" customWidth="1"/>
    <col min="12062" max="12062" width="1.875" style="30" customWidth="1"/>
    <col min="12063" max="12065" width="2.5" style="30" customWidth="1"/>
    <col min="12066" max="12066" width="1.375" style="30" customWidth="1"/>
    <col min="12067" max="12067" width="2.5" style="30" customWidth="1"/>
    <col min="12068" max="12068" width="2.125" style="30" customWidth="1"/>
    <col min="12069" max="12069" width="1.625" style="30" customWidth="1"/>
    <col min="12070" max="12070" width="2.5" style="30" customWidth="1"/>
    <col min="12071" max="12288" width="2.625" style="30"/>
    <col min="12289" max="12302" width="2.625" style="30" customWidth="1"/>
    <col min="12303" max="12304" width="2.5" style="30" customWidth="1"/>
    <col min="12305" max="12305" width="2.625" style="30" customWidth="1"/>
    <col min="12306" max="12306" width="6" style="30" customWidth="1"/>
    <col min="12307" max="12308" width="2.5" style="30" customWidth="1"/>
    <col min="12309" max="12310" width="2.125" style="30" customWidth="1"/>
    <col min="12311" max="12313" width="2.5" style="30" customWidth="1"/>
    <col min="12314" max="12314" width="1.875" style="30" customWidth="1"/>
    <col min="12315" max="12317" width="2.5" style="30" customWidth="1"/>
    <col min="12318" max="12318" width="1.875" style="30" customWidth="1"/>
    <col min="12319" max="12321" width="2.5" style="30" customWidth="1"/>
    <col min="12322" max="12322" width="1.375" style="30" customWidth="1"/>
    <col min="12323" max="12323" width="2.5" style="30" customWidth="1"/>
    <col min="12324" max="12324" width="2.125" style="30" customWidth="1"/>
    <col min="12325" max="12325" width="1.625" style="30" customWidth="1"/>
    <col min="12326" max="12326" width="2.5" style="30" customWidth="1"/>
    <col min="12327" max="12544" width="2.625" style="30"/>
    <col min="12545" max="12558" width="2.625" style="30" customWidth="1"/>
    <col min="12559" max="12560" width="2.5" style="30" customWidth="1"/>
    <col min="12561" max="12561" width="2.625" style="30" customWidth="1"/>
    <col min="12562" max="12562" width="6" style="30" customWidth="1"/>
    <col min="12563" max="12564" width="2.5" style="30" customWidth="1"/>
    <col min="12565" max="12566" width="2.125" style="30" customWidth="1"/>
    <col min="12567" max="12569" width="2.5" style="30" customWidth="1"/>
    <col min="12570" max="12570" width="1.875" style="30" customWidth="1"/>
    <col min="12571" max="12573" width="2.5" style="30" customWidth="1"/>
    <col min="12574" max="12574" width="1.875" style="30" customWidth="1"/>
    <col min="12575" max="12577" width="2.5" style="30" customWidth="1"/>
    <col min="12578" max="12578" width="1.375" style="30" customWidth="1"/>
    <col min="12579" max="12579" width="2.5" style="30" customWidth="1"/>
    <col min="12580" max="12580" width="2.125" style="30" customWidth="1"/>
    <col min="12581" max="12581" width="1.625" style="30" customWidth="1"/>
    <col min="12582" max="12582" width="2.5" style="30" customWidth="1"/>
    <col min="12583" max="12800" width="2.625" style="30"/>
    <col min="12801" max="12814" width="2.625" style="30" customWidth="1"/>
    <col min="12815" max="12816" width="2.5" style="30" customWidth="1"/>
    <col min="12817" max="12817" width="2.625" style="30" customWidth="1"/>
    <col min="12818" max="12818" width="6" style="30" customWidth="1"/>
    <col min="12819" max="12820" width="2.5" style="30" customWidth="1"/>
    <col min="12821" max="12822" width="2.125" style="30" customWidth="1"/>
    <col min="12823" max="12825" width="2.5" style="30" customWidth="1"/>
    <col min="12826" max="12826" width="1.875" style="30" customWidth="1"/>
    <col min="12827" max="12829" width="2.5" style="30" customWidth="1"/>
    <col min="12830" max="12830" width="1.875" style="30" customWidth="1"/>
    <col min="12831" max="12833" width="2.5" style="30" customWidth="1"/>
    <col min="12834" max="12834" width="1.375" style="30" customWidth="1"/>
    <col min="12835" max="12835" width="2.5" style="30" customWidth="1"/>
    <col min="12836" max="12836" width="2.125" style="30" customWidth="1"/>
    <col min="12837" max="12837" width="1.625" style="30" customWidth="1"/>
    <col min="12838" max="12838" width="2.5" style="30" customWidth="1"/>
    <col min="12839" max="13056" width="2.625" style="30"/>
    <col min="13057" max="13070" width="2.625" style="30" customWidth="1"/>
    <col min="13071" max="13072" width="2.5" style="30" customWidth="1"/>
    <col min="13073" max="13073" width="2.625" style="30" customWidth="1"/>
    <col min="13074" max="13074" width="6" style="30" customWidth="1"/>
    <col min="13075" max="13076" width="2.5" style="30" customWidth="1"/>
    <col min="13077" max="13078" width="2.125" style="30" customWidth="1"/>
    <col min="13079" max="13081" width="2.5" style="30" customWidth="1"/>
    <col min="13082" max="13082" width="1.875" style="30" customWidth="1"/>
    <col min="13083" max="13085" width="2.5" style="30" customWidth="1"/>
    <col min="13086" max="13086" width="1.875" style="30" customWidth="1"/>
    <col min="13087" max="13089" width="2.5" style="30" customWidth="1"/>
    <col min="13090" max="13090" width="1.375" style="30" customWidth="1"/>
    <col min="13091" max="13091" width="2.5" style="30" customWidth="1"/>
    <col min="13092" max="13092" width="2.125" style="30" customWidth="1"/>
    <col min="13093" max="13093" width="1.625" style="30" customWidth="1"/>
    <col min="13094" max="13094" width="2.5" style="30" customWidth="1"/>
    <col min="13095" max="13312" width="2.625" style="30"/>
    <col min="13313" max="13326" width="2.625" style="30" customWidth="1"/>
    <col min="13327" max="13328" width="2.5" style="30" customWidth="1"/>
    <col min="13329" max="13329" width="2.625" style="30" customWidth="1"/>
    <col min="13330" max="13330" width="6" style="30" customWidth="1"/>
    <col min="13331" max="13332" width="2.5" style="30" customWidth="1"/>
    <col min="13333" max="13334" width="2.125" style="30" customWidth="1"/>
    <col min="13335" max="13337" width="2.5" style="30" customWidth="1"/>
    <col min="13338" max="13338" width="1.875" style="30" customWidth="1"/>
    <col min="13339" max="13341" width="2.5" style="30" customWidth="1"/>
    <col min="13342" max="13342" width="1.875" style="30" customWidth="1"/>
    <col min="13343" max="13345" width="2.5" style="30" customWidth="1"/>
    <col min="13346" max="13346" width="1.375" style="30" customWidth="1"/>
    <col min="13347" max="13347" width="2.5" style="30" customWidth="1"/>
    <col min="13348" max="13348" width="2.125" style="30" customWidth="1"/>
    <col min="13349" max="13349" width="1.625" style="30" customWidth="1"/>
    <col min="13350" max="13350" width="2.5" style="30" customWidth="1"/>
    <col min="13351" max="13568" width="2.625" style="30"/>
    <col min="13569" max="13582" width="2.625" style="30" customWidth="1"/>
    <col min="13583" max="13584" width="2.5" style="30" customWidth="1"/>
    <col min="13585" max="13585" width="2.625" style="30" customWidth="1"/>
    <col min="13586" max="13586" width="6" style="30" customWidth="1"/>
    <col min="13587" max="13588" width="2.5" style="30" customWidth="1"/>
    <col min="13589" max="13590" width="2.125" style="30" customWidth="1"/>
    <col min="13591" max="13593" width="2.5" style="30" customWidth="1"/>
    <col min="13594" max="13594" width="1.875" style="30" customWidth="1"/>
    <col min="13595" max="13597" width="2.5" style="30" customWidth="1"/>
    <col min="13598" max="13598" width="1.875" style="30" customWidth="1"/>
    <col min="13599" max="13601" width="2.5" style="30" customWidth="1"/>
    <col min="13602" max="13602" width="1.375" style="30" customWidth="1"/>
    <col min="13603" max="13603" width="2.5" style="30" customWidth="1"/>
    <col min="13604" max="13604" width="2.125" style="30" customWidth="1"/>
    <col min="13605" max="13605" width="1.625" style="30" customWidth="1"/>
    <col min="13606" max="13606" width="2.5" style="30" customWidth="1"/>
    <col min="13607" max="13824" width="2.625" style="30"/>
    <col min="13825" max="13838" width="2.625" style="30" customWidth="1"/>
    <col min="13839" max="13840" width="2.5" style="30" customWidth="1"/>
    <col min="13841" max="13841" width="2.625" style="30" customWidth="1"/>
    <col min="13842" max="13842" width="6" style="30" customWidth="1"/>
    <col min="13843" max="13844" width="2.5" style="30" customWidth="1"/>
    <col min="13845" max="13846" width="2.125" style="30" customWidth="1"/>
    <col min="13847" max="13849" width="2.5" style="30" customWidth="1"/>
    <col min="13850" max="13850" width="1.875" style="30" customWidth="1"/>
    <col min="13851" max="13853" width="2.5" style="30" customWidth="1"/>
    <col min="13854" max="13854" width="1.875" style="30" customWidth="1"/>
    <col min="13855" max="13857" width="2.5" style="30" customWidth="1"/>
    <col min="13858" max="13858" width="1.375" style="30" customWidth="1"/>
    <col min="13859" max="13859" width="2.5" style="30" customWidth="1"/>
    <col min="13860" max="13860" width="2.125" style="30" customWidth="1"/>
    <col min="13861" max="13861" width="1.625" style="30" customWidth="1"/>
    <col min="13862" max="13862" width="2.5" style="30" customWidth="1"/>
    <col min="13863" max="14080" width="2.625" style="30"/>
    <col min="14081" max="14094" width="2.625" style="30" customWidth="1"/>
    <col min="14095" max="14096" width="2.5" style="30" customWidth="1"/>
    <col min="14097" max="14097" width="2.625" style="30" customWidth="1"/>
    <col min="14098" max="14098" width="6" style="30" customWidth="1"/>
    <col min="14099" max="14100" width="2.5" style="30" customWidth="1"/>
    <col min="14101" max="14102" width="2.125" style="30" customWidth="1"/>
    <col min="14103" max="14105" width="2.5" style="30" customWidth="1"/>
    <col min="14106" max="14106" width="1.875" style="30" customWidth="1"/>
    <col min="14107" max="14109" width="2.5" style="30" customWidth="1"/>
    <col min="14110" max="14110" width="1.875" style="30" customWidth="1"/>
    <col min="14111" max="14113" width="2.5" style="30" customWidth="1"/>
    <col min="14114" max="14114" width="1.375" style="30" customWidth="1"/>
    <col min="14115" max="14115" width="2.5" style="30" customWidth="1"/>
    <col min="14116" max="14116" width="2.125" style="30" customWidth="1"/>
    <col min="14117" max="14117" width="1.625" style="30" customWidth="1"/>
    <col min="14118" max="14118" width="2.5" style="30" customWidth="1"/>
    <col min="14119" max="14336" width="2.625" style="30"/>
    <col min="14337" max="14350" width="2.625" style="30" customWidth="1"/>
    <col min="14351" max="14352" width="2.5" style="30" customWidth="1"/>
    <col min="14353" max="14353" width="2.625" style="30" customWidth="1"/>
    <col min="14354" max="14354" width="6" style="30" customWidth="1"/>
    <col min="14355" max="14356" width="2.5" style="30" customWidth="1"/>
    <col min="14357" max="14358" width="2.125" style="30" customWidth="1"/>
    <col min="14359" max="14361" width="2.5" style="30" customWidth="1"/>
    <col min="14362" max="14362" width="1.875" style="30" customWidth="1"/>
    <col min="14363" max="14365" width="2.5" style="30" customWidth="1"/>
    <col min="14366" max="14366" width="1.875" style="30" customWidth="1"/>
    <col min="14367" max="14369" width="2.5" style="30" customWidth="1"/>
    <col min="14370" max="14370" width="1.375" style="30" customWidth="1"/>
    <col min="14371" max="14371" width="2.5" style="30" customWidth="1"/>
    <col min="14372" max="14372" width="2.125" style="30" customWidth="1"/>
    <col min="14373" max="14373" width="1.625" style="30" customWidth="1"/>
    <col min="14374" max="14374" width="2.5" style="30" customWidth="1"/>
    <col min="14375" max="14592" width="2.625" style="30"/>
    <col min="14593" max="14606" width="2.625" style="30" customWidth="1"/>
    <col min="14607" max="14608" width="2.5" style="30" customWidth="1"/>
    <col min="14609" max="14609" width="2.625" style="30" customWidth="1"/>
    <col min="14610" max="14610" width="6" style="30" customWidth="1"/>
    <col min="14611" max="14612" width="2.5" style="30" customWidth="1"/>
    <col min="14613" max="14614" width="2.125" style="30" customWidth="1"/>
    <col min="14615" max="14617" width="2.5" style="30" customWidth="1"/>
    <col min="14618" max="14618" width="1.875" style="30" customWidth="1"/>
    <col min="14619" max="14621" width="2.5" style="30" customWidth="1"/>
    <col min="14622" max="14622" width="1.875" style="30" customWidth="1"/>
    <col min="14623" max="14625" width="2.5" style="30" customWidth="1"/>
    <col min="14626" max="14626" width="1.375" style="30" customWidth="1"/>
    <col min="14627" max="14627" width="2.5" style="30" customWidth="1"/>
    <col min="14628" max="14628" width="2.125" style="30" customWidth="1"/>
    <col min="14629" max="14629" width="1.625" style="30" customWidth="1"/>
    <col min="14630" max="14630" width="2.5" style="30" customWidth="1"/>
    <col min="14631" max="14848" width="2.625" style="30"/>
    <col min="14849" max="14862" width="2.625" style="30" customWidth="1"/>
    <col min="14863" max="14864" width="2.5" style="30" customWidth="1"/>
    <col min="14865" max="14865" width="2.625" style="30" customWidth="1"/>
    <col min="14866" max="14866" width="6" style="30" customWidth="1"/>
    <col min="14867" max="14868" width="2.5" style="30" customWidth="1"/>
    <col min="14869" max="14870" width="2.125" style="30" customWidth="1"/>
    <col min="14871" max="14873" width="2.5" style="30" customWidth="1"/>
    <col min="14874" max="14874" width="1.875" style="30" customWidth="1"/>
    <col min="14875" max="14877" width="2.5" style="30" customWidth="1"/>
    <col min="14878" max="14878" width="1.875" style="30" customWidth="1"/>
    <col min="14879" max="14881" width="2.5" style="30" customWidth="1"/>
    <col min="14882" max="14882" width="1.375" style="30" customWidth="1"/>
    <col min="14883" max="14883" width="2.5" style="30" customWidth="1"/>
    <col min="14884" max="14884" width="2.125" style="30" customWidth="1"/>
    <col min="14885" max="14885" width="1.625" style="30" customWidth="1"/>
    <col min="14886" max="14886" width="2.5" style="30" customWidth="1"/>
    <col min="14887" max="15104" width="2.625" style="30"/>
    <col min="15105" max="15118" width="2.625" style="30" customWidth="1"/>
    <col min="15119" max="15120" width="2.5" style="30" customWidth="1"/>
    <col min="15121" max="15121" width="2.625" style="30" customWidth="1"/>
    <col min="15122" max="15122" width="6" style="30" customWidth="1"/>
    <col min="15123" max="15124" width="2.5" style="30" customWidth="1"/>
    <col min="15125" max="15126" width="2.125" style="30" customWidth="1"/>
    <col min="15127" max="15129" width="2.5" style="30" customWidth="1"/>
    <col min="15130" max="15130" width="1.875" style="30" customWidth="1"/>
    <col min="15131" max="15133" width="2.5" style="30" customWidth="1"/>
    <col min="15134" max="15134" width="1.875" style="30" customWidth="1"/>
    <col min="15135" max="15137" width="2.5" style="30" customWidth="1"/>
    <col min="15138" max="15138" width="1.375" style="30" customWidth="1"/>
    <col min="15139" max="15139" width="2.5" style="30" customWidth="1"/>
    <col min="15140" max="15140" width="2.125" style="30" customWidth="1"/>
    <col min="15141" max="15141" width="1.625" style="30" customWidth="1"/>
    <col min="15142" max="15142" width="2.5" style="30" customWidth="1"/>
    <col min="15143" max="15360" width="2.625" style="30"/>
    <col min="15361" max="15374" width="2.625" style="30" customWidth="1"/>
    <col min="15375" max="15376" width="2.5" style="30" customWidth="1"/>
    <col min="15377" max="15377" width="2.625" style="30" customWidth="1"/>
    <col min="15378" max="15378" width="6" style="30" customWidth="1"/>
    <col min="15379" max="15380" width="2.5" style="30" customWidth="1"/>
    <col min="15381" max="15382" width="2.125" style="30" customWidth="1"/>
    <col min="15383" max="15385" width="2.5" style="30" customWidth="1"/>
    <col min="15386" max="15386" width="1.875" style="30" customWidth="1"/>
    <col min="15387" max="15389" width="2.5" style="30" customWidth="1"/>
    <col min="15390" max="15390" width="1.875" style="30" customWidth="1"/>
    <col min="15391" max="15393" width="2.5" style="30" customWidth="1"/>
    <col min="15394" max="15394" width="1.375" style="30" customWidth="1"/>
    <col min="15395" max="15395" width="2.5" style="30" customWidth="1"/>
    <col min="15396" max="15396" width="2.125" style="30" customWidth="1"/>
    <col min="15397" max="15397" width="1.625" style="30" customWidth="1"/>
    <col min="15398" max="15398" width="2.5" style="30" customWidth="1"/>
    <col min="15399" max="15616" width="2.625" style="30"/>
    <col min="15617" max="15630" width="2.625" style="30" customWidth="1"/>
    <col min="15631" max="15632" width="2.5" style="30" customWidth="1"/>
    <col min="15633" max="15633" width="2.625" style="30" customWidth="1"/>
    <col min="15634" max="15634" width="6" style="30" customWidth="1"/>
    <col min="15635" max="15636" width="2.5" style="30" customWidth="1"/>
    <col min="15637" max="15638" width="2.125" style="30" customWidth="1"/>
    <col min="15639" max="15641" width="2.5" style="30" customWidth="1"/>
    <col min="15642" max="15642" width="1.875" style="30" customWidth="1"/>
    <col min="15643" max="15645" width="2.5" style="30" customWidth="1"/>
    <col min="15646" max="15646" width="1.875" style="30" customWidth="1"/>
    <col min="15647" max="15649" width="2.5" style="30" customWidth="1"/>
    <col min="15650" max="15650" width="1.375" style="30" customWidth="1"/>
    <col min="15651" max="15651" width="2.5" style="30" customWidth="1"/>
    <col min="15652" max="15652" width="2.125" style="30" customWidth="1"/>
    <col min="15653" max="15653" width="1.625" style="30" customWidth="1"/>
    <col min="15654" max="15654" width="2.5" style="30" customWidth="1"/>
    <col min="15655" max="15872" width="2.625" style="30"/>
    <col min="15873" max="15886" width="2.625" style="30" customWidth="1"/>
    <col min="15887" max="15888" width="2.5" style="30" customWidth="1"/>
    <col min="15889" max="15889" width="2.625" style="30" customWidth="1"/>
    <col min="15890" max="15890" width="6" style="30" customWidth="1"/>
    <col min="15891" max="15892" width="2.5" style="30" customWidth="1"/>
    <col min="15893" max="15894" width="2.125" style="30" customWidth="1"/>
    <col min="15895" max="15897" width="2.5" style="30" customWidth="1"/>
    <col min="15898" max="15898" width="1.875" style="30" customWidth="1"/>
    <col min="15899" max="15901" width="2.5" style="30" customWidth="1"/>
    <col min="15902" max="15902" width="1.875" style="30" customWidth="1"/>
    <col min="15903" max="15905" width="2.5" style="30" customWidth="1"/>
    <col min="15906" max="15906" width="1.375" style="30" customWidth="1"/>
    <col min="15907" max="15907" width="2.5" style="30" customWidth="1"/>
    <col min="15908" max="15908" width="2.125" style="30" customWidth="1"/>
    <col min="15909" max="15909" width="1.625" style="30" customWidth="1"/>
    <col min="15910" max="15910" width="2.5" style="30" customWidth="1"/>
    <col min="15911" max="16128" width="2.625" style="30"/>
    <col min="16129" max="16142" width="2.625" style="30" customWidth="1"/>
    <col min="16143" max="16144" width="2.5" style="30" customWidth="1"/>
    <col min="16145" max="16145" width="2.625" style="30" customWidth="1"/>
    <col min="16146" max="16146" width="6" style="30" customWidth="1"/>
    <col min="16147" max="16148" width="2.5" style="30" customWidth="1"/>
    <col min="16149" max="16150" width="2.125" style="30" customWidth="1"/>
    <col min="16151" max="16153" width="2.5" style="30" customWidth="1"/>
    <col min="16154" max="16154" width="1.875" style="30" customWidth="1"/>
    <col min="16155" max="16157" width="2.5" style="30" customWidth="1"/>
    <col min="16158" max="16158" width="1.875" style="30" customWidth="1"/>
    <col min="16159" max="16161" width="2.5" style="30" customWidth="1"/>
    <col min="16162" max="16162" width="1.375" style="30" customWidth="1"/>
    <col min="16163" max="16163" width="2.5" style="30" customWidth="1"/>
    <col min="16164" max="16164" width="2.125" style="30" customWidth="1"/>
    <col min="16165" max="16165" width="1.625" style="30" customWidth="1"/>
    <col min="16166" max="16166" width="2.5" style="30" customWidth="1"/>
    <col min="16167" max="16384" width="2.625" style="30"/>
  </cols>
  <sheetData>
    <row r="1" spans="1:43" customFormat="1" ht="15.75">
      <c r="A1" s="276" t="s">
        <v>85</v>
      </c>
      <c r="B1" s="276"/>
      <c r="C1" s="276"/>
      <c r="D1" s="276"/>
      <c r="E1" s="276"/>
      <c r="F1" s="276"/>
      <c r="G1" s="276"/>
      <c r="H1" s="276"/>
      <c r="I1" s="276"/>
      <c r="J1" s="276"/>
      <c r="K1" s="276"/>
      <c r="L1" s="276"/>
      <c r="M1" s="276"/>
      <c r="N1" s="276"/>
      <c r="O1" s="276"/>
      <c r="P1" s="276"/>
      <c r="Q1" s="276"/>
      <c r="R1" s="276"/>
      <c r="S1" s="276"/>
      <c r="T1" s="276"/>
      <c r="U1" s="276"/>
      <c r="V1" s="276"/>
      <c r="W1" s="276"/>
      <c r="X1" s="276"/>
      <c r="Y1" s="276"/>
      <c r="Z1" s="276"/>
      <c r="AA1" s="276"/>
      <c r="AB1" s="276"/>
      <c r="AC1" s="276"/>
      <c r="AD1" s="276"/>
      <c r="AE1" s="276"/>
      <c r="AF1" s="276"/>
      <c r="AG1" s="276"/>
      <c r="AH1" s="276"/>
      <c r="AI1" s="276"/>
      <c r="AJ1" s="276"/>
      <c r="AK1" s="276"/>
      <c r="AL1" s="276"/>
    </row>
    <row r="2" spans="1:43" customFormat="1" ht="15.75">
      <c r="A2" s="276" t="s">
        <v>86</v>
      </c>
      <c r="B2" s="276"/>
      <c r="C2" s="276"/>
      <c r="D2" s="276"/>
      <c r="E2" s="276"/>
      <c r="F2" s="276"/>
      <c r="G2" s="276"/>
      <c r="H2" s="276"/>
      <c r="I2" s="276"/>
      <c r="J2" s="276"/>
      <c r="K2" s="276"/>
      <c r="L2" s="276"/>
      <c r="M2" s="276"/>
      <c r="N2" s="276"/>
      <c r="O2" s="276"/>
      <c r="P2" s="276"/>
      <c r="Q2" s="276"/>
      <c r="R2" s="276"/>
      <c r="S2" s="276"/>
      <c r="T2" s="276"/>
      <c r="U2" s="276"/>
      <c r="V2" s="276"/>
      <c r="W2" s="276"/>
      <c r="X2" s="276"/>
      <c r="Y2" s="276"/>
      <c r="Z2" s="276"/>
      <c r="AA2" s="276"/>
      <c r="AB2" s="276"/>
      <c r="AC2" s="276"/>
      <c r="AD2" s="276"/>
      <c r="AE2" s="276"/>
      <c r="AF2" s="276"/>
      <c r="AG2" s="276"/>
      <c r="AH2" s="276"/>
      <c r="AI2" s="276"/>
      <c r="AJ2" s="276"/>
      <c r="AK2" s="276"/>
      <c r="AL2" s="276"/>
    </row>
    <row r="3" spans="1:43" customFormat="1" ht="15.75">
      <c r="A3" s="276" t="s">
        <v>87</v>
      </c>
      <c r="B3" s="276"/>
      <c r="C3" s="276"/>
      <c r="D3" s="276"/>
      <c r="E3" s="276"/>
      <c r="F3" s="276"/>
      <c r="G3" s="276"/>
      <c r="H3" s="276"/>
      <c r="I3" s="276"/>
      <c r="J3" s="276"/>
      <c r="K3" s="276"/>
      <c r="L3" s="276"/>
      <c r="M3" s="276"/>
      <c r="N3" s="276"/>
      <c r="O3" s="276"/>
      <c r="P3" s="276"/>
      <c r="Q3" s="276"/>
      <c r="R3" s="276"/>
      <c r="S3" s="276"/>
      <c r="T3" s="276"/>
      <c r="U3" s="276"/>
      <c r="V3" s="276"/>
      <c r="W3" s="276"/>
      <c r="X3" s="276"/>
      <c r="Y3" s="276"/>
      <c r="Z3" s="276"/>
      <c r="AA3" s="276"/>
      <c r="AB3" s="276"/>
      <c r="AC3" s="276"/>
      <c r="AD3" s="276"/>
      <c r="AE3" s="276"/>
      <c r="AF3" s="276"/>
      <c r="AG3" s="276"/>
      <c r="AH3" s="276"/>
      <c r="AI3" s="276"/>
      <c r="AJ3" s="276"/>
      <c r="AK3" s="276"/>
      <c r="AL3" s="276"/>
    </row>
    <row r="4" spans="1:43" customFormat="1" ht="15.75">
      <c r="A4" s="276" t="s">
        <v>88</v>
      </c>
      <c r="B4" s="276"/>
      <c r="C4" s="276"/>
      <c r="D4" s="276"/>
      <c r="E4" s="276"/>
      <c r="F4" s="276"/>
      <c r="G4" s="276"/>
      <c r="H4" s="276"/>
      <c r="I4" s="276"/>
      <c r="J4" s="276"/>
      <c r="K4" s="276"/>
      <c r="L4" s="276"/>
      <c r="M4" s="276"/>
      <c r="N4" s="276"/>
      <c r="O4" s="276"/>
      <c r="P4" s="276"/>
      <c r="Q4" s="276"/>
      <c r="R4" s="276"/>
      <c r="S4" s="276"/>
      <c r="T4" s="276"/>
      <c r="U4" s="276"/>
      <c r="V4" s="276"/>
      <c r="W4" s="276"/>
      <c r="X4" s="276"/>
      <c r="Y4" s="276"/>
      <c r="Z4" s="276"/>
      <c r="AA4" s="276"/>
      <c r="AB4" s="276"/>
      <c r="AC4" s="276"/>
      <c r="AD4" s="276"/>
      <c r="AE4" s="276"/>
      <c r="AF4" s="276"/>
      <c r="AG4" s="276"/>
      <c r="AH4" s="276"/>
      <c r="AI4" s="276"/>
      <c r="AJ4" s="276"/>
      <c r="AK4" s="276"/>
      <c r="AL4" s="276"/>
    </row>
    <row r="5" spans="1:43" customFormat="1" ht="15.75">
      <c r="A5" s="137"/>
    </row>
    <row r="6" spans="1:43" customFormat="1" ht="15.75">
      <c r="A6" s="277" t="str">
        <f>+Control!D3</f>
        <v>AAAMOP ENTERTAINMENT LIMITED</v>
      </c>
      <c r="B6" s="277"/>
      <c r="C6" s="277"/>
      <c r="D6" s="277"/>
      <c r="E6" s="277"/>
      <c r="F6" s="277"/>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77"/>
      <c r="AI6" s="277"/>
      <c r="AJ6" s="277"/>
      <c r="AK6" s="277"/>
      <c r="AL6" s="277"/>
      <c r="AQ6" t="s">
        <v>1</v>
      </c>
    </row>
    <row r="7" spans="1:43" customFormat="1" ht="15.75">
      <c r="A7" s="278" t="str">
        <f>+CONCATENATE(AQ6,Control!F8,AQ8,'D emol (3)'!AQ7,Control!D7)</f>
        <v xml:space="preserve">FOR THE  ENDED </v>
      </c>
      <c r="B7" s="278"/>
      <c r="C7" s="278"/>
      <c r="D7" s="278"/>
      <c r="E7" s="278"/>
      <c r="F7" s="278"/>
      <c r="G7" s="278"/>
      <c r="H7" s="278"/>
      <c r="I7" s="278"/>
      <c r="J7" s="278"/>
      <c r="K7" s="278"/>
      <c r="L7" s="278"/>
      <c r="M7" s="278"/>
      <c r="N7" s="278"/>
      <c r="O7" s="278"/>
      <c r="P7" s="278"/>
      <c r="Q7" s="278"/>
      <c r="R7" s="278"/>
      <c r="S7" s="278"/>
      <c r="T7" s="278"/>
      <c r="U7" s="278"/>
      <c r="V7" s="278"/>
      <c r="W7" s="278"/>
      <c r="X7" s="278"/>
      <c r="Y7" s="278"/>
      <c r="Z7" s="278"/>
      <c r="AA7" s="278"/>
      <c r="AB7" s="278"/>
      <c r="AC7" s="278"/>
      <c r="AD7" s="278"/>
      <c r="AE7" s="278"/>
      <c r="AF7" s="278"/>
      <c r="AG7" s="278"/>
      <c r="AH7" s="278"/>
      <c r="AI7" s="278"/>
      <c r="AJ7" s="278"/>
      <c r="AK7" s="278"/>
      <c r="AL7" s="278"/>
      <c r="AQ7" t="s">
        <v>89</v>
      </c>
    </row>
    <row r="8" spans="1:43" customFormat="1" ht="15.75">
      <c r="AQ8" t="s">
        <v>90</v>
      </c>
    </row>
    <row r="9" spans="1:43" s="35" customFormat="1">
      <c r="C9" s="35" t="s">
        <v>91</v>
      </c>
    </row>
    <row r="10" spans="1:43" s="35" customFormat="1"/>
    <row r="11" spans="1:43" s="35" customFormat="1">
      <c r="A11" s="35" t="s">
        <v>92</v>
      </c>
      <c r="C11" s="279" t="s">
        <v>93</v>
      </c>
      <c r="D11" s="279"/>
      <c r="E11" s="279"/>
      <c r="F11" s="279"/>
      <c r="G11" s="279"/>
      <c r="H11" s="279"/>
      <c r="I11" s="279"/>
      <c r="J11" s="279"/>
      <c r="K11" s="279"/>
      <c r="L11" s="279"/>
      <c r="M11" s="279"/>
      <c r="N11" s="279"/>
      <c r="O11" s="279"/>
      <c r="P11" s="279"/>
      <c r="Q11" s="279"/>
      <c r="R11" s="279"/>
      <c r="S11" s="279"/>
      <c r="T11" s="279"/>
      <c r="U11" s="279"/>
      <c r="V11" s="279"/>
      <c r="W11" s="279"/>
      <c r="X11" s="279"/>
      <c r="Y11" s="279"/>
      <c r="Z11" s="279"/>
      <c r="AA11" s="279"/>
      <c r="AB11" s="279"/>
      <c r="AC11" s="279"/>
      <c r="AD11" s="279"/>
      <c r="AE11" s="279"/>
      <c r="AF11" s="279"/>
      <c r="AG11" s="279"/>
      <c r="AH11" s="279"/>
      <c r="AI11" s="279"/>
      <c r="AJ11" s="279"/>
      <c r="AK11" s="279"/>
      <c r="AL11" s="279"/>
    </row>
    <row r="12" spans="1:43" s="35" customFormat="1">
      <c r="C12" s="279" t="s">
        <v>94</v>
      </c>
      <c r="D12" s="279"/>
      <c r="E12" s="279"/>
      <c r="F12" s="279"/>
      <c r="G12" s="279"/>
      <c r="H12" s="279"/>
      <c r="I12" s="279"/>
      <c r="J12" s="279"/>
      <c r="K12" s="279"/>
      <c r="L12" s="279"/>
      <c r="M12" s="279"/>
      <c r="N12" s="279"/>
      <c r="O12" s="279"/>
      <c r="P12" s="279"/>
      <c r="Q12" s="279"/>
      <c r="R12" s="279"/>
      <c r="S12" s="279"/>
      <c r="T12" s="279"/>
      <c r="U12" s="279"/>
      <c r="V12" s="279"/>
      <c r="W12" s="279"/>
      <c r="X12" s="279"/>
      <c r="Y12" s="279"/>
      <c r="Z12" s="279"/>
      <c r="AA12" s="279"/>
      <c r="AB12" s="279"/>
      <c r="AC12" s="279"/>
      <c r="AD12" s="279"/>
      <c r="AE12" s="279"/>
      <c r="AF12" s="279"/>
      <c r="AG12" s="279"/>
      <c r="AH12" s="279"/>
      <c r="AI12" s="279"/>
      <c r="AJ12" s="279"/>
      <c r="AK12" s="279"/>
      <c r="AL12" s="279"/>
    </row>
    <row r="13" spans="1:43" s="35" customFormat="1">
      <c r="C13" s="279" t="s">
        <v>95</v>
      </c>
      <c r="D13" s="279"/>
      <c r="E13" s="279"/>
      <c r="F13" s="279"/>
      <c r="G13" s="279"/>
      <c r="H13" s="279"/>
      <c r="I13" s="279"/>
      <c r="J13" s="279"/>
      <c r="K13" s="279"/>
      <c r="L13" s="279"/>
      <c r="M13" s="279"/>
      <c r="N13" s="279"/>
      <c r="O13" s="279"/>
      <c r="P13" s="279"/>
      <c r="Q13" s="279"/>
      <c r="R13" s="279"/>
      <c r="S13" s="279"/>
      <c r="T13" s="279"/>
      <c r="U13" s="279"/>
      <c r="V13" s="279"/>
      <c r="W13" s="279"/>
      <c r="X13" s="279"/>
      <c r="Y13" s="279"/>
      <c r="Z13" s="279"/>
      <c r="AA13" s="279"/>
      <c r="AB13" s="279"/>
      <c r="AC13" s="279"/>
      <c r="AD13" s="279"/>
      <c r="AE13" s="279"/>
      <c r="AF13" s="279"/>
      <c r="AG13" s="279"/>
      <c r="AH13" s="279"/>
      <c r="AI13" s="279"/>
      <c r="AJ13" s="279"/>
      <c r="AK13" s="279"/>
      <c r="AL13" s="279"/>
    </row>
    <row r="14" spans="1:43" s="35" customFormat="1">
      <c r="C14" s="35" t="str">
        <f>+CONCATENATE(B68,B69,B70)</f>
        <v>to be disclosed under Section 161 of the Companies Ordinance;</v>
      </c>
      <c r="AQ14" s="35">
        <v>383</v>
      </c>
    </row>
    <row r="15" spans="1:43" s="35" customFormat="1">
      <c r="A15" s="35" t="s">
        <v>96</v>
      </c>
      <c r="C15" s="279" t="s">
        <v>97</v>
      </c>
      <c r="D15" s="279"/>
      <c r="E15" s="279"/>
      <c r="F15" s="279"/>
      <c r="G15" s="279"/>
      <c r="H15" s="279"/>
      <c r="I15" s="279"/>
      <c r="J15" s="279"/>
      <c r="K15" s="279"/>
      <c r="L15" s="279"/>
      <c r="M15" s="279"/>
      <c r="N15" s="279"/>
      <c r="O15" s="279"/>
      <c r="P15" s="279"/>
      <c r="Q15" s="279"/>
      <c r="R15" s="279"/>
      <c r="S15" s="279"/>
      <c r="T15" s="279"/>
      <c r="U15" s="279"/>
      <c r="V15" s="279"/>
      <c r="W15" s="279"/>
      <c r="X15" s="279"/>
      <c r="Y15" s="279"/>
      <c r="Z15" s="279"/>
      <c r="AA15" s="279"/>
      <c r="AB15" s="279"/>
      <c r="AC15" s="279"/>
      <c r="AD15" s="279"/>
      <c r="AE15" s="279"/>
      <c r="AF15" s="279"/>
      <c r="AG15" s="279"/>
      <c r="AH15" s="279"/>
      <c r="AI15" s="279"/>
      <c r="AJ15" s="279"/>
      <c r="AK15" s="279"/>
      <c r="AL15" s="279"/>
    </row>
    <row r="16" spans="1:43" s="35" customFormat="1">
      <c r="C16" s="35" t="str">
        <f>+CONCATENATE(B76,B77,B78)</f>
        <v>which were outstanding at the expiration thereof as required to be disclosed under Section 161B of the Companies Ordinance.</v>
      </c>
      <c r="AQ16" s="35">
        <v>383</v>
      </c>
    </row>
    <row r="17" spans="1:38" customFormat="1" ht="15.75"/>
    <row r="18" spans="1:38" ht="12.75">
      <c r="A18" s="26" t="s">
        <v>98</v>
      </c>
      <c r="B18" s="27"/>
      <c r="C18" s="27"/>
      <c r="D18" s="280">
        <f>+'Dir info'!C5</f>
        <v>0</v>
      </c>
      <c r="E18" s="280"/>
      <c r="F18" s="280"/>
      <c r="G18" s="280"/>
      <c r="H18" s="280"/>
      <c r="I18" s="280"/>
      <c r="J18" s="280"/>
      <c r="K18" s="280"/>
      <c r="L18" s="280"/>
      <c r="M18" s="280"/>
      <c r="N18" s="27"/>
      <c r="O18" s="281" t="s">
        <v>99</v>
      </c>
      <c r="P18" s="282"/>
      <c r="Q18" s="282"/>
      <c r="R18" s="282"/>
      <c r="S18" s="282"/>
      <c r="T18" s="282"/>
      <c r="U18" s="282"/>
      <c r="V18" s="283"/>
      <c r="W18" s="28"/>
      <c r="X18" s="287" t="s">
        <v>100</v>
      </c>
      <c r="Y18" s="287"/>
      <c r="Z18" s="287"/>
      <c r="AA18" s="287"/>
      <c r="AB18" s="287"/>
      <c r="AC18" s="287"/>
      <c r="AD18" s="29"/>
      <c r="AE18" s="289" t="s">
        <v>101</v>
      </c>
      <c r="AF18" s="287"/>
      <c r="AG18" s="287"/>
      <c r="AH18" s="287"/>
      <c r="AI18" s="287"/>
      <c r="AJ18" s="287"/>
      <c r="AK18" s="287"/>
      <c r="AL18" s="290"/>
    </row>
    <row r="19" spans="1:38" ht="27" customHeight="1">
      <c r="A19" s="26" t="s">
        <v>102</v>
      </c>
      <c r="C19" s="27"/>
      <c r="D19" s="293" t="s">
        <v>103</v>
      </c>
      <c r="E19" s="293"/>
      <c r="F19" s="293"/>
      <c r="G19" s="293"/>
      <c r="H19" s="293"/>
      <c r="I19" s="293"/>
      <c r="J19" s="293"/>
      <c r="K19" s="293"/>
      <c r="L19" s="293"/>
      <c r="M19" s="293"/>
      <c r="N19" s="27"/>
      <c r="O19" s="284"/>
      <c r="P19" s="285"/>
      <c r="Q19" s="285"/>
      <c r="R19" s="285"/>
      <c r="S19" s="285"/>
      <c r="T19" s="285"/>
      <c r="U19" s="285"/>
      <c r="V19" s="286"/>
      <c r="W19" s="31"/>
      <c r="X19" s="288"/>
      <c r="Y19" s="288"/>
      <c r="Z19" s="288"/>
      <c r="AA19" s="288"/>
      <c r="AB19" s="288"/>
      <c r="AC19" s="288"/>
      <c r="AD19" s="32"/>
      <c r="AE19" s="291"/>
      <c r="AF19" s="288"/>
      <c r="AG19" s="288"/>
      <c r="AH19" s="288"/>
      <c r="AI19" s="288"/>
      <c r="AJ19" s="288"/>
      <c r="AK19" s="288"/>
      <c r="AL19" s="292"/>
    </row>
    <row r="20" spans="1:38" ht="14.25" customHeight="1">
      <c r="O20" s="297" t="s">
        <v>104</v>
      </c>
      <c r="P20" s="297"/>
      <c r="Q20" s="297"/>
      <c r="R20" s="297"/>
      <c r="S20" s="297" t="s">
        <v>105</v>
      </c>
      <c r="T20" s="297"/>
      <c r="U20" s="297"/>
      <c r="V20" s="297"/>
      <c r="W20" s="297" t="s">
        <v>104</v>
      </c>
      <c r="X20" s="297"/>
      <c r="Y20" s="297"/>
      <c r="Z20" s="297"/>
      <c r="AA20" s="297" t="s">
        <v>105</v>
      </c>
      <c r="AB20" s="297"/>
      <c r="AC20" s="297"/>
      <c r="AD20" s="297"/>
      <c r="AE20" s="297" t="s">
        <v>104</v>
      </c>
      <c r="AF20" s="297"/>
      <c r="AG20" s="297"/>
      <c r="AH20" s="297"/>
      <c r="AI20" s="297" t="s">
        <v>105</v>
      </c>
      <c r="AJ20" s="297"/>
      <c r="AK20" s="297"/>
      <c r="AL20" s="297"/>
    </row>
    <row r="21" spans="1:38">
      <c r="O21" s="294" t="str">
        <f>+Control!D68</f>
        <v>HK$</v>
      </c>
      <c r="P21" s="295"/>
      <c r="Q21" s="295"/>
      <c r="R21" s="296"/>
      <c r="S21" s="294" t="str">
        <f>+Control!D68</f>
        <v>HK$</v>
      </c>
      <c r="T21" s="295"/>
      <c r="U21" s="295"/>
      <c r="V21" s="296"/>
      <c r="W21" s="294" t="str">
        <f>+Control!D68</f>
        <v>HK$</v>
      </c>
      <c r="X21" s="295"/>
      <c r="Y21" s="295"/>
      <c r="Z21" s="296"/>
      <c r="AA21" s="294" t="str">
        <f>+Control!D68</f>
        <v>HK$</v>
      </c>
      <c r="AB21" s="295"/>
      <c r="AC21" s="295"/>
      <c r="AD21" s="296"/>
      <c r="AE21" s="294" t="str">
        <f>+Control!D68</f>
        <v>HK$</v>
      </c>
      <c r="AF21" s="295"/>
      <c r="AG21" s="295"/>
      <c r="AH21" s="296"/>
      <c r="AI21" s="294" t="str">
        <f>+Control!D68</f>
        <v>HK$</v>
      </c>
      <c r="AJ21" s="295"/>
      <c r="AK21" s="295"/>
      <c r="AL21" s="296"/>
    </row>
    <row r="22" spans="1:38">
      <c r="A22" s="30" t="s">
        <v>106</v>
      </c>
      <c r="B22" s="33" t="s">
        <v>107</v>
      </c>
      <c r="C22" s="30" t="s">
        <v>108</v>
      </c>
      <c r="O22" s="299"/>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row>
    <row r="23" spans="1:38">
      <c r="C23" s="30" t="s">
        <v>109</v>
      </c>
      <c r="O23" s="297"/>
      <c r="P23" s="297"/>
      <c r="Q23" s="297"/>
      <c r="R23" s="297"/>
      <c r="S23" s="297"/>
      <c r="T23" s="297"/>
      <c r="U23" s="297"/>
      <c r="V23" s="297"/>
      <c r="W23" s="297"/>
      <c r="X23" s="297"/>
      <c r="Y23" s="297"/>
      <c r="Z23" s="297"/>
      <c r="AA23" s="297"/>
      <c r="AB23" s="297"/>
      <c r="AC23" s="297"/>
      <c r="AD23" s="297"/>
      <c r="AE23" s="297"/>
      <c r="AF23" s="297"/>
      <c r="AG23" s="297"/>
      <c r="AH23" s="297"/>
      <c r="AI23" s="297"/>
      <c r="AJ23" s="297"/>
      <c r="AK23" s="297"/>
      <c r="AL23" s="297"/>
    </row>
    <row r="24" spans="1:38">
      <c r="C24" s="30" t="s">
        <v>110</v>
      </c>
      <c r="O24" s="298">
        <f>+'Dir info'!O5</f>
        <v>0</v>
      </c>
      <c r="P24" s="298"/>
      <c r="Q24" s="298"/>
      <c r="R24" s="298"/>
      <c r="S24" s="297"/>
      <c r="T24" s="297"/>
      <c r="U24" s="297"/>
      <c r="V24" s="297"/>
      <c r="W24" s="297"/>
      <c r="X24" s="297"/>
      <c r="Y24" s="297"/>
      <c r="Z24" s="297"/>
      <c r="AA24" s="297"/>
      <c r="AB24" s="297"/>
      <c r="AC24" s="297"/>
      <c r="AD24" s="297"/>
      <c r="AE24" s="297"/>
      <c r="AF24" s="297"/>
      <c r="AG24" s="297"/>
      <c r="AH24" s="297"/>
      <c r="AI24" s="297"/>
      <c r="AJ24" s="297"/>
      <c r="AK24" s="297"/>
      <c r="AL24" s="297"/>
    </row>
    <row r="25" spans="1:38">
      <c r="C25" s="30" t="s">
        <v>111</v>
      </c>
      <c r="O25" s="297"/>
      <c r="P25" s="297"/>
      <c r="Q25" s="297"/>
      <c r="R25" s="297"/>
      <c r="S25" s="297"/>
      <c r="T25" s="297"/>
      <c r="U25" s="297"/>
      <c r="V25" s="297"/>
      <c r="W25" s="297"/>
      <c r="X25" s="297"/>
      <c r="Y25" s="297"/>
      <c r="Z25" s="297"/>
      <c r="AA25" s="297"/>
      <c r="AB25" s="297"/>
      <c r="AC25" s="297"/>
      <c r="AD25" s="297"/>
      <c r="AE25" s="297"/>
      <c r="AF25" s="297"/>
      <c r="AG25" s="297"/>
      <c r="AH25" s="297"/>
      <c r="AI25" s="297"/>
      <c r="AJ25" s="297"/>
      <c r="AK25" s="297"/>
      <c r="AL25" s="297"/>
    </row>
    <row r="26" spans="1:38">
      <c r="C26" s="30" t="s">
        <v>112</v>
      </c>
      <c r="O26" s="297"/>
      <c r="P26" s="297"/>
      <c r="Q26" s="297"/>
      <c r="R26" s="297"/>
      <c r="S26" s="297"/>
      <c r="T26" s="297"/>
      <c r="U26" s="297"/>
      <c r="V26" s="297"/>
      <c r="W26" s="297"/>
      <c r="X26" s="297"/>
      <c r="Y26" s="297"/>
      <c r="Z26" s="297"/>
      <c r="AA26" s="297"/>
      <c r="AB26" s="297"/>
      <c r="AC26" s="297"/>
      <c r="AD26" s="297"/>
      <c r="AE26" s="297"/>
      <c r="AF26" s="297"/>
      <c r="AG26" s="297"/>
      <c r="AH26" s="297"/>
      <c r="AI26" s="297"/>
      <c r="AJ26" s="297"/>
      <c r="AK26" s="297"/>
      <c r="AL26" s="297"/>
    </row>
    <row r="27" spans="1:38">
      <c r="C27" s="30" t="s">
        <v>113</v>
      </c>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row>
    <row r="28" spans="1:38">
      <c r="D28" s="30" t="s">
        <v>114</v>
      </c>
      <c r="O28" s="297"/>
      <c r="P28" s="297"/>
      <c r="Q28" s="297"/>
      <c r="R28" s="297"/>
      <c r="S28" s="297"/>
      <c r="T28" s="297"/>
      <c r="U28" s="297"/>
      <c r="V28" s="297"/>
      <c r="W28" s="297"/>
      <c r="X28" s="297"/>
      <c r="Y28" s="297"/>
      <c r="Z28" s="297"/>
      <c r="AA28" s="297"/>
      <c r="AB28" s="297"/>
      <c r="AC28" s="297"/>
      <c r="AD28" s="297"/>
      <c r="AE28" s="297"/>
      <c r="AF28" s="297"/>
      <c r="AG28" s="297"/>
      <c r="AH28" s="297"/>
      <c r="AI28" s="297"/>
      <c r="AJ28" s="297"/>
      <c r="AK28" s="297"/>
      <c r="AL28" s="297"/>
    </row>
    <row r="29" spans="1:38">
      <c r="C29" s="30" t="s">
        <v>115</v>
      </c>
      <c r="O29" s="297"/>
      <c r="P29" s="297"/>
      <c r="Q29" s="297"/>
      <c r="R29" s="297"/>
      <c r="S29" s="297"/>
      <c r="T29" s="297"/>
      <c r="U29" s="297"/>
      <c r="V29" s="297"/>
      <c r="W29" s="297"/>
      <c r="X29" s="297"/>
      <c r="Y29" s="297"/>
      <c r="Z29" s="297"/>
      <c r="AA29" s="297"/>
      <c r="AB29" s="297"/>
      <c r="AC29" s="297"/>
      <c r="AD29" s="297"/>
      <c r="AE29" s="297"/>
      <c r="AF29" s="297"/>
      <c r="AG29" s="297"/>
      <c r="AH29" s="297"/>
      <c r="AI29" s="297"/>
      <c r="AJ29" s="297"/>
      <c r="AK29" s="297"/>
      <c r="AL29" s="297"/>
    </row>
    <row r="30" spans="1:38">
      <c r="C30" s="30" t="s">
        <v>116</v>
      </c>
      <c r="O30" s="301"/>
      <c r="P30" s="302"/>
      <c r="Q30" s="302"/>
      <c r="R30" s="303"/>
      <c r="S30" s="297"/>
      <c r="T30" s="297"/>
      <c r="U30" s="297"/>
      <c r="V30" s="297"/>
      <c r="W30" s="297"/>
      <c r="X30" s="297"/>
      <c r="Y30" s="297"/>
      <c r="Z30" s="297"/>
      <c r="AA30" s="297"/>
      <c r="AB30" s="297"/>
      <c r="AC30" s="297"/>
      <c r="AD30" s="297"/>
      <c r="AE30" s="297"/>
      <c r="AF30" s="297"/>
      <c r="AG30" s="297"/>
      <c r="AH30" s="297"/>
      <c r="AI30" s="297"/>
      <c r="AJ30" s="297"/>
      <c r="AK30" s="297"/>
      <c r="AL30" s="297"/>
    </row>
    <row r="31" spans="1:38">
      <c r="D31" s="30" t="s">
        <v>117</v>
      </c>
      <c r="O31" s="304"/>
      <c r="P31" s="305"/>
      <c r="Q31" s="305"/>
      <c r="R31" s="306"/>
      <c r="S31" s="297"/>
      <c r="T31" s="297"/>
      <c r="U31" s="297"/>
      <c r="V31" s="297"/>
      <c r="W31" s="297"/>
      <c r="X31" s="297"/>
      <c r="Y31" s="297"/>
      <c r="Z31" s="297"/>
      <c r="AA31" s="297"/>
      <c r="AB31" s="297"/>
      <c r="AC31" s="297"/>
      <c r="AD31" s="297"/>
      <c r="AE31" s="297"/>
      <c r="AF31" s="297"/>
      <c r="AG31" s="297"/>
      <c r="AH31" s="297"/>
      <c r="AI31" s="297"/>
      <c r="AJ31" s="297"/>
      <c r="AK31" s="297"/>
      <c r="AL31" s="297"/>
    </row>
    <row r="32" spans="1:38">
      <c r="D32" s="30" t="s">
        <v>118</v>
      </c>
      <c r="E32" s="30" t="s">
        <v>119</v>
      </c>
      <c r="O32" s="307"/>
      <c r="P32" s="308"/>
      <c r="Q32" s="308"/>
      <c r="R32" s="309"/>
      <c r="S32" s="297"/>
      <c r="T32" s="297"/>
      <c r="U32" s="297"/>
      <c r="V32" s="297"/>
      <c r="W32" s="297"/>
      <c r="X32" s="297"/>
      <c r="Y32" s="297"/>
      <c r="Z32" s="297"/>
      <c r="AA32" s="297"/>
      <c r="AB32" s="297"/>
      <c r="AC32" s="297"/>
      <c r="AD32" s="297"/>
      <c r="AE32" s="297"/>
      <c r="AF32" s="297"/>
      <c r="AG32" s="297"/>
      <c r="AH32" s="297"/>
      <c r="AI32" s="297"/>
      <c r="AJ32" s="297"/>
      <c r="AK32" s="297"/>
      <c r="AL32" s="297"/>
    </row>
    <row r="33" spans="2:43">
      <c r="O33" s="300"/>
      <c r="P33" s="300"/>
      <c r="Q33" s="300"/>
      <c r="R33" s="300"/>
      <c r="S33" s="297"/>
      <c r="T33" s="297"/>
      <c r="U33" s="297"/>
      <c r="V33" s="297"/>
      <c r="W33" s="297"/>
      <c r="X33" s="297"/>
      <c r="Y33" s="297"/>
      <c r="Z33" s="297"/>
      <c r="AA33" s="297"/>
      <c r="AB33" s="297"/>
      <c r="AC33" s="297"/>
      <c r="AD33" s="297"/>
      <c r="AE33" s="297"/>
      <c r="AF33" s="297"/>
      <c r="AG33" s="297"/>
      <c r="AH33" s="297"/>
      <c r="AI33" s="297"/>
      <c r="AJ33" s="297"/>
      <c r="AK33" s="297"/>
      <c r="AL33" s="297"/>
    </row>
    <row r="34" spans="2:43">
      <c r="O34" s="297"/>
      <c r="P34" s="297"/>
      <c r="Q34" s="297"/>
      <c r="R34" s="297"/>
      <c r="S34" s="297"/>
      <c r="T34" s="297"/>
      <c r="U34" s="297"/>
      <c r="V34" s="297"/>
      <c r="W34" s="297"/>
      <c r="X34" s="297"/>
      <c r="Y34" s="297"/>
      <c r="Z34" s="297"/>
      <c r="AA34" s="297"/>
      <c r="AB34" s="297"/>
      <c r="AC34" s="297"/>
      <c r="AD34" s="297"/>
      <c r="AE34" s="297"/>
      <c r="AF34" s="297"/>
      <c r="AG34" s="297"/>
      <c r="AH34" s="297"/>
      <c r="AI34" s="297"/>
      <c r="AJ34" s="297"/>
      <c r="AK34" s="297"/>
      <c r="AL34" s="297"/>
    </row>
    <row r="35" spans="2:43">
      <c r="B35" s="33" t="s">
        <v>120</v>
      </c>
      <c r="C35" s="30" t="s">
        <v>121</v>
      </c>
      <c r="O35" s="297"/>
      <c r="P35" s="297"/>
      <c r="Q35" s="297"/>
      <c r="R35" s="297"/>
      <c r="S35" s="297"/>
      <c r="T35" s="297"/>
      <c r="U35" s="297"/>
      <c r="V35" s="297"/>
      <c r="W35" s="297"/>
      <c r="X35" s="297"/>
      <c r="Y35" s="297"/>
      <c r="Z35" s="297"/>
      <c r="AA35" s="297"/>
      <c r="AB35" s="297"/>
      <c r="AC35" s="297"/>
      <c r="AD35" s="297"/>
      <c r="AE35" s="297"/>
      <c r="AF35" s="297"/>
      <c r="AG35" s="297"/>
      <c r="AH35" s="297"/>
      <c r="AI35" s="297"/>
      <c r="AJ35" s="297"/>
      <c r="AK35" s="297"/>
      <c r="AL35" s="297"/>
    </row>
    <row r="36" spans="2:43">
      <c r="C36" s="30" t="s">
        <v>122</v>
      </c>
      <c r="O36" s="297"/>
      <c r="P36" s="297"/>
      <c r="Q36" s="297"/>
      <c r="R36" s="297"/>
      <c r="S36" s="297"/>
      <c r="T36" s="297"/>
      <c r="U36" s="297"/>
      <c r="V36" s="297"/>
      <c r="W36" s="297"/>
      <c r="X36" s="297"/>
      <c r="Y36" s="297"/>
      <c r="Z36" s="297"/>
      <c r="AA36" s="297"/>
      <c r="AB36" s="297"/>
      <c r="AC36" s="297"/>
      <c r="AD36" s="297"/>
      <c r="AE36" s="297"/>
      <c r="AF36" s="297"/>
      <c r="AG36" s="297"/>
      <c r="AH36" s="297"/>
      <c r="AI36" s="297"/>
      <c r="AJ36" s="297"/>
      <c r="AK36" s="297"/>
      <c r="AL36" s="297"/>
    </row>
    <row r="37" spans="2:43">
      <c r="D37" s="30" t="s">
        <v>123</v>
      </c>
      <c r="O37" s="297"/>
      <c r="P37" s="297"/>
      <c r="Q37" s="297"/>
      <c r="R37" s="297"/>
      <c r="S37" s="297"/>
      <c r="T37" s="297"/>
      <c r="U37" s="297"/>
      <c r="V37" s="297"/>
      <c r="W37" s="297"/>
      <c r="X37" s="297"/>
      <c r="Y37" s="297"/>
      <c r="Z37" s="297"/>
      <c r="AA37" s="297"/>
      <c r="AB37" s="297"/>
      <c r="AC37" s="297"/>
      <c r="AD37" s="297"/>
      <c r="AE37" s="297"/>
      <c r="AF37" s="297"/>
      <c r="AG37" s="297"/>
      <c r="AH37" s="297"/>
      <c r="AI37" s="297"/>
      <c r="AJ37" s="297"/>
      <c r="AK37" s="297"/>
      <c r="AL37" s="297"/>
    </row>
    <row r="38" spans="2:43">
      <c r="D38" s="30" t="s">
        <v>124</v>
      </c>
      <c r="O38" s="297"/>
      <c r="P38" s="297"/>
      <c r="Q38" s="297"/>
      <c r="R38" s="297"/>
      <c r="S38" s="297"/>
      <c r="T38" s="297"/>
      <c r="U38" s="297"/>
      <c r="V38" s="297"/>
      <c r="W38" s="297"/>
      <c r="X38" s="297"/>
      <c r="Y38" s="297"/>
      <c r="Z38" s="297"/>
      <c r="AA38" s="297"/>
      <c r="AB38" s="297"/>
      <c r="AC38" s="297"/>
      <c r="AD38" s="297"/>
      <c r="AE38" s="297"/>
      <c r="AF38" s="297"/>
      <c r="AG38" s="297"/>
      <c r="AH38" s="297"/>
      <c r="AI38" s="297"/>
      <c r="AJ38" s="297"/>
      <c r="AK38" s="297"/>
      <c r="AL38" s="297"/>
    </row>
    <row r="39" spans="2:43">
      <c r="D39" s="30" t="s">
        <v>125</v>
      </c>
      <c r="O39" s="297"/>
      <c r="P39" s="297"/>
      <c r="Q39" s="297"/>
      <c r="R39" s="297"/>
      <c r="S39" s="297"/>
      <c r="T39" s="297"/>
      <c r="U39" s="297"/>
      <c r="V39" s="297"/>
      <c r="W39" s="297"/>
      <c r="X39" s="297"/>
      <c r="Y39" s="297"/>
      <c r="Z39" s="297"/>
      <c r="AA39" s="297"/>
      <c r="AB39" s="297"/>
      <c r="AC39" s="297"/>
      <c r="AD39" s="297"/>
      <c r="AE39" s="297"/>
      <c r="AF39" s="297"/>
      <c r="AG39" s="297"/>
      <c r="AH39" s="297"/>
      <c r="AI39" s="297"/>
      <c r="AJ39" s="297"/>
      <c r="AK39" s="297"/>
      <c r="AL39" s="297"/>
    </row>
    <row r="40" spans="2:43">
      <c r="C40" s="30" t="s">
        <v>126</v>
      </c>
      <c r="O40" s="297"/>
      <c r="P40" s="297"/>
      <c r="Q40" s="297"/>
      <c r="R40" s="297"/>
      <c r="S40" s="297"/>
      <c r="T40" s="297"/>
      <c r="U40" s="297"/>
      <c r="V40" s="297"/>
      <c r="W40" s="297"/>
      <c r="X40" s="297"/>
      <c r="Y40" s="297"/>
      <c r="Z40" s="297"/>
      <c r="AA40" s="297"/>
      <c r="AB40" s="297"/>
      <c r="AC40" s="297"/>
      <c r="AD40" s="297"/>
      <c r="AE40" s="297"/>
      <c r="AF40" s="297"/>
      <c r="AG40" s="297"/>
      <c r="AH40" s="297"/>
      <c r="AI40" s="297"/>
      <c r="AJ40" s="297"/>
      <c r="AK40" s="297"/>
      <c r="AL40" s="297"/>
    </row>
    <row r="41" spans="2:43">
      <c r="C41" s="30" t="s">
        <v>127</v>
      </c>
      <c r="O41" s="297"/>
      <c r="P41" s="297"/>
      <c r="Q41" s="297"/>
      <c r="R41" s="297"/>
      <c r="S41" s="297"/>
      <c r="T41" s="297"/>
      <c r="U41" s="297"/>
      <c r="V41" s="297"/>
      <c r="W41" s="297"/>
      <c r="X41" s="297"/>
      <c r="Y41" s="297"/>
      <c r="Z41" s="297"/>
      <c r="AA41" s="297"/>
      <c r="AB41" s="297"/>
      <c r="AC41" s="297"/>
      <c r="AD41" s="297"/>
      <c r="AE41" s="297"/>
      <c r="AF41" s="297"/>
      <c r="AG41" s="297"/>
      <c r="AH41" s="297"/>
      <c r="AI41" s="297"/>
      <c r="AJ41" s="297"/>
      <c r="AK41" s="297"/>
      <c r="AL41" s="297"/>
    </row>
    <row r="42" spans="2:43">
      <c r="B42" s="33" t="s">
        <v>128</v>
      </c>
      <c r="C42" s="30" t="s">
        <v>129</v>
      </c>
      <c r="O42" s="297"/>
      <c r="P42" s="297"/>
      <c r="Q42" s="297"/>
      <c r="R42" s="297"/>
      <c r="S42" s="297"/>
      <c r="T42" s="297"/>
      <c r="U42" s="297"/>
      <c r="V42" s="297"/>
      <c r="W42" s="297"/>
      <c r="X42" s="297"/>
      <c r="Y42" s="297"/>
      <c r="Z42" s="297"/>
      <c r="AA42" s="297"/>
      <c r="AB42" s="297"/>
      <c r="AC42" s="297"/>
      <c r="AD42" s="297"/>
      <c r="AE42" s="297"/>
      <c r="AF42" s="297"/>
      <c r="AG42" s="297"/>
      <c r="AH42" s="297"/>
      <c r="AI42" s="297"/>
      <c r="AJ42" s="297"/>
      <c r="AK42" s="297"/>
      <c r="AL42" s="297"/>
    </row>
    <row r="43" spans="2:43">
      <c r="C43" s="30" t="s">
        <v>126</v>
      </c>
      <c r="O43" s="297"/>
      <c r="P43" s="297"/>
      <c r="Q43" s="297"/>
      <c r="R43" s="297"/>
      <c r="S43" s="297"/>
      <c r="T43" s="297"/>
      <c r="U43" s="297"/>
      <c r="V43" s="297"/>
      <c r="W43" s="297"/>
      <c r="X43" s="297"/>
      <c r="Y43" s="297"/>
      <c r="Z43" s="297"/>
      <c r="AA43" s="297"/>
      <c r="AB43" s="297"/>
      <c r="AC43" s="297"/>
      <c r="AD43" s="297"/>
      <c r="AE43" s="297"/>
      <c r="AF43" s="297"/>
      <c r="AG43" s="297"/>
      <c r="AH43" s="297"/>
      <c r="AI43" s="297"/>
      <c r="AJ43" s="297"/>
      <c r="AK43" s="297"/>
      <c r="AL43" s="297"/>
    </row>
    <row r="44" spans="2:43">
      <c r="C44" s="30" t="s">
        <v>127</v>
      </c>
      <c r="O44" s="297"/>
      <c r="P44" s="297"/>
      <c r="Q44" s="297"/>
      <c r="R44" s="297"/>
      <c r="S44" s="297"/>
      <c r="T44" s="297"/>
      <c r="U44" s="297"/>
      <c r="V44" s="297"/>
      <c r="W44" s="297"/>
      <c r="X44" s="297"/>
      <c r="Y44" s="297"/>
      <c r="Z44" s="297"/>
      <c r="AA44" s="297"/>
      <c r="AB44" s="297"/>
      <c r="AC44" s="297"/>
      <c r="AD44" s="297"/>
      <c r="AE44" s="297"/>
      <c r="AF44" s="297"/>
      <c r="AG44" s="297"/>
      <c r="AH44" s="297"/>
      <c r="AI44" s="297"/>
      <c r="AJ44" s="297"/>
      <c r="AK44" s="297"/>
      <c r="AL44" s="297"/>
    </row>
    <row r="45" spans="2:43">
      <c r="B45" s="30" t="e">
        <f>+#REF!</f>
        <v>#REF!</v>
      </c>
      <c r="O45" s="313" t="str">
        <f>IF(SUM(O23:O44)&gt;0,SUM(O23:O44),"NIL")</f>
        <v>NIL</v>
      </c>
      <c r="P45" s="314"/>
      <c r="Q45" s="314"/>
      <c r="R45" s="314"/>
      <c r="S45" s="314"/>
      <c r="T45" s="314"/>
      <c r="U45" s="314"/>
      <c r="V45" s="315"/>
      <c r="W45" s="294" t="s">
        <v>130</v>
      </c>
      <c r="X45" s="295"/>
      <c r="Y45" s="295"/>
      <c r="Z45" s="295"/>
      <c r="AA45" s="295"/>
      <c r="AB45" s="295"/>
      <c r="AC45" s="295"/>
      <c r="AD45" s="296"/>
      <c r="AE45" s="294" t="s">
        <v>130</v>
      </c>
      <c r="AF45" s="295"/>
      <c r="AG45" s="295"/>
      <c r="AH45" s="295"/>
      <c r="AI45" s="295"/>
      <c r="AJ45" s="295"/>
      <c r="AK45" s="295"/>
      <c r="AL45" s="296"/>
      <c r="AQ45" s="34"/>
    </row>
    <row r="47" spans="2:43">
      <c r="O47" s="281" t="s">
        <v>131</v>
      </c>
      <c r="P47" s="282"/>
      <c r="Q47" s="282"/>
      <c r="R47" s="282"/>
      <c r="S47" s="282"/>
      <c r="T47" s="282"/>
      <c r="U47" s="282"/>
      <c r="V47" s="282"/>
      <c r="W47" s="282"/>
      <c r="X47" s="282"/>
      <c r="Y47" s="282"/>
      <c r="Z47" s="283"/>
      <c r="AA47" s="289" t="s">
        <v>132</v>
      </c>
      <c r="AB47" s="287"/>
      <c r="AC47" s="287"/>
      <c r="AD47" s="287"/>
      <c r="AE47" s="287"/>
      <c r="AF47" s="287"/>
      <c r="AG47" s="287"/>
      <c r="AH47" s="287"/>
      <c r="AI47" s="287"/>
      <c r="AJ47" s="287"/>
      <c r="AK47" s="287"/>
      <c r="AL47" s="290"/>
    </row>
    <row r="48" spans="2:43">
      <c r="O48" s="284"/>
      <c r="P48" s="285"/>
      <c r="Q48" s="285"/>
      <c r="R48" s="285"/>
      <c r="S48" s="285"/>
      <c r="T48" s="285"/>
      <c r="U48" s="285"/>
      <c r="V48" s="285"/>
      <c r="W48" s="285"/>
      <c r="X48" s="285"/>
      <c r="Y48" s="285"/>
      <c r="Z48" s="286"/>
      <c r="AA48" s="291"/>
      <c r="AB48" s="288"/>
      <c r="AC48" s="288"/>
      <c r="AD48" s="288"/>
      <c r="AE48" s="288"/>
      <c r="AF48" s="288"/>
      <c r="AG48" s="288"/>
      <c r="AH48" s="288"/>
      <c r="AI48" s="288"/>
      <c r="AJ48" s="288"/>
      <c r="AK48" s="288"/>
      <c r="AL48" s="292"/>
    </row>
    <row r="49" spans="1:38">
      <c r="O49" s="281" t="str">
        <f>+Control!D68</f>
        <v>HK$</v>
      </c>
      <c r="P49" s="282"/>
      <c r="Q49" s="282"/>
      <c r="R49" s="282"/>
      <c r="S49" s="282"/>
      <c r="T49" s="282"/>
      <c r="U49" s="282"/>
      <c r="V49" s="282"/>
      <c r="W49" s="282"/>
      <c r="X49" s="282"/>
      <c r="Y49" s="282"/>
      <c r="Z49" s="283"/>
      <c r="AA49" s="281" t="str">
        <f>+Control!D68</f>
        <v>HK$</v>
      </c>
      <c r="AB49" s="282"/>
      <c r="AC49" s="282"/>
      <c r="AD49" s="282"/>
      <c r="AE49" s="282"/>
      <c r="AF49" s="282"/>
      <c r="AG49" s="282"/>
      <c r="AH49" s="282"/>
      <c r="AI49" s="282"/>
      <c r="AJ49" s="282"/>
      <c r="AK49" s="282"/>
      <c r="AL49" s="283"/>
    </row>
    <row r="50" spans="1:38">
      <c r="A50" s="30" t="s">
        <v>133</v>
      </c>
      <c r="B50" s="30" t="s">
        <v>134</v>
      </c>
      <c r="O50" s="310"/>
      <c r="P50" s="311"/>
      <c r="Q50" s="311"/>
      <c r="R50" s="311"/>
      <c r="S50" s="311"/>
      <c r="T50" s="311"/>
      <c r="U50" s="311"/>
      <c r="V50" s="311"/>
      <c r="W50" s="311"/>
      <c r="X50" s="311"/>
      <c r="Y50" s="311"/>
      <c r="Z50" s="312"/>
      <c r="AA50" s="310"/>
      <c r="AB50" s="311"/>
      <c r="AC50" s="311"/>
      <c r="AD50" s="311"/>
      <c r="AE50" s="311"/>
      <c r="AF50" s="311"/>
      <c r="AG50" s="311"/>
      <c r="AH50" s="311"/>
      <c r="AI50" s="311"/>
      <c r="AJ50" s="311"/>
      <c r="AK50" s="311"/>
      <c r="AL50" s="312"/>
    </row>
    <row r="51" spans="1:38">
      <c r="B51" s="30" t="s">
        <v>135</v>
      </c>
      <c r="O51" s="284"/>
      <c r="P51" s="285"/>
      <c r="Q51" s="285"/>
      <c r="R51" s="285"/>
      <c r="S51" s="285"/>
      <c r="T51" s="285"/>
      <c r="U51" s="285"/>
      <c r="V51" s="285"/>
      <c r="W51" s="285"/>
      <c r="X51" s="285"/>
      <c r="Y51" s="285"/>
      <c r="Z51" s="286"/>
      <c r="AA51" s="284"/>
      <c r="AB51" s="285"/>
      <c r="AC51" s="285"/>
      <c r="AD51" s="285"/>
      <c r="AE51" s="285"/>
      <c r="AF51" s="285"/>
      <c r="AG51" s="285"/>
      <c r="AH51" s="285"/>
      <c r="AI51" s="285"/>
      <c r="AJ51" s="285"/>
      <c r="AK51" s="285"/>
      <c r="AL51" s="286"/>
    </row>
    <row r="52" spans="1:38">
      <c r="B52" s="30" t="s">
        <v>136</v>
      </c>
      <c r="O52" s="294"/>
      <c r="P52" s="295"/>
      <c r="Q52" s="295"/>
      <c r="R52" s="295"/>
      <c r="S52" s="295"/>
      <c r="T52" s="295"/>
      <c r="U52" s="295"/>
      <c r="V52" s="295"/>
      <c r="W52" s="295"/>
      <c r="X52" s="295"/>
      <c r="Y52" s="295"/>
      <c r="Z52" s="296"/>
      <c r="AA52" s="294"/>
      <c r="AB52" s="295"/>
      <c r="AC52" s="295"/>
      <c r="AD52" s="295"/>
      <c r="AE52" s="295"/>
      <c r="AF52" s="295"/>
      <c r="AG52" s="295"/>
      <c r="AH52" s="295"/>
      <c r="AI52" s="295"/>
      <c r="AJ52" s="295"/>
      <c r="AK52" s="295"/>
      <c r="AL52" s="296"/>
    </row>
    <row r="53" spans="1:38">
      <c r="B53" s="30" t="s">
        <v>137</v>
      </c>
      <c r="O53" s="281"/>
      <c r="P53" s="282"/>
      <c r="Q53" s="282"/>
      <c r="R53" s="282"/>
      <c r="S53" s="282"/>
      <c r="T53" s="282"/>
      <c r="U53" s="282"/>
      <c r="V53" s="282"/>
      <c r="W53" s="282"/>
      <c r="X53" s="282"/>
      <c r="Y53" s="282"/>
      <c r="Z53" s="283"/>
      <c r="AA53" s="281"/>
      <c r="AB53" s="282"/>
      <c r="AC53" s="282"/>
      <c r="AD53" s="282"/>
      <c r="AE53" s="282"/>
      <c r="AF53" s="282"/>
      <c r="AG53" s="282"/>
      <c r="AH53" s="282"/>
      <c r="AI53" s="282"/>
      <c r="AJ53" s="282"/>
      <c r="AK53" s="282"/>
      <c r="AL53" s="283"/>
    </row>
    <row r="54" spans="1:38">
      <c r="D54" s="30" t="s">
        <v>138</v>
      </c>
      <c r="O54" s="284"/>
      <c r="P54" s="285"/>
      <c r="Q54" s="285"/>
      <c r="R54" s="285"/>
      <c r="S54" s="285"/>
      <c r="T54" s="285"/>
      <c r="U54" s="285"/>
      <c r="V54" s="285"/>
      <c r="W54" s="285"/>
      <c r="X54" s="285"/>
      <c r="Y54" s="285"/>
      <c r="Z54" s="286"/>
      <c r="AA54" s="284"/>
      <c r="AB54" s="285"/>
      <c r="AC54" s="285"/>
      <c r="AD54" s="285"/>
      <c r="AE54" s="285"/>
      <c r="AF54" s="285"/>
      <c r="AG54" s="285"/>
      <c r="AH54" s="285"/>
      <c r="AI54" s="285"/>
      <c r="AJ54" s="285"/>
      <c r="AK54" s="285"/>
      <c r="AL54" s="286"/>
    </row>
    <row r="55" spans="1:38">
      <c r="B55" s="30" t="e">
        <f>+#REF!</f>
        <v>#REF!</v>
      </c>
      <c r="O55" s="294" t="s">
        <v>130</v>
      </c>
      <c r="P55" s="295"/>
      <c r="Q55" s="295"/>
      <c r="R55" s="295"/>
      <c r="S55" s="295"/>
      <c r="T55" s="295"/>
      <c r="U55" s="295"/>
      <c r="V55" s="295"/>
      <c r="W55" s="295"/>
      <c r="X55" s="295"/>
      <c r="Y55" s="295"/>
      <c r="Z55" s="296"/>
      <c r="AA55" s="294" t="s">
        <v>130</v>
      </c>
      <c r="AB55" s="295"/>
      <c r="AC55" s="295"/>
      <c r="AD55" s="295"/>
      <c r="AE55" s="295"/>
      <c r="AF55" s="295"/>
      <c r="AG55" s="295"/>
      <c r="AH55" s="295"/>
      <c r="AI55" s="295"/>
      <c r="AJ55" s="295"/>
      <c r="AK55" s="295"/>
      <c r="AL55" s="296"/>
    </row>
    <row r="60" spans="1:38">
      <c r="O60" s="30" t="s">
        <v>139</v>
      </c>
      <c r="Q60" s="36"/>
      <c r="R60" s="36"/>
      <c r="S60" s="36"/>
      <c r="T60" s="36"/>
      <c r="U60" s="36"/>
      <c r="V60" s="36"/>
      <c r="W60" s="36"/>
      <c r="X60" s="36"/>
      <c r="Y60" s="36"/>
      <c r="Z60" s="36"/>
      <c r="AA60" s="36"/>
      <c r="AB60" s="36"/>
      <c r="AC60" s="36"/>
      <c r="AD60" s="36"/>
      <c r="AE60" s="36"/>
      <c r="AF60" s="36"/>
      <c r="AG60" s="36"/>
      <c r="AH60" s="36"/>
      <c r="AI60" s="36"/>
      <c r="AJ60" s="36"/>
      <c r="AK60" s="36"/>
      <c r="AL60" s="36"/>
    </row>
    <row r="62" spans="1:38">
      <c r="O62" s="30" t="s">
        <v>140</v>
      </c>
      <c r="Q62" s="36"/>
      <c r="R62" s="36"/>
      <c r="S62" s="36"/>
      <c r="T62" s="36"/>
      <c r="U62" s="36"/>
      <c r="V62" s="36"/>
      <c r="W62" s="36"/>
      <c r="X62" s="36"/>
      <c r="Y62" s="36"/>
      <c r="Z62" s="36"/>
      <c r="AA62" s="36"/>
      <c r="AB62" s="36"/>
      <c r="AC62" s="36"/>
      <c r="AD62" s="36"/>
      <c r="AE62" s="36"/>
      <c r="AF62" s="36"/>
      <c r="AG62" s="36"/>
      <c r="AH62" s="36"/>
      <c r="AI62" s="36"/>
      <c r="AJ62" s="36"/>
      <c r="AK62" s="36"/>
      <c r="AL62" s="36"/>
    </row>
    <row r="68" spans="2:4">
      <c r="B68" s="30" t="s">
        <v>141</v>
      </c>
    </row>
    <row r="69" spans="2:4">
      <c r="B69" s="30" t="str">
        <f>+IF(D72&lt;0,"161","383")</f>
        <v>161</v>
      </c>
    </row>
    <row r="70" spans="2:4">
      <c r="B70" s="30" t="s">
        <v>142</v>
      </c>
    </row>
    <row r="72" spans="2:4">
      <c r="B72" s="92">
        <v>41701</v>
      </c>
      <c r="D72" s="93">
        <f>+Control!D11-B72</f>
        <v>-75</v>
      </c>
    </row>
    <row r="76" spans="2:4">
      <c r="B76" s="30" t="s">
        <v>143</v>
      </c>
    </row>
    <row r="77" spans="2:4">
      <c r="B77" s="30" t="str">
        <f>+IF(D72&lt;0,"161B","383")</f>
        <v>161B</v>
      </c>
    </row>
    <row r="78" spans="2:4">
      <c r="B78" s="30" t="s">
        <v>144</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1" type="noConversion"/>
  <pageMargins left="0.51181102362204722" right="0.31496062992125984" top="0.74803149606299213" bottom="0.74803149606299213" header="0.31496062992125984" footer="0.31496062992125984"/>
  <pageSetup paperSize="9" scale="96"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6">
    <pageSetUpPr fitToPage="1"/>
  </sheetPr>
  <dimension ref="A1:AQ78"/>
  <sheetViews>
    <sheetView topLeftCell="A25" workbookViewId="0">
      <selection activeCell="C55" sqref="C55"/>
    </sheetView>
  </sheetViews>
  <sheetFormatPr defaultColWidth="2.625" defaultRowHeight="12"/>
  <cols>
    <col min="1" max="14" width="2.625" style="30" customWidth="1"/>
    <col min="15" max="16" width="2.5" style="30" customWidth="1"/>
    <col min="17" max="17" width="2.625" style="30" customWidth="1"/>
    <col min="18" max="18" width="6" style="30" customWidth="1"/>
    <col min="19" max="20" width="2.5" style="30" customWidth="1"/>
    <col min="21" max="22" width="2.125" style="30" customWidth="1"/>
    <col min="23" max="25" width="2.5" style="30" customWidth="1"/>
    <col min="26" max="26" width="1.875" style="30" customWidth="1"/>
    <col min="27" max="29" width="2.5" style="30" customWidth="1"/>
    <col min="30" max="30" width="1.875" style="30" customWidth="1"/>
    <col min="31" max="33" width="2.5" style="30" customWidth="1"/>
    <col min="34" max="34" width="1.375" style="30" customWidth="1"/>
    <col min="35" max="35" width="2.5" style="30" customWidth="1"/>
    <col min="36" max="36" width="2.125" style="30" customWidth="1"/>
    <col min="37" max="37" width="1.625" style="30" customWidth="1"/>
    <col min="38" max="38" width="2.5" style="30" customWidth="1"/>
    <col min="39" max="42" width="2.625" style="30"/>
    <col min="43" max="43" width="11.375" style="30" bestFit="1" customWidth="1"/>
    <col min="44" max="256" width="2.625" style="30"/>
    <col min="257" max="270" width="2.625" style="30" customWidth="1"/>
    <col min="271" max="272" width="2.5" style="30" customWidth="1"/>
    <col min="273" max="273" width="2.625" style="30" customWidth="1"/>
    <col min="274" max="274" width="6" style="30" customWidth="1"/>
    <col min="275" max="276" width="2.5" style="30" customWidth="1"/>
    <col min="277" max="278" width="2.125" style="30" customWidth="1"/>
    <col min="279" max="281" width="2.5" style="30" customWidth="1"/>
    <col min="282" max="282" width="1.875" style="30" customWidth="1"/>
    <col min="283" max="285" width="2.5" style="30" customWidth="1"/>
    <col min="286" max="286" width="1.875" style="30" customWidth="1"/>
    <col min="287" max="289" width="2.5" style="30" customWidth="1"/>
    <col min="290" max="290" width="1.375" style="30" customWidth="1"/>
    <col min="291" max="291" width="2.5" style="30" customWidth="1"/>
    <col min="292" max="292" width="2.125" style="30" customWidth="1"/>
    <col min="293" max="293" width="1.625" style="30" customWidth="1"/>
    <col min="294" max="294" width="2.5" style="30" customWidth="1"/>
    <col min="295" max="512" width="2.625" style="30"/>
    <col min="513" max="526" width="2.625" style="30" customWidth="1"/>
    <col min="527" max="528" width="2.5" style="30" customWidth="1"/>
    <col min="529" max="529" width="2.625" style="30" customWidth="1"/>
    <col min="530" max="530" width="6" style="30" customWidth="1"/>
    <col min="531" max="532" width="2.5" style="30" customWidth="1"/>
    <col min="533" max="534" width="2.125" style="30" customWidth="1"/>
    <col min="535" max="537" width="2.5" style="30" customWidth="1"/>
    <col min="538" max="538" width="1.875" style="30" customWidth="1"/>
    <col min="539" max="541" width="2.5" style="30" customWidth="1"/>
    <col min="542" max="542" width="1.875" style="30" customWidth="1"/>
    <col min="543" max="545" width="2.5" style="30" customWidth="1"/>
    <col min="546" max="546" width="1.375" style="30" customWidth="1"/>
    <col min="547" max="547" width="2.5" style="30" customWidth="1"/>
    <col min="548" max="548" width="2.125" style="30" customWidth="1"/>
    <col min="549" max="549" width="1.625" style="30" customWidth="1"/>
    <col min="550" max="550" width="2.5" style="30" customWidth="1"/>
    <col min="551" max="768" width="2.625" style="30"/>
    <col min="769" max="782" width="2.625" style="30" customWidth="1"/>
    <col min="783" max="784" width="2.5" style="30" customWidth="1"/>
    <col min="785" max="785" width="2.625" style="30" customWidth="1"/>
    <col min="786" max="786" width="6" style="30" customWidth="1"/>
    <col min="787" max="788" width="2.5" style="30" customWidth="1"/>
    <col min="789" max="790" width="2.125" style="30" customWidth="1"/>
    <col min="791" max="793" width="2.5" style="30" customWidth="1"/>
    <col min="794" max="794" width="1.875" style="30" customWidth="1"/>
    <col min="795" max="797" width="2.5" style="30" customWidth="1"/>
    <col min="798" max="798" width="1.875" style="30" customWidth="1"/>
    <col min="799" max="801" width="2.5" style="30" customWidth="1"/>
    <col min="802" max="802" width="1.375" style="30" customWidth="1"/>
    <col min="803" max="803" width="2.5" style="30" customWidth="1"/>
    <col min="804" max="804" width="2.125" style="30" customWidth="1"/>
    <col min="805" max="805" width="1.625" style="30" customWidth="1"/>
    <col min="806" max="806" width="2.5" style="30" customWidth="1"/>
    <col min="807" max="1024" width="2.625" style="30"/>
    <col min="1025" max="1038" width="2.625" style="30" customWidth="1"/>
    <col min="1039" max="1040" width="2.5" style="30" customWidth="1"/>
    <col min="1041" max="1041" width="2.625" style="30" customWidth="1"/>
    <col min="1042" max="1042" width="6" style="30" customWidth="1"/>
    <col min="1043" max="1044" width="2.5" style="30" customWidth="1"/>
    <col min="1045" max="1046" width="2.125" style="30" customWidth="1"/>
    <col min="1047" max="1049" width="2.5" style="30" customWidth="1"/>
    <col min="1050" max="1050" width="1.875" style="30" customWidth="1"/>
    <col min="1051" max="1053" width="2.5" style="30" customWidth="1"/>
    <col min="1054" max="1054" width="1.875" style="30" customWidth="1"/>
    <col min="1055" max="1057" width="2.5" style="30" customWidth="1"/>
    <col min="1058" max="1058" width="1.375" style="30" customWidth="1"/>
    <col min="1059" max="1059" width="2.5" style="30" customWidth="1"/>
    <col min="1060" max="1060" width="2.125" style="30" customWidth="1"/>
    <col min="1061" max="1061" width="1.625" style="30" customWidth="1"/>
    <col min="1062" max="1062" width="2.5" style="30" customWidth="1"/>
    <col min="1063" max="1280" width="2.625" style="30"/>
    <col min="1281" max="1294" width="2.625" style="30" customWidth="1"/>
    <col min="1295" max="1296" width="2.5" style="30" customWidth="1"/>
    <col min="1297" max="1297" width="2.625" style="30" customWidth="1"/>
    <col min="1298" max="1298" width="6" style="30" customWidth="1"/>
    <col min="1299" max="1300" width="2.5" style="30" customWidth="1"/>
    <col min="1301" max="1302" width="2.125" style="30" customWidth="1"/>
    <col min="1303" max="1305" width="2.5" style="30" customWidth="1"/>
    <col min="1306" max="1306" width="1.875" style="30" customWidth="1"/>
    <col min="1307" max="1309" width="2.5" style="30" customWidth="1"/>
    <col min="1310" max="1310" width="1.875" style="30" customWidth="1"/>
    <col min="1311" max="1313" width="2.5" style="30" customWidth="1"/>
    <col min="1314" max="1314" width="1.375" style="30" customWidth="1"/>
    <col min="1315" max="1315" width="2.5" style="30" customWidth="1"/>
    <col min="1316" max="1316" width="2.125" style="30" customWidth="1"/>
    <col min="1317" max="1317" width="1.625" style="30" customWidth="1"/>
    <col min="1318" max="1318" width="2.5" style="30" customWidth="1"/>
    <col min="1319" max="1536" width="2.625" style="30"/>
    <col min="1537" max="1550" width="2.625" style="30" customWidth="1"/>
    <col min="1551" max="1552" width="2.5" style="30" customWidth="1"/>
    <col min="1553" max="1553" width="2.625" style="30" customWidth="1"/>
    <col min="1554" max="1554" width="6" style="30" customWidth="1"/>
    <col min="1555" max="1556" width="2.5" style="30" customWidth="1"/>
    <col min="1557" max="1558" width="2.125" style="30" customWidth="1"/>
    <col min="1559" max="1561" width="2.5" style="30" customWidth="1"/>
    <col min="1562" max="1562" width="1.875" style="30" customWidth="1"/>
    <col min="1563" max="1565" width="2.5" style="30" customWidth="1"/>
    <col min="1566" max="1566" width="1.875" style="30" customWidth="1"/>
    <col min="1567" max="1569" width="2.5" style="30" customWidth="1"/>
    <col min="1570" max="1570" width="1.375" style="30" customWidth="1"/>
    <col min="1571" max="1571" width="2.5" style="30" customWidth="1"/>
    <col min="1572" max="1572" width="2.125" style="30" customWidth="1"/>
    <col min="1573" max="1573" width="1.625" style="30" customWidth="1"/>
    <col min="1574" max="1574" width="2.5" style="30" customWidth="1"/>
    <col min="1575" max="1792" width="2.625" style="30"/>
    <col min="1793" max="1806" width="2.625" style="30" customWidth="1"/>
    <col min="1807" max="1808" width="2.5" style="30" customWidth="1"/>
    <col min="1809" max="1809" width="2.625" style="30" customWidth="1"/>
    <col min="1810" max="1810" width="6" style="30" customWidth="1"/>
    <col min="1811" max="1812" width="2.5" style="30" customWidth="1"/>
    <col min="1813" max="1814" width="2.125" style="30" customWidth="1"/>
    <col min="1815" max="1817" width="2.5" style="30" customWidth="1"/>
    <col min="1818" max="1818" width="1.875" style="30" customWidth="1"/>
    <col min="1819" max="1821" width="2.5" style="30" customWidth="1"/>
    <col min="1822" max="1822" width="1.875" style="30" customWidth="1"/>
    <col min="1823" max="1825" width="2.5" style="30" customWidth="1"/>
    <col min="1826" max="1826" width="1.375" style="30" customWidth="1"/>
    <col min="1827" max="1827" width="2.5" style="30" customWidth="1"/>
    <col min="1828" max="1828" width="2.125" style="30" customWidth="1"/>
    <col min="1829" max="1829" width="1.625" style="30" customWidth="1"/>
    <col min="1830" max="1830" width="2.5" style="30" customWidth="1"/>
    <col min="1831" max="2048" width="2.625" style="30"/>
    <col min="2049" max="2062" width="2.625" style="30" customWidth="1"/>
    <col min="2063" max="2064" width="2.5" style="30" customWidth="1"/>
    <col min="2065" max="2065" width="2.625" style="30" customWidth="1"/>
    <col min="2066" max="2066" width="6" style="30" customWidth="1"/>
    <col min="2067" max="2068" width="2.5" style="30" customWidth="1"/>
    <col min="2069" max="2070" width="2.125" style="30" customWidth="1"/>
    <col min="2071" max="2073" width="2.5" style="30" customWidth="1"/>
    <col min="2074" max="2074" width="1.875" style="30" customWidth="1"/>
    <col min="2075" max="2077" width="2.5" style="30" customWidth="1"/>
    <col min="2078" max="2078" width="1.875" style="30" customWidth="1"/>
    <col min="2079" max="2081" width="2.5" style="30" customWidth="1"/>
    <col min="2082" max="2082" width="1.375" style="30" customWidth="1"/>
    <col min="2083" max="2083" width="2.5" style="30" customWidth="1"/>
    <col min="2084" max="2084" width="2.125" style="30" customWidth="1"/>
    <col min="2085" max="2085" width="1.625" style="30" customWidth="1"/>
    <col min="2086" max="2086" width="2.5" style="30" customWidth="1"/>
    <col min="2087" max="2304" width="2.625" style="30"/>
    <col min="2305" max="2318" width="2.625" style="30" customWidth="1"/>
    <col min="2319" max="2320" width="2.5" style="30" customWidth="1"/>
    <col min="2321" max="2321" width="2.625" style="30" customWidth="1"/>
    <col min="2322" max="2322" width="6" style="30" customWidth="1"/>
    <col min="2323" max="2324" width="2.5" style="30" customWidth="1"/>
    <col min="2325" max="2326" width="2.125" style="30" customWidth="1"/>
    <col min="2327" max="2329" width="2.5" style="30" customWidth="1"/>
    <col min="2330" max="2330" width="1.875" style="30" customWidth="1"/>
    <col min="2331" max="2333" width="2.5" style="30" customWidth="1"/>
    <col min="2334" max="2334" width="1.875" style="30" customWidth="1"/>
    <col min="2335" max="2337" width="2.5" style="30" customWidth="1"/>
    <col min="2338" max="2338" width="1.375" style="30" customWidth="1"/>
    <col min="2339" max="2339" width="2.5" style="30" customWidth="1"/>
    <col min="2340" max="2340" width="2.125" style="30" customWidth="1"/>
    <col min="2341" max="2341" width="1.625" style="30" customWidth="1"/>
    <col min="2342" max="2342" width="2.5" style="30" customWidth="1"/>
    <col min="2343" max="2560" width="2.625" style="30"/>
    <col min="2561" max="2574" width="2.625" style="30" customWidth="1"/>
    <col min="2575" max="2576" width="2.5" style="30" customWidth="1"/>
    <col min="2577" max="2577" width="2.625" style="30" customWidth="1"/>
    <col min="2578" max="2578" width="6" style="30" customWidth="1"/>
    <col min="2579" max="2580" width="2.5" style="30" customWidth="1"/>
    <col min="2581" max="2582" width="2.125" style="30" customWidth="1"/>
    <col min="2583" max="2585" width="2.5" style="30" customWidth="1"/>
    <col min="2586" max="2586" width="1.875" style="30" customWidth="1"/>
    <col min="2587" max="2589" width="2.5" style="30" customWidth="1"/>
    <col min="2590" max="2590" width="1.875" style="30" customWidth="1"/>
    <col min="2591" max="2593" width="2.5" style="30" customWidth="1"/>
    <col min="2594" max="2594" width="1.375" style="30" customWidth="1"/>
    <col min="2595" max="2595" width="2.5" style="30" customWidth="1"/>
    <col min="2596" max="2596" width="2.125" style="30" customWidth="1"/>
    <col min="2597" max="2597" width="1.625" style="30" customWidth="1"/>
    <col min="2598" max="2598" width="2.5" style="30" customWidth="1"/>
    <col min="2599" max="2816" width="2.625" style="30"/>
    <col min="2817" max="2830" width="2.625" style="30" customWidth="1"/>
    <col min="2831" max="2832" width="2.5" style="30" customWidth="1"/>
    <col min="2833" max="2833" width="2.625" style="30" customWidth="1"/>
    <col min="2834" max="2834" width="6" style="30" customWidth="1"/>
    <col min="2835" max="2836" width="2.5" style="30" customWidth="1"/>
    <col min="2837" max="2838" width="2.125" style="30" customWidth="1"/>
    <col min="2839" max="2841" width="2.5" style="30" customWidth="1"/>
    <col min="2842" max="2842" width="1.875" style="30" customWidth="1"/>
    <col min="2843" max="2845" width="2.5" style="30" customWidth="1"/>
    <col min="2846" max="2846" width="1.875" style="30" customWidth="1"/>
    <col min="2847" max="2849" width="2.5" style="30" customWidth="1"/>
    <col min="2850" max="2850" width="1.375" style="30" customWidth="1"/>
    <col min="2851" max="2851" width="2.5" style="30" customWidth="1"/>
    <col min="2852" max="2852" width="2.125" style="30" customWidth="1"/>
    <col min="2853" max="2853" width="1.625" style="30" customWidth="1"/>
    <col min="2854" max="2854" width="2.5" style="30" customWidth="1"/>
    <col min="2855" max="3072" width="2.625" style="30"/>
    <col min="3073" max="3086" width="2.625" style="30" customWidth="1"/>
    <col min="3087" max="3088" width="2.5" style="30" customWidth="1"/>
    <col min="3089" max="3089" width="2.625" style="30" customWidth="1"/>
    <col min="3090" max="3090" width="6" style="30" customWidth="1"/>
    <col min="3091" max="3092" width="2.5" style="30" customWidth="1"/>
    <col min="3093" max="3094" width="2.125" style="30" customWidth="1"/>
    <col min="3095" max="3097" width="2.5" style="30" customWidth="1"/>
    <col min="3098" max="3098" width="1.875" style="30" customWidth="1"/>
    <col min="3099" max="3101" width="2.5" style="30" customWidth="1"/>
    <col min="3102" max="3102" width="1.875" style="30" customWidth="1"/>
    <col min="3103" max="3105" width="2.5" style="30" customWidth="1"/>
    <col min="3106" max="3106" width="1.375" style="30" customWidth="1"/>
    <col min="3107" max="3107" width="2.5" style="30" customWidth="1"/>
    <col min="3108" max="3108" width="2.125" style="30" customWidth="1"/>
    <col min="3109" max="3109" width="1.625" style="30" customWidth="1"/>
    <col min="3110" max="3110" width="2.5" style="30" customWidth="1"/>
    <col min="3111" max="3328" width="2.625" style="30"/>
    <col min="3329" max="3342" width="2.625" style="30" customWidth="1"/>
    <col min="3343" max="3344" width="2.5" style="30" customWidth="1"/>
    <col min="3345" max="3345" width="2.625" style="30" customWidth="1"/>
    <col min="3346" max="3346" width="6" style="30" customWidth="1"/>
    <col min="3347" max="3348" width="2.5" style="30" customWidth="1"/>
    <col min="3349" max="3350" width="2.125" style="30" customWidth="1"/>
    <col min="3351" max="3353" width="2.5" style="30" customWidth="1"/>
    <col min="3354" max="3354" width="1.875" style="30" customWidth="1"/>
    <col min="3355" max="3357" width="2.5" style="30" customWidth="1"/>
    <col min="3358" max="3358" width="1.875" style="30" customWidth="1"/>
    <col min="3359" max="3361" width="2.5" style="30" customWidth="1"/>
    <col min="3362" max="3362" width="1.375" style="30" customWidth="1"/>
    <col min="3363" max="3363" width="2.5" style="30" customWidth="1"/>
    <col min="3364" max="3364" width="2.125" style="30" customWidth="1"/>
    <col min="3365" max="3365" width="1.625" style="30" customWidth="1"/>
    <col min="3366" max="3366" width="2.5" style="30" customWidth="1"/>
    <col min="3367" max="3584" width="2.625" style="30"/>
    <col min="3585" max="3598" width="2.625" style="30" customWidth="1"/>
    <col min="3599" max="3600" width="2.5" style="30" customWidth="1"/>
    <col min="3601" max="3601" width="2.625" style="30" customWidth="1"/>
    <col min="3602" max="3602" width="6" style="30" customWidth="1"/>
    <col min="3603" max="3604" width="2.5" style="30" customWidth="1"/>
    <col min="3605" max="3606" width="2.125" style="30" customWidth="1"/>
    <col min="3607" max="3609" width="2.5" style="30" customWidth="1"/>
    <col min="3610" max="3610" width="1.875" style="30" customWidth="1"/>
    <col min="3611" max="3613" width="2.5" style="30" customWidth="1"/>
    <col min="3614" max="3614" width="1.875" style="30" customWidth="1"/>
    <col min="3615" max="3617" width="2.5" style="30" customWidth="1"/>
    <col min="3618" max="3618" width="1.375" style="30" customWidth="1"/>
    <col min="3619" max="3619" width="2.5" style="30" customWidth="1"/>
    <col min="3620" max="3620" width="2.125" style="30" customWidth="1"/>
    <col min="3621" max="3621" width="1.625" style="30" customWidth="1"/>
    <col min="3622" max="3622" width="2.5" style="30" customWidth="1"/>
    <col min="3623" max="3840" width="2.625" style="30"/>
    <col min="3841" max="3854" width="2.625" style="30" customWidth="1"/>
    <col min="3855" max="3856" width="2.5" style="30" customWidth="1"/>
    <col min="3857" max="3857" width="2.625" style="30" customWidth="1"/>
    <col min="3858" max="3858" width="6" style="30" customWidth="1"/>
    <col min="3859" max="3860" width="2.5" style="30" customWidth="1"/>
    <col min="3861" max="3862" width="2.125" style="30" customWidth="1"/>
    <col min="3863" max="3865" width="2.5" style="30" customWidth="1"/>
    <col min="3866" max="3866" width="1.875" style="30" customWidth="1"/>
    <col min="3867" max="3869" width="2.5" style="30" customWidth="1"/>
    <col min="3870" max="3870" width="1.875" style="30" customWidth="1"/>
    <col min="3871" max="3873" width="2.5" style="30" customWidth="1"/>
    <col min="3874" max="3874" width="1.375" style="30" customWidth="1"/>
    <col min="3875" max="3875" width="2.5" style="30" customWidth="1"/>
    <col min="3876" max="3876" width="2.125" style="30" customWidth="1"/>
    <col min="3877" max="3877" width="1.625" style="30" customWidth="1"/>
    <col min="3878" max="3878" width="2.5" style="30" customWidth="1"/>
    <col min="3879" max="4096" width="2.625" style="30"/>
    <col min="4097" max="4110" width="2.625" style="30" customWidth="1"/>
    <col min="4111" max="4112" width="2.5" style="30" customWidth="1"/>
    <col min="4113" max="4113" width="2.625" style="30" customWidth="1"/>
    <col min="4114" max="4114" width="6" style="30" customWidth="1"/>
    <col min="4115" max="4116" width="2.5" style="30" customWidth="1"/>
    <col min="4117" max="4118" width="2.125" style="30" customWidth="1"/>
    <col min="4119" max="4121" width="2.5" style="30" customWidth="1"/>
    <col min="4122" max="4122" width="1.875" style="30" customWidth="1"/>
    <col min="4123" max="4125" width="2.5" style="30" customWidth="1"/>
    <col min="4126" max="4126" width="1.875" style="30" customWidth="1"/>
    <col min="4127" max="4129" width="2.5" style="30" customWidth="1"/>
    <col min="4130" max="4130" width="1.375" style="30" customWidth="1"/>
    <col min="4131" max="4131" width="2.5" style="30" customWidth="1"/>
    <col min="4132" max="4132" width="2.125" style="30" customWidth="1"/>
    <col min="4133" max="4133" width="1.625" style="30" customWidth="1"/>
    <col min="4134" max="4134" width="2.5" style="30" customWidth="1"/>
    <col min="4135" max="4352" width="2.625" style="30"/>
    <col min="4353" max="4366" width="2.625" style="30" customWidth="1"/>
    <col min="4367" max="4368" width="2.5" style="30" customWidth="1"/>
    <col min="4369" max="4369" width="2.625" style="30" customWidth="1"/>
    <col min="4370" max="4370" width="6" style="30" customWidth="1"/>
    <col min="4371" max="4372" width="2.5" style="30" customWidth="1"/>
    <col min="4373" max="4374" width="2.125" style="30" customWidth="1"/>
    <col min="4375" max="4377" width="2.5" style="30" customWidth="1"/>
    <col min="4378" max="4378" width="1.875" style="30" customWidth="1"/>
    <col min="4379" max="4381" width="2.5" style="30" customWidth="1"/>
    <col min="4382" max="4382" width="1.875" style="30" customWidth="1"/>
    <col min="4383" max="4385" width="2.5" style="30" customWidth="1"/>
    <col min="4386" max="4386" width="1.375" style="30" customWidth="1"/>
    <col min="4387" max="4387" width="2.5" style="30" customWidth="1"/>
    <col min="4388" max="4388" width="2.125" style="30" customWidth="1"/>
    <col min="4389" max="4389" width="1.625" style="30" customWidth="1"/>
    <col min="4390" max="4390" width="2.5" style="30" customWidth="1"/>
    <col min="4391" max="4608" width="2.625" style="30"/>
    <col min="4609" max="4622" width="2.625" style="30" customWidth="1"/>
    <col min="4623" max="4624" width="2.5" style="30" customWidth="1"/>
    <col min="4625" max="4625" width="2.625" style="30" customWidth="1"/>
    <col min="4626" max="4626" width="6" style="30" customWidth="1"/>
    <col min="4627" max="4628" width="2.5" style="30" customWidth="1"/>
    <col min="4629" max="4630" width="2.125" style="30" customWidth="1"/>
    <col min="4631" max="4633" width="2.5" style="30" customWidth="1"/>
    <col min="4634" max="4634" width="1.875" style="30" customWidth="1"/>
    <col min="4635" max="4637" width="2.5" style="30" customWidth="1"/>
    <col min="4638" max="4638" width="1.875" style="30" customWidth="1"/>
    <col min="4639" max="4641" width="2.5" style="30" customWidth="1"/>
    <col min="4642" max="4642" width="1.375" style="30" customWidth="1"/>
    <col min="4643" max="4643" width="2.5" style="30" customWidth="1"/>
    <col min="4644" max="4644" width="2.125" style="30" customWidth="1"/>
    <col min="4645" max="4645" width="1.625" style="30" customWidth="1"/>
    <col min="4646" max="4646" width="2.5" style="30" customWidth="1"/>
    <col min="4647" max="4864" width="2.625" style="30"/>
    <col min="4865" max="4878" width="2.625" style="30" customWidth="1"/>
    <col min="4879" max="4880" width="2.5" style="30" customWidth="1"/>
    <col min="4881" max="4881" width="2.625" style="30" customWidth="1"/>
    <col min="4882" max="4882" width="6" style="30" customWidth="1"/>
    <col min="4883" max="4884" width="2.5" style="30" customWidth="1"/>
    <col min="4885" max="4886" width="2.125" style="30" customWidth="1"/>
    <col min="4887" max="4889" width="2.5" style="30" customWidth="1"/>
    <col min="4890" max="4890" width="1.875" style="30" customWidth="1"/>
    <col min="4891" max="4893" width="2.5" style="30" customWidth="1"/>
    <col min="4894" max="4894" width="1.875" style="30" customWidth="1"/>
    <col min="4895" max="4897" width="2.5" style="30" customWidth="1"/>
    <col min="4898" max="4898" width="1.375" style="30" customWidth="1"/>
    <col min="4899" max="4899" width="2.5" style="30" customWidth="1"/>
    <col min="4900" max="4900" width="2.125" style="30" customWidth="1"/>
    <col min="4901" max="4901" width="1.625" style="30" customWidth="1"/>
    <col min="4902" max="4902" width="2.5" style="30" customWidth="1"/>
    <col min="4903" max="5120" width="2.625" style="30"/>
    <col min="5121" max="5134" width="2.625" style="30" customWidth="1"/>
    <col min="5135" max="5136" width="2.5" style="30" customWidth="1"/>
    <col min="5137" max="5137" width="2.625" style="30" customWidth="1"/>
    <col min="5138" max="5138" width="6" style="30" customWidth="1"/>
    <col min="5139" max="5140" width="2.5" style="30" customWidth="1"/>
    <col min="5141" max="5142" width="2.125" style="30" customWidth="1"/>
    <col min="5143" max="5145" width="2.5" style="30" customWidth="1"/>
    <col min="5146" max="5146" width="1.875" style="30" customWidth="1"/>
    <col min="5147" max="5149" width="2.5" style="30" customWidth="1"/>
    <col min="5150" max="5150" width="1.875" style="30" customWidth="1"/>
    <col min="5151" max="5153" width="2.5" style="30" customWidth="1"/>
    <col min="5154" max="5154" width="1.375" style="30" customWidth="1"/>
    <col min="5155" max="5155" width="2.5" style="30" customWidth="1"/>
    <col min="5156" max="5156" width="2.125" style="30" customWidth="1"/>
    <col min="5157" max="5157" width="1.625" style="30" customWidth="1"/>
    <col min="5158" max="5158" width="2.5" style="30" customWidth="1"/>
    <col min="5159" max="5376" width="2.625" style="30"/>
    <col min="5377" max="5390" width="2.625" style="30" customWidth="1"/>
    <col min="5391" max="5392" width="2.5" style="30" customWidth="1"/>
    <col min="5393" max="5393" width="2.625" style="30" customWidth="1"/>
    <col min="5394" max="5394" width="6" style="30" customWidth="1"/>
    <col min="5395" max="5396" width="2.5" style="30" customWidth="1"/>
    <col min="5397" max="5398" width="2.125" style="30" customWidth="1"/>
    <col min="5399" max="5401" width="2.5" style="30" customWidth="1"/>
    <col min="5402" max="5402" width="1.875" style="30" customWidth="1"/>
    <col min="5403" max="5405" width="2.5" style="30" customWidth="1"/>
    <col min="5406" max="5406" width="1.875" style="30" customWidth="1"/>
    <col min="5407" max="5409" width="2.5" style="30" customWidth="1"/>
    <col min="5410" max="5410" width="1.375" style="30" customWidth="1"/>
    <col min="5411" max="5411" width="2.5" style="30" customWidth="1"/>
    <col min="5412" max="5412" width="2.125" style="30" customWidth="1"/>
    <col min="5413" max="5413" width="1.625" style="30" customWidth="1"/>
    <col min="5414" max="5414" width="2.5" style="30" customWidth="1"/>
    <col min="5415" max="5632" width="2.625" style="30"/>
    <col min="5633" max="5646" width="2.625" style="30" customWidth="1"/>
    <col min="5647" max="5648" width="2.5" style="30" customWidth="1"/>
    <col min="5649" max="5649" width="2.625" style="30" customWidth="1"/>
    <col min="5650" max="5650" width="6" style="30" customWidth="1"/>
    <col min="5651" max="5652" width="2.5" style="30" customWidth="1"/>
    <col min="5653" max="5654" width="2.125" style="30" customWidth="1"/>
    <col min="5655" max="5657" width="2.5" style="30" customWidth="1"/>
    <col min="5658" max="5658" width="1.875" style="30" customWidth="1"/>
    <col min="5659" max="5661" width="2.5" style="30" customWidth="1"/>
    <col min="5662" max="5662" width="1.875" style="30" customWidth="1"/>
    <col min="5663" max="5665" width="2.5" style="30" customWidth="1"/>
    <col min="5666" max="5666" width="1.375" style="30" customWidth="1"/>
    <col min="5667" max="5667" width="2.5" style="30" customWidth="1"/>
    <col min="5668" max="5668" width="2.125" style="30" customWidth="1"/>
    <col min="5669" max="5669" width="1.625" style="30" customWidth="1"/>
    <col min="5670" max="5670" width="2.5" style="30" customWidth="1"/>
    <col min="5671" max="5888" width="2.625" style="30"/>
    <col min="5889" max="5902" width="2.625" style="30" customWidth="1"/>
    <col min="5903" max="5904" width="2.5" style="30" customWidth="1"/>
    <col min="5905" max="5905" width="2.625" style="30" customWidth="1"/>
    <col min="5906" max="5906" width="6" style="30" customWidth="1"/>
    <col min="5907" max="5908" width="2.5" style="30" customWidth="1"/>
    <col min="5909" max="5910" width="2.125" style="30" customWidth="1"/>
    <col min="5911" max="5913" width="2.5" style="30" customWidth="1"/>
    <col min="5914" max="5914" width="1.875" style="30" customWidth="1"/>
    <col min="5915" max="5917" width="2.5" style="30" customWidth="1"/>
    <col min="5918" max="5918" width="1.875" style="30" customWidth="1"/>
    <col min="5919" max="5921" width="2.5" style="30" customWidth="1"/>
    <col min="5922" max="5922" width="1.375" style="30" customWidth="1"/>
    <col min="5923" max="5923" width="2.5" style="30" customWidth="1"/>
    <col min="5924" max="5924" width="2.125" style="30" customWidth="1"/>
    <col min="5925" max="5925" width="1.625" style="30" customWidth="1"/>
    <col min="5926" max="5926" width="2.5" style="30" customWidth="1"/>
    <col min="5927" max="6144" width="2.625" style="30"/>
    <col min="6145" max="6158" width="2.625" style="30" customWidth="1"/>
    <col min="6159" max="6160" width="2.5" style="30" customWidth="1"/>
    <col min="6161" max="6161" width="2.625" style="30" customWidth="1"/>
    <col min="6162" max="6162" width="6" style="30" customWidth="1"/>
    <col min="6163" max="6164" width="2.5" style="30" customWidth="1"/>
    <col min="6165" max="6166" width="2.125" style="30" customWidth="1"/>
    <col min="6167" max="6169" width="2.5" style="30" customWidth="1"/>
    <col min="6170" max="6170" width="1.875" style="30" customWidth="1"/>
    <col min="6171" max="6173" width="2.5" style="30" customWidth="1"/>
    <col min="6174" max="6174" width="1.875" style="30" customWidth="1"/>
    <col min="6175" max="6177" width="2.5" style="30" customWidth="1"/>
    <col min="6178" max="6178" width="1.375" style="30" customWidth="1"/>
    <col min="6179" max="6179" width="2.5" style="30" customWidth="1"/>
    <col min="6180" max="6180" width="2.125" style="30" customWidth="1"/>
    <col min="6181" max="6181" width="1.625" style="30" customWidth="1"/>
    <col min="6182" max="6182" width="2.5" style="30" customWidth="1"/>
    <col min="6183" max="6400" width="2.625" style="30"/>
    <col min="6401" max="6414" width="2.625" style="30" customWidth="1"/>
    <col min="6415" max="6416" width="2.5" style="30" customWidth="1"/>
    <col min="6417" max="6417" width="2.625" style="30" customWidth="1"/>
    <col min="6418" max="6418" width="6" style="30" customWidth="1"/>
    <col min="6419" max="6420" width="2.5" style="30" customWidth="1"/>
    <col min="6421" max="6422" width="2.125" style="30" customWidth="1"/>
    <col min="6423" max="6425" width="2.5" style="30" customWidth="1"/>
    <col min="6426" max="6426" width="1.875" style="30" customWidth="1"/>
    <col min="6427" max="6429" width="2.5" style="30" customWidth="1"/>
    <col min="6430" max="6430" width="1.875" style="30" customWidth="1"/>
    <col min="6431" max="6433" width="2.5" style="30" customWidth="1"/>
    <col min="6434" max="6434" width="1.375" style="30" customWidth="1"/>
    <col min="6435" max="6435" width="2.5" style="30" customWidth="1"/>
    <col min="6436" max="6436" width="2.125" style="30" customWidth="1"/>
    <col min="6437" max="6437" width="1.625" style="30" customWidth="1"/>
    <col min="6438" max="6438" width="2.5" style="30" customWidth="1"/>
    <col min="6439" max="6656" width="2.625" style="30"/>
    <col min="6657" max="6670" width="2.625" style="30" customWidth="1"/>
    <col min="6671" max="6672" width="2.5" style="30" customWidth="1"/>
    <col min="6673" max="6673" width="2.625" style="30" customWidth="1"/>
    <col min="6674" max="6674" width="6" style="30" customWidth="1"/>
    <col min="6675" max="6676" width="2.5" style="30" customWidth="1"/>
    <col min="6677" max="6678" width="2.125" style="30" customWidth="1"/>
    <col min="6679" max="6681" width="2.5" style="30" customWidth="1"/>
    <col min="6682" max="6682" width="1.875" style="30" customWidth="1"/>
    <col min="6683" max="6685" width="2.5" style="30" customWidth="1"/>
    <col min="6686" max="6686" width="1.875" style="30" customWidth="1"/>
    <col min="6687" max="6689" width="2.5" style="30" customWidth="1"/>
    <col min="6690" max="6690" width="1.375" style="30" customWidth="1"/>
    <col min="6691" max="6691" width="2.5" style="30" customWidth="1"/>
    <col min="6692" max="6692" width="2.125" style="30" customWidth="1"/>
    <col min="6693" max="6693" width="1.625" style="30" customWidth="1"/>
    <col min="6694" max="6694" width="2.5" style="30" customWidth="1"/>
    <col min="6695" max="6912" width="2.625" style="30"/>
    <col min="6913" max="6926" width="2.625" style="30" customWidth="1"/>
    <col min="6927" max="6928" width="2.5" style="30" customWidth="1"/>
    <col min="6929" max="6929" width="2.625" style="30" customWidth="1"/>
    <col min="6930" max="6930" width="6" style="30" customWidth="1"/>
    <col min="6931" max="6932" width="2.5" style="30" customWidth="1"/>
    <col min="6933" max="6934" width="2.125" style="30" customWidth="1"/>
    <col min="6935" max="6937" width="2.5" style="30" customWidth="1"/>
    <col min="6938" max="6938" width="1.875" style="30" customWidth="1"/>
    <col min="6939" max="6941" width="2.5" style="30" customWidth="1"/>
    <col min="6942" max="6942" width="1.875" style="30" customWidth="1"/>
    <col min="6943" max="6945" width="2.5" style="30" customWidth="1"/>
    <col min="6946" max="6946" width="1.375" style="30" customWidth="1"/>
    <col min="6947" max="6947" width="2.5" style="30" customWidth="1"/>
    <col min="6948" max="6948" width="2.125" style="30" customWidth="1"/>
    <col min="6949" max="6949" width="1.625" style="30" customWidth="1"/>
    <col min="6950" max="6950" width="2.5" style="30" customWidth="1"/>
    <col min="6951" max="7168" width="2.625" style="30"/>
    <col min="7169" max="7182" width="2.625" style="30" customWidth="1"/>
    <col min="7183" max="7184" width="2.5" style="30" customWidth="1"/>
    <col min="7185" max="7185" width="2.625" style="30" customWidth="1"/>
    <col min="7186" max="7186" width="6" style="30" customWidth="1"/>
    <col min="7187" max="7188" width="2.5" style="30" customWidth="1"/>
    <col min="7189" max="7190" width="2.125" style="30" customWidth="1"/>
    <col min="7191" max="7193" width="2.5" style="30" customWidth="1"/>
    <col min="7194" max="7194" width="1.875" style="30" customWidth="1"/>
    <col min="7195" max="7197" width="2.5" style="30" customWidth="1"/>
    <col min="7198" max="7198" width="1.875" style="30" customWidth="1"/>
    <col min="7199" max="7201" width="2.5" style="30" customWidth="1"/>
    <col min="7202" max="7202" width="1.375" style="30" customWidth="1"/>
    <col min="7203" max="7203" width="2.5" style="30" customWidth="1"/>
    <col min="7204" max="7204" width="2.125" style="30" customWidth="1"/>
    <col min="7205" max="7205" width="1.625" style="30" customWidth="1"/>
    <col min="7206" max="7206" width="2.5" style="30" customWidth="1"/>
    <col min="7207" max="7424" width="2.625" style="30"/>
    <col min="7425" max="7438" width="2.625" style="30" customWidth="1"/>
    <col min="7439" max="7440" width="2.5" style="30" customWidth="1"/>
    <col min="7441" max="7441" width="2.625" style="30" customWidth="1"/>
    <col min="7442" max="7442" width="6" style="30" customWidth="1"/>
    <col min="7443" max="7444" width="2.5" style="30" customWidth="1"/>
    <col min="7445" max="7446" width="2.125" style="30" customWidth="1"/>
    <col min="7447" max="7449" width="2.5" style="30" customWidth="1"/>
    <col min="7450" max="7450" width="1.875" style="30" customWidth="1"/>
    <col min="7451" max="7453" width="2.5" style="30" customWidth="1"/>
    <col min="7454" max="7454" width="1.875" style="30" customWidth="1"/>
    <col min="7455" max="7457" width="2.5" style="30" customWidth="1"/>
    <col min="7458" max="7458" width="1.375" style="30" customWidth="1"/>
    <col min="7459" max="7459" width="2.5" style="30" customWidth="1"/>
    <col min="7460" max="7460" width="2.125" style="30" customWidth="1"/>
    <col min="7461" max="7461" width="1.625" style="30" customWidth="1"/>
    <col min="7462" max="7462" width="2.5" style="30" customWidth="1"/>
    <col min="7463" max="7680" width="2.625" style="30"/>
    <col min="7681" max="7694" width="2.625" style="30" customWidth="1"/>
    <col min="7695" max="7696" width="2.5" style="30" customWidth="1"/>
    <col min="7697" max="7697" width="2.625" style="30" customWidth="1"/>
    <col min="7698" max="7698" width="6" style="30" customWidth="1"/>
    <col min="7699" max="7700" width="2.5" style="30" customWidth="1"/>
    <col min="7701" max="7702" width="2.125" style="30" customWidth="1"/>
    <col min="7703" max="7705" width="2.5" style="30" customWidth="1"/>
    <col min="7706" max="7706" width="1.875" style="30" customWidth="1"/>
    <col min="7707" max="7709" width="2.5" style="30" customWidth="1"/>
    <col min="7710" max="7710" width="1.875" style="30" customWidth="1"/>
    <col min="7711" max="7713" width="2.5" style="30" customWidth="1"/>
    <col min="7714" max="7714" width="1.375" style="30" customWidth="1"/>
    <col min="7715" max="7715" width="2.5" style="30" customWidth="1"/>
    <col min="7716" max="7716" width="2.125" style="30" customWidth="1"/>
    <col min="7717" max="7717" width="1.625" style="30" customWidth="1"/>
    <col min="7718" max="7718" width="2.5" style="30" customWidth="1"/>
    <col min="7719" max="7936" width="2.625" style="30"/>
    <col min="7937" max="7950" width="2.625" style="30" customWidth="1"/>
    <col min="7951" max="7952" width="2.5" style="30" customWidth="1"/>
    <col min="7953" max="7953" width="2.625" style="30" customWidth="1"/>
    <col min="7954" max="7954" width="6" style="30" customWidth="1"/>
    <col min="7955" max="7956" width="2.5" style="30" customWidth="1"/>
    <col min="7957" max="7958" width="2.125" style="30" customWidth="1"/>
    <col min="7959" max="7961" width="2.5" style="30" customWidth="1"/>
    <col min="7962" max="7962" width="1.875" style="30" customWidth="1"/>
    <col min="7963" max="7965" width="2.5" style="30" customWidth="1"/>
    <col min="7966" max="7966" width="1.875" style="30" customWidth="1"/>
    <col min="7967" max="7969" width="2.5" style="30" customWidth="1"/>
    <col min="7970" max="7970" width="1.375" style="30" customWidth="1"/>
    <col min="7971" max="7971" width="2.5" style="30" customWidth="1"/>
    <col min="7972" max="7972" width="2.125" style="30" customWidth="1"/>
    <col min="7973" max="7973" width="1.625" style="30" customWidth="1"/>
    <col min="7974" max="7974" width="2.5" style="30" customWidth="1"/>
    <col min="7975" max="8192" width="2.625" style="30"/>
    <col min="8193" max="8206" width="2.625" style="30" customWidth="1"/>
    <col min="8207" max="8208" width="2.5" style="30" customWidth="1"/>
    <col min="8209" max="8209" width="2.625" style="30" customWidth="1"/>
    <col min="8210" max="8210" width="6" style="30" customWidth="1"/>
    <col min="8211" max="8212" width="2.5" style="30" customWidth="1"/>
    <col min="8213" max="8214" width="2.125" style="30" customWidth="1"/>
    <col min="8215" max="8217" width="2.5" style="30" customWidth="1"/>
    <col min="8218" max="8218" width="1.875" style="30" customWidth="1"/>
    <col min="8219" max="8221" width="2.5" style="30" customWidth="1"/>
    <col min="8222" max="8222" width="1.875" style="30" customWidth="1"/>
    <col min="8223" max="8225" width="2.5" style="30" customWidth="1"/>
    <col min="8226" max="8226" width="1.375" style="30" customWidth="1"/>
    <col min="8227" max="8227" width="2.5" style="30" customWidth="1"/>
    <col min="8228" max="8228" width="2.125" style="30" customWidth="1"/>
    <col min="8229" max="8229" width="1.625" style="30" customWidth="1"/>
    <col min="8230" max="8230" width="2.5" style="30" customWidth="1"/>
    <col min="8231" max="8448" width="2.625" style="30"/>
    <col min="8449" max="8462" width="2.625" style="30" customWidth="1"/>
    <col min="8463" max="8464" width="2.5" style="30" customWidth="1"/>
    <col min="8465" max="8465" width="2.625" style="30" customWidth="1"/>
    <col min="8466" max="8466" width="6" style="30" customWidth="1"/>
    <col min="8467" max="8468" width="2.5" style="30" customWidth="1"/>
    <col min="8469" max="8470" width="2.125" style="30" customWidth="1"/>
    <col min="8471" max="8473" width="2.5" style="30" customWidth="1"/>
    <col min="8474" max="8474" width="1.875" style="30" customWidth="1"/>
    <col min="8475" max="8477" width="2.5" style="30" customWidth="1"/>
    <col min="8478" max="8478" width="1.875" style="30" customWidth="1"/>
    <col min="8479" max="8481" width="2.5" style="30" customWidth="1"/>
    <col min="8482" max="8482" width="1.375" style="30" customWidth="1"/>
    <col min="8483" max="8483" width="2.5" style="30" customWidth="1"/>
    <col min="8484" max="8484" width="2.125" style="30" customWidth="1"/>
    <col min="8485" max="8485" width="1.625" style="30" customWidth="1"/>
    <col min="8486" max="8486" width="2.5" style="30" customWidth="1"/>
    <col min="8487" max="8704" width="2.625" style="30"/>
    <col min="8705" max="8718" width="2.625" style="30" customWidth="1"/>
    <col min="8719" max="8720" width="2.5" style="30" customWidth="1"/>
    <col min="8721" max="8721" width="2.625" style="30" customWidth="1"/>
    <col min="8722" max="8722" width="6" style="30" customWidth="1"/>
    <col min="8723" max="8724" width="2.5" style="30" customWidth="1"/>
    <col min="8725" max="8726" width="2.125" style="30" customWidth="1"/>
    <col min="8727" max="8729" width="2.5" style="30" customWidth="1"/>
    <col min="8730" max="8730" width="1.875" style="30" customWidth="1"/>
    <col min="8731" max="8733" width="2.5" style="30" customWidth="1"/>
    <col min="8734" max="8734" width="1.875" style="30" customWidth="1"/>
    <col min="8735" max="8737" width="2.5" style="30" customWidth="1"/>
    <col min="8738" max="8738" width="1.375" style="30" customWidth="1"/>
    <col min="8739" max="8739" width="2.5" style="30" customWidth="1"/>
    <col min="8740" max="8740" width="2.125" style="30" customWidth="1"/>
    <col min="8741" max="8741" width="1.625" style="30" customWidth="1"/>
    <col min="8742" max="8742" width="2.5" style="30" customWidth="1"/>
    <col min="8743" max="8960" width="2.625" style="30"/>
    <col min="8961" max="8974" width="2.625" style="30" customWidth="1"/>
    <col min="8975" max="8976" width="2.5" style="30" customWidth="1"/>
    <col min="8977" max="8977" width="2.625" style="30" customWidth="1"/>
    <col min="8978" max="8978" width="6" style="30" customWidth="1"/>
    <col min="8979" max="8980" width="2.5" style="30" customWidth="1"/>
    <col min="8981" max="8982" width="2.125" style="30" customWidth="1"/>
    <col min="8983" max="8985" width="2.5" style="30" customWidth="1"/>
    <col min="8986" max="8986" width="1.875" style="30" customWidth="1"/>
    <col min="8987" max="8989" width="2.5" style="30" customWidth="1"/>
    <col min="8990" max="8990" width="1.875" style="30" customWidth="1"/>
    <col min="8991" max="8993" width="2.5" style="30" customWidth="1"/>
    <col min="8994" max="8994" width="1.375" style="30" customWidth="1"/>
    <col min="8995" max="8995" width="2.5" style="30" customWidth="1"/>
    <col min="8996" max="8996" width="2.125" style="30" customWidth="1"/>
    <col min="8997" max="8997" width="1.625" style="30" customWidth="1"/>
    <col min="8998" max="8998" width="2.5" style="30" customWidth="1"/>
    <col min="8999" max="9216" width="2.625" style="30"/>
    <col min="9217" max="9230" width="2.625" style="30" customWidth="1"/>
    <col min="9231" max="9232" width="2.5" style="30" customWidth="1"/>
    <col min="9233" max="9233" width="2.625" style="30" customWidth="1"/>
    <col min="9234" max="9234" width="6" style="30" customWidth="1"/>
    <col min="9235" max="9236" width="2.5" style="30" customWidth="1"/>
    <col min="9237" max="9238" width="2.125" style="30" customWidth="1"/>
    <col min="9239" max="9241" width="2.5" style="30" customWidth="1"/>
    <col min="9242" max="9242" width="1.875" style="30" customWidth="1"/>
    <col min="9243" max="9245" width="2.5" style="30" customWidth="1"/>
    <col min="9246" max="9246" width="1.875" style="30" customWidth="1"/>
    <col min="9247" max="9249" width="2.5" style="30" customWidth="1"/>
    <col min="9250" max="9250" width="1.375" style="30" customWidth="1"/>
    <col min="9251" max="9251" width="2.5" style="30" customWidth="1"/>
    <col min="9252" max="9252" width="2.125" style="30" customWidth="1"/>
    <col min="9253" max="9253" width="1.625" style="30" customWidth="1"/>
    <col min="9254" max="9254" width="2.5" style="30" customWidth="1"/>
    <col min="9255" max="9472" width="2.625" style="30"/>
    <col min="9473" max="9486" width="2.625" style="30" customWidth="1"/>
    <col min="9487" max="9488" width="2.5" style="30" customWidth="1"/>
    <col min="9489" max="9489" width="2.625" style="30" customWidth="1"/>
    <col min="9490" max="9490" width="6" style="30" customWidth="1"/>
    <col min="9491" max="9492" width="2.5" style="30" customWidth="1"/>
    <col min="9493" max="9494" width="2.125" style="30" customWidth="1"/>
    <col min="9495" max="9497" width="2.5" style="30" customWidth="1"/>
    <col min="9498" max="9498" width="1.875" style="30" customWidth="1"/>
    <col min="9499" max="9501" width="2.5" style="30" customWidth="1"/>
    <col min="9502" max="9502" width="1.875" style="30" customWidth="1"/>
    <col min="9503" max="9505" width="2.5" style="30" customWidth="1"/>
    <col min="9506" max="9506" width="1.375" style="30" customWidth="1"/>
    <col min="9507" max="9507" width="2.5" style="30" customWidth="1"/>
    <col min="9508" max="9508" width="2.125" style="30" customWidth="1"/>
    <col min="9509" max="9509" width="1.625" style="30" customWidth="1"/>
    <col min="9510" max="9510" width="2.5" style="30" customWidth="1"/>
    <col min="9511" max="9728" width="2.625" style="30"/>
    <col min="9729" max="9742" width="2.625" style="30" customWidth="1"/>
    <col min="9743" max="9744" width="2.5" style="30" customWidth="1"/>
    <col min="9745" max="9745" width="2.625" style="30" customWidth="1"/>
    <col min="9746" max="9746" width="6" style="30" customWidth="1"/>
    <col min="9747" max="9748" width="2.5" style="30" customWidth="1"/>
    <col min="9749" max="9750" width="2.125" style="30" customWidth="1"/>
    <col min="9751" max="9753" width="2.5" style="30" customWidth="1"/>
    <col min="9754" max="9754" width="1.875" style="30" customWidth="1"/>
    <col min="9755" max="9757" width="2.5" style="30" customWidth="1"/>
    <col min="9758" max="9758" width="1.875" style="30" customWidth="1"/>
    <col min="9759" max="9761" width="2.5" style="30" customWidth="1"/>
    <col min="9762" max="9762" width="1.375" style="30" customWidth="1"/>
    <col min="9763" max="9763" width="2.5" style="30" customWidth="1"/>
    <col min="9764" max="9764" width="2.125" style="30" customWidth="1"/>
    <col min="9765" max="9765" width="1.625" style="30" customWidth="1"/>
    <col min="9766" max="9766" width="2.5" style="30" customWidth="1"/>
    <col min="9767" max="9984" width="2.625" style="30"/>
    <col min="9985" max="9998" width="2.625" style="30" customWidth="1"/>
    <col min="9999" max="10000" width="2.5" style="30" customWidth="1"/>
    <col min="10001" max="10001" width="2.625" style="30" customWidth="1"/>
    <col min="10002" max="10002" width="6" style="30" customWidth="1"/>
    <col min="10003" max="10004" width="2.5" style="30" customWidth="1"/>
    <col min="10005" max="10006" width="2.125" style="30" customWidth="1"/>
    <col min="10007" max="10009" width="2.5" style="30" customWidth="1"/>
    <col min="10010" max="10010" width="1.875" style="30" customWidth="1"/>
    <col min="10011" max="10013" width="2.5" style="30" customWidth="1"/>
    <col min="10014" max="10014" width="1.875" style="30" customWidth="1"/>
    <col min="10015" max="10017" width="2.5" style="30" customWidth="1"/>
    <col min="10018" max="10018" width="1.375" style="30" customWidth="1"/>
    <col min="10019" max="10019" width="2.5" style="30" customWidth="1"/>
    <col min="10020" max="10020" width="2.125" style="30" customWidth="1"/>
    <col min="10021" max="10021" width="1.625" style="30" customWidth="1"/>
    <col min="10022" max="10022" width="2.5" style="30" customWidth="1"/>
    <col min="10023" max="10240" width="2.625" style="30"/>
    <col min="10241" max="10254" width="2.625" style="30" customWidth="1"/>
    <col min="10255" max="10256" width="2.5" style="30" customWidth="1"/>
    <col min="10257" max="10257" width="2.625" style="30" customWidth="1"/>
    <col min="10258" max="10258" width="6" style="30" customWidth="1"/>
    <col min="10259" max="10260" width="2.5" style="30" customWidth="1"/>
    <col min="10261" max="10262" width="2.125" style="30" customWidth="1"/>
    <col min="10263" max="10265" width="2.5" style="30" customWidth="1"/>
    <col min="10266" max="10266" width="1.875" style="30" customWidth="1"/>
    <col min="10267" max="10269" width="2.5" style="30" customWidth="1"/>
    <col min="10270" max="10270" width="1.875" style="30" customWidth="1"/>
    <col min="10271" max="10273" width="2.5" style="30" customWidth="1"/>
    <col min="10274" max="10274" width="1.375" style="30" customWidth="1"/>
    <col min="10275" max="10275" width="2.5" style="30" customWidth="1"/>
    <col min="10276" max="10276" width="2.125" style="30" customWidth="1"/>
    <col min="10277" max="10277" width="1.625" style="30" customWidth="1"/>
    <col min="10278" max="10278" width="2.5" style="30" customWidth="1"/>
    <col min="10279" max="10496" width="2.625" style="30"/>
    <col min="10497" max="10510" width="2.625" style="30" customWidth="1"/>
    <col min="10511" max="10512" width="2.5" style="30" customWidth="1"/>
    <col min="10513" max="10513" width="2.625" style="30" customWidth="1"/>
    <col min="10514" max="10514" width="6" style="30" customWidth="1"/>
    <col min="10515" max="10516" width="2.5" style="30" customWidth="1"/>
    <col min="10517" max="10518" width="2.125" style="30" customWidth="1"/>
    <col min="10519" max="10521" width="2.5" style="30" customWidth="1"/>
    <col min="10522" max="10522" width="1.875" style="30" customWidth="1"/>
    <col min="10523" max="10525" width="2.5" style="30" customWidth="1"/>
    <col min="10526" max="10526" width="1.875" style="30" customWidth="1"/>
    <col min="10527" max="10529" width="2.5" style="30" customWidth="1"/>
    <col min="10530" max="10530" width="1.375" style="30" customWidth="1"/>
    <col min="10531" max="10531" width="2.5" style="30" customWidth="1"/>
    <col min="10532" max="10532" width="2.125" style="30" customWidth="1"/>
    <col min="10533" max="10533" width="1.625" style="30" customWidth="1"/>
    <col min="10534" max="10534" width="2.5" style="30" customWidth="1"/>
    <col min="10535" max="10752" width="2.625" style="30"/>
    <col min="10753" max="10766" width="2.625" style="30" customWidth="1"/>
    <col min="10767" max="10768" width="2.5" style="30" customWidth="1"/>
    <col min="10769" max="10769" width="2.625" style="30" customWidth="1"/>
    <col min="10770" max="10770" width="6" style="30" customWidth="1"/>
    <col min="10771" max="10772" width="2.5" style="30" customWidth="1"/>
    <col min="10773" max="10774" width="2.125" style="30" customWidth="1"/>
    <col min="10775" max="10777" width="2.5" style="30" customWidth="1"/>
    <col min="10778" max="10778" width="1.875" style="30" customWidth="1"/>
    <col min="10779" max="10781" width="2.5" style="30" customWidth="1"/>
    <col min="10782" max="10782" width="1.875" style="30" customWidth="1"/>
    <col min="10783" max="10785" width="2.5" style="30" customWidth="1"/>
    <col min="10786" max="10786" width="1.375" style="30" customWidth="1"/>
    <col min="10787" max="10787" width="2.5" style="30" customWidth="1"/>
    <col min="10788" max="10788" width="2.125" style="30" customWidth="1"/>
    <col min="10789" max="10789" width="1.625" style="30" customWidth="1"/>
    <col min="10790" max="10790" width="2.5" style="30" customWidth="1"/>
    <col min="10791" max="11008" width="2.625" style="30"/>
    <col min="11009" max="11022" width="2.625" style="30" customWidth="1"/>
    <col min="11023" max="11024" width="2.5" style="30" customWidth="1"/>
    <col min="11025" max="11025" width="2.625" style="30" customWidth="1"/>
    <col min="11026" max="11026" width="6" style="30" customWidth="1"/>
    <col min="11027" max="11028" width="2.5" style="30" customWidth="1"/>
    <col min="11029" max="11030" width="2.125" style="30" customWidth="1"/>
    <col min="11031" max="11033" width="2.5" style="30" customWidth="1"/>
    <col min="11034" max="11034" width="1.875" style="30" customWidth="1"/>
    <col min="11035" max="11037" width="2.5" style="30" customWidth="1"/>
    <col min="11038" max="11038" width="1.875" style="30" customWidth="1"/>
    <col min="11039" max="11041" width="2.5" style="30" customWidth="1"/>
    <col min="11042" max="11042" width="1.375" style="30" customWidth="1"/>
    <col min="11043" max="11043" width="2.5" style="30" customWidth="1"/>
    <col min="11044" max="11044" width="2.125" style="30" customWidth="1"/>
    <col min="11045" max="11045" width="1.625" style="30" customWidth="1"/>
    <col min="11046" max="11046" width="2.5" style="30" customWidth="1"/>
    <col min="11047" max="11264" width="2.625" style="30"/>
    <col min="11265" max="11278" width="2.625" style="30" customWidth="1"/>
    <col min="11279" max="11280" width="2.5" style="30" customWidth="1"/>
    <col min="11281" max="11281" width="2.625" style="30" customWidth="1"/>
    <col min="11282" max="11282" width="6" style="30" customWidth="1"/>
    <col min="11283" max="11284" width="2.5" style="30" customWidth="1"/>
    <col min="11285" max="11286" width="2.125" style="30" customWidth="1"/>
    <col min="11287" max="11289" width="2.5" style="30" customWidth="1"/>
    <col min="11290" max="11290" width="1.875" style="30" customWidth="1"/>
    <col min="11291" max="11293" width="2.5" style="30" customWidth="1"/>
    <col min="11294" max="11294" width="1.875" style="30" customWidth="1"/>
    <col min="11295" max="11297" width="2.5" style="30" customWidth="1"/>
    <col min="11298" max="11298" width="1.375" style="30" customWidth="1"/>
    <col min="11299" max="11299" width="2.5" style="30" customWidth="1"/>
    <col min="11300" max="11300" width="2.125" style="30" customWidth="1"/>
    <col min="11301" max="11301" width="1.625" style="30" customWidth="1"/>
    <col min="11302" max="11302" width="2.5" style="30" customWidth="1"/>
    <col min="11303" max="11520" width="2.625" style="30"/>
    <col min="11521" max="11534" width="2.625" style="30" customWidth="1"/>
    <col min="11535" max="11536" width="2.5" style="30" customWidth="1"/>
    <col min="11537" max="11537" width="2.625" style="30" customWidth="1"/>
    <col min="11538" max="11538" width="6" style="30" customWidth="1"/>
    <col min="11539" max="11540" width="2.5" style="30" customWidth="1"/>
    <col min="11541" max="11542" width="2.125" style="30" customWidth="1"/>
    <col min="11543" max="11545" width="2.5" style="30" customWidth="1"/>
    <col min="11546" max="11546" width="1.875" style="30" customWidth="1"/>
    <col min="11547" max="11549" width="2.5" style="30" customWidth="1"/>
    <col min="11550" max="11550" width="1.875" style="30" customWidth="1"/>
    <col min="11551" max="11553" width="2.5" style="30" customWidth="1"/>
    <col min="11554" max="11554" width="1.375" style="30" customWidth="1"/>
    <col min="11555" max="11555" width="2.5" style="30" customWidth="1"/>
    <col min="11556" max="11556" width="2.125" style="30" customWidth="1"/>
    <col min="11557" max="11557" width="1.625" style="30" customWidth="1"/>
    <col min="11558" max="11558" width="2.5" style="30" customWidth="1"/>
    <col min="11559" max="11776" width="2.625" style="30"/>
    <col min="11777" max="11790" width="2.625" style="30" customWidth="1"/>
    <col min="11791" max="11792" width="2.5" style="30" customWidth="1"/>
    <col min="11793" max="11793" width="2.625" style="30" customWidth="1"/>
    <col min="11794" max="11794" width="6" style="30" customWidth="1"/>
    <col min="11795" max="11796" width="2.5" style="30" customWidth="1"/>
    <col min="11797" max="11798" width="2.125" style="30" customWidth="1"/>
    <col min="11799" max="11801" width="2.5" style="30" customWidth="1"/>
    <col min="11802" max="11802" width="1.875" style="30" customWidth="1"/>
    <col min="11803" max="11805" width="2.5" style="30" customWidth="1"/>
    <col min="11806" max="11806" width="1.875" style="30" customWidth="1"/>
    <col min="11807" max="11809" width="2.5" style="30" customWidth="1"/>
    <col min="11810" max="11810" width="1.375" style="30" customWidth="1"/>
    <col min="11811" max="11811" width="2.5" style="30" customWidth="1"/>
    <col min="11812" max="11812" width="2.125" style="30" customWidth="1"/>
    <col min="11813" max="11813" width="1.625" style="30" customWidth="1"/>
    <col min="11814" max="11814" width="2.5" style="30" customWidth="1"/>
    <col min="11815" max="12032" width="2.625" style="30"/>
    <col min="12033" max="12046" width="2.625" style="30" customWidth="1"/>
    <col min="12047" max="12048" width="2.5" style="30" customWidth="1"/>
    <col min="12049" max="12049" width="2.625" style="30" customWidth="1"/>
    <col min="12050" max="12050" width="6" style="30" customWidth="1"/>
    <col min="12051" max="12052" width="2.5" style="30" customWidth="1"/>
    <col min="12053" max="12054" width="2.125" style="30" customWidth="1"/>
    <col min="12055" max="12057" width="2.5" style="30" customWidth="1"/>
    <col min="12058" max="12058" width="1.875" style="30" customWidth="1"/>
    <col min="12059" max="12061" width="2.5" style="30" customWidth="1"/>
    <col min="12062" max="12062" width="1.875" style="30" customWidth="1"/>
    <col min="12063" max="12065" width="2.5" style="30" customWidth="1"/>
    <col min="12066" max="12066" width="1.375" style="30" customWidth="1"/>
    <col min="12067" max="12067" width="2.5" style="30" customWidth="1"/>
    <col min="12068" max="12068" width="2.125" style="30" customWidth="1"/>
    <col min="12069" max="12069" width="1.625" style="30" customWidth="1"/>
    <col min="12070" max="12070" width="2.5" style="30" customWidth="1"/>
    <col min="12071" max="12288" width="2.625" style="30"/>
    <col min="12289" max="12302" width="2.625" style="30" customWidth="1"/>
    <col min="12303" max="12304" width="2.5" style="30" customWidth="1"/>
    <col min="12305" max="12305" width="2.625" style="30" customWidth="1"/>
    <col min="12306" max="12306" width="6" style="30" customWidth="1"/>
    <col min="12307" max="12308" width="2.5" style="30" customWidth="1"/>
    <col min="12309" max="12310" width="2.125" style="30" customWidth="1"/>
    <col min="12311" max="12313" width="2.5" style="30" customWidth="1"/>
    <col min="12314" max="12314" width="1.875" style="30" customWidth="1"/>
    <col min="12315" max="12317" width="2.5" style="30" customWidth="1"/>
    <col min="12318" max="12318" width="1.875" style="30" customWidth="1"/>
    <col min="12319" max="12321" width="2.5" style="30" customWidth="1"/>
    <col min="12322" max="12322" width="1.375" style="30" customWidth="1"/>
    <col min="12323" max="12323" width="2.5" style="30" customWidth="1"/>
    <col min="12324" max="12324" width="2.125" style="30" customWidth="1"/>
    <col min="12325" max="12325" width="1.625" style="30" customWidth="1"/>
    <col min="12326" max="12326" width="2.5" style="30" customWidth="1"/>
    <col min="12327" max="12544" width="2.625" style="30"/>
    <col min="12545" max="12558" width="2.625" style="30" customWidth="1"/>
    <col min="12559" max="12560" width="2.5" style="30" customWidth="1"/>
    <col min="12561" max="12561" width="2.625" style="30" customWidth="1"/>
    <col min="12562" max="12562" width="6" style="30" customWidth="1"/>
    <col min="12563" max="12564" width="2.5" style="30" customWidth="1"/>
    <col min="12565" max="12566" width="2.125" style="30" customWidth="1"/>
    <col min="12567" max="12569" width="2.5" style="30" customWidth="1"/>
    <col min="12570" max="12570" width="1.875" style="30" customWidth="1"/>
    <col min="12571" max="12573" width="2.5" style="30" customWidth="1"/>
    <col min="12574" max="12574" width="1.875" style="30" customWidth="1"/>
    <col min="12575" max="12577" width="2.5" style="30" customWidth="1"/>
    <col min="12578" max="12578" width="1.375" style="30" customWidth="1"/>
    <col min="12579" max="12579" width="2.5" style="30" customWidth="1"/>
    <col min="12580" max="12580" width="2.125" style="30" customWidth="1"/>
    <col min="12581" max="12581" width="1.625" style="30" customWidth="1"/>
    <col min="12582" max="12582" width="2.5" style="30" customWidth="1"/>
    <col min="12583" max="12800" width="2.625" style="30"/>
    <col min="12801" max="12814" width="2.625" style="30" customWidth="1"/>
    <col min="12815" max="12816" width="2.5" style="30" customWidth="1"/>
    <col min="12817" max="12817" width="2.625" style="30" customWidth="1"/>
    <col min="12818" max="12818" width="6" style="30" customWidth="1"/>
    <col min="12819" max="12820" width="2.5" style="30" customWidth="1"/>
    <col min="12821" max="12822" width="2.125" style="30" customWidth="1"/>
    <col min="12823" max="12825" width="2.5" style="30" customWidth="1"/>
    <col min="12826" max="12826" width="1.875" style="30" customWidth="1"/>
    <col min="12827" max="12829" width="2.5" style="30" customWidth="1"/>
    <col min="12830" max="12830" width="1.875" style="30" customWidth="1"/>
    <col min="12831" max="12833" width="2.5" style="30" customWidth="1"/>
    <col min="12834" max="12834" width="1.375" style="30" customWidth="1"/>
    <col min="12835" max="12835" width="2.5" style="30" customWidth="1"/>
    <col min="12836" max="12836" width="2.125" style="30" customWidth="1"/>
    <col min="12837" max="12837" width="1.625" style="30" customWidth="1"/>
    <col min="12838" max="12838" width="2.5" style="30" customWidth="1"/>
    <col min="12839" max="13056" width="2.625" style="30"/>
    <col min="13057" max="13070" width="2.625" style="30" customWidth="1"/>
    <col min="13071" max="13072" width="2.5" style="30" customWidth="1"/>
    <col min="13073" max="13073" width="2.625" style="30" customWidth="1"/>
    <col min="13074" max="13074" width="6" style="30" customWidth="1"/>
    <col min="13075" max="13076" width="2.5" style="30" customWidth="1"/>
    <col min="13077" max="13078" width="2.125" style="30" customWidth="1"/>
    <col min="13079" max="13081" width="2.5" style="30" customWidth="1"/>
    <col min="13082" max="13082" width="1.875" style="30" customWidth="1"/>
    <col min="13083" max="13085" width="2.5" style="30" customWidth="1"/>
    <col min="13086" max="13086" width="1.875" style="30" customWidth="1"/>
    <col min="13087" max="13089" width="2.5" style="30" customWidth="1"/>
    <col min="13090" max="13090" width="1.375" style="30" customWidth="1"/>
    <col min="13091" max="13091" width="2.5" style="30" customWidth="1"/>
    <col min="13092" max="13092" width="2.125" style="30" customWidth="1"/>
    <col min="13093" max="13093" width="1.625" style="30" customWidth="1"/>
    <col min="13094" max="13094" width="2.5" style="30" customWidth="1"/>
    <col min="13095" max="13312" width="2.625" style="30"/>
    <col min="13313" max="13326" width="2.625" style="30" customWidth="1"/>
    <col min="13327" max="13328" width="2.5" style="30" customWidth="1"/>
    <col min="13329" max="13329" width="2.625" style="30" customWidth="1"/>
    <col min="13330" max="13330" width="6" style="30" customWidth="1"/>
    <col min="13331" max="13332" width="2.5" style="30" customWidth="1"/>
    <col min="13333" max="13334" width="2.125" style="30" customWidth="1"/>
    <col min="13335" max="13337" width="2.5" style="30" customWidth="1"/>
    <col min="13338" max="13338" width="1.875" style="30" customWidth="1"/>
    <col min="13339" max="13341" width="2.5" style="30" customWidth="1"/>
    <col min="13342" max="13342" width="1.875" style="30" customWidth="1"/>
    <col min="13343" max="13345" width="2.5" style="30" customWidth="1"/>
    <col min="13346" max="13346" width="1.375" style="30" customWidth="1"/>
    <col min="13347" max="13347" width="2.5" style="30" customWidth="1"/>
    <col min="13348" max="13348" width="2.125" style="30" customWidth="1"/>
    <col min="13349" max="13349" width="1.625" style="30" customWidth="1"/>
    <col min="13350" max="13350" width="2.5" style="30" customWidth="1"/>
    <col min="13351" max="13568" width="2.625" style="30"/>
    <col min="13569" max="13582" width="2.625" style="30" customWidth="1"/>
    <col min="13583" max="13584" width="2.5" style="30" customWidth="1"/>
    <col min="13585" max="13585" width="2.625" style="30" customWidth="1"/>
    <col min="13586" max="13586" width="6" style="30" customWidth="1"/>
    <col min="13587" max="13588" width="2.5" style="30" customWidth="1"/>
    <col min="13589" max="13590" width="2.125" style="30" customWidth="1"/>
    <col min="13591" max="13593" width="2.5" style="30" customWidth="1"/>
    <col min="13594" max="13594" width="1.875" style="30" customWidth="1"/>
    <col min="13595" max="13597" width="2.5" style="30" customWidth="1"/>
    <col min="13598" max="13598" width="1.875" style="30" customWidth="1"/>
    <col min="13599" max="13601" width="2.5" style="30" customWidth="1"/>
    <col min="13602" max="13602" width="1.375" style="30" customWidth="1"/>
    <col min="13603" max="13603" width="2.5" style="30" customWidth="1"/>
    <col min="13604" max="13604" width="2.125" style="30" customWidth="1"/>
    <col min="13605" max="13605" width="1.625" style="30" customWidth="1"/>
    <col min="13606" max="13606" width="2.5" style="30" customWidth="1"/>
    <col min="13607" max="13824" width="2.625" style="30"/>
    <col min="13825" max="13838" width="2.625" style="30" customWidth="1"/>
    <col min="13839" max="13840" width="2.5" style="30" customWidth="1"/>
    <col min="13841" max="13841" width="2.625" style="30" customWidth="1"/>
    <col min="13842" max="13842" width="6" style="30" customWidth="1"/>
    <col min="13843" max="13844" width="2.5" style="30" customWidth="1"/>
    <col min="13845" max="13846" width="2.125" style="30" customWidth="1"/>
    <col min="13847" max="13849" width="2.5" style="30" customWidth="1"/>
    <col min="13850" max="13850" width="1.875" style="30" customWidth="1"/>
    <col min="13851" max="13853" width="2.5" style="30" customWidth="1"/>
    <col min="13854" max="13854" width="1.875" style="30" customWidth="1"/>
    <col min="13855" max="13857" width="2.5" style="30" customWidth="1"/>
    <col min="13858" max="13858" width="1.375" style="30" customWidth="1"/>
    <col min="13859" max="13859" width="2.5" style="30" customWidth="1"/>
    <col min="13860" max="13860" width="2.125" style="30" customWidth="1"/>
    <col min="13861" max="13861" width="1.625" style="30" customWidth="1"/>
    <col min="13862" max="13862" width="2.5" style="30" customWidth="1"/>
    <col min="13863" max="14080" width="2.625" style="30"/>
    <col min="14081" max="14094" width="2.625" style="30" customWidth="1"/>
    <col min="14095" max="14096" width="2.5" style="30" customWidth="1"/>
    <col min="14097" max="14097" width="2.625" style="30" customWidth="1"/>
    <col min="14098" max="14098" width="6" style="30" customWidth="1"/>
    <col min="14099" max="14100" width="2.5" style="30" customWidth="1"/>
    <col min="14101" max="14102" width="2.125" style="30" customWidth="1"/>
    <col min="14103" max="14105" width="2.5" style="30" customWidth="1"/>
    <col min="14106" max="14106" width="1.875" style="30" customWidth="1"/>
    <col min="14107" max="14109" width="2.5" style="30" customWidth="1"/>
    <col min="14110" max="14110" width="1.875" style="30" customWidth="1"/>
    <col min="14111" max="14113" width="2.5" style="30" customWidth="1"/>
    <col min="14114" max="14114" width="1.375" style="30" customWidth="1"/>
    <col min="14115" max="14115" width="2.5" style="30" customWidth="1"/>
    <col min="14116" max="14116" width="2.125" style="30" customWidth="1"/>
    <col min="14117" max="14117" width="1.625" style="30" customWidth="1"/>
    <col min="14118" max="14118" width="2.5" style="30" customWidth="1"/>
    <col min="14119" max="14336" width="2.625" style="30"/>
    <col min="14337" max="14350" width="2.625" style="30" customWidth="1"/>
    <col min="14351" max="14352" width="2.5" style="30" customWidth="1"/>
    <col min="14353" max="14353" width="2.625" style="30" customWidth="1"/>
    <col min="14354" max="14354" width="6" style="30" customWidth="1"/>
    <col min="14355" max="14356" width="2.5" style="30" customWidth="1"/>
    <col min="14357" max="14358" width="2.125" style="30" customWidth="1"/>
    <col min="14359" max="14361" width="2.5" style="30" customWidth="1"/>
    <col min="14362" max="14362" width="1.875" style="30" customWidth="1"/>
    <col min="14363" max="14365" width="2.5" style="30" customWidth="1"/>
    <col min="14366" max="14366" width="1.875" style="30" customWidth="1"/>
    <col min="14367" max="14369" width="2.5" style="30" customWidth="1"/>
    <col min="14370" max="14370" width="1.375" style="30" customWidth="1"/>
    <col min="14371" max="14371" width="2.5" style="30" customWidth="1"/>
    <col min="14372" max="14372" width="2.125" style="30" customWidth="1"/>
    <col min="14373" max="14373" width="1.625" style="30" customWidth="1"/>
    <col min="14374" max="14374" width="2.5" style="30" customWidth="1"/>
    <col min="14375" max="14592" width="2.625" style="30"/>
    <col min="14593" max="14606" width="2.625" style="30" customWidth="1"/>
    <col min="14607" max="14608" width="2.5" style="30" customWidth="1"/>
    <col min="14609" max="14609" width="2.625" style="30" customWidth="1"/>
    <col min="14610" max="14610" width="6" style="30" customWidth="1"/>
    <col min="14611" max="14612" width="2.5" style="30" customWidth="1"/>
    <col min="14613" max="14614" width="2.125" style="30" customWidth="1"/>
    <col min="14615" max="14617" width="2.5" style="30" customWidth="1"/>
    <col min="14618" max="14618" width="1.875" style="30" customWidth="1"/>
    <col min="14619" max="14621" width="2.5" style="30" customWidth="1"/>
    <col min="14622" max="14622" width="1.875" style="30" customWidth="1"/>
    <col min="14623" max="14625" width="2.5" style="30" customWidth="1"/>
    <col min="14626" max="14626" width="1.375" style="30" customWidth="1"/>
    <col min="14627" max="14627" width="2.5" style="30" customWidth="1"/>
    <col min="14628" max="14628" width="2.125" style="30" customWidth="1"/>
    <col min="14629" max="14629" width="1.625" style="30" customWidth="1"/>
    <col min="14630" max="14630" width="2.5" style="30" customWidth="1"/>
    <col min="14631" max="14848" width="2.625" style="30"/>
    <col min="14849" max="14862" width="2.625" style="30" customWidth="1"/>
    <col min="14863" max="14864" width="2.5" style="30" customWidth="1"/>
    <col min="14865" max="14865" width="2.625" style="30" customWidth="1"/>
    <col min="14866" max="14866" width="6" style="30" customWidth="1"/>
    <col min="14867" max="14868" width="2.5" style="30" customWidth="1"/>
    <col min="14869" max="14870" width="2.125" style="30" customWidth="1"/>
    <col min="14871" max="14873" width="2.5" style="30" customWidth="1"/>
    <col min="14874" max="14874" width="1.875" style="30" customWidth="1"/>
    <col min="14875" max="14877" width="2.5" style="30" customWidth="1"/>
    <col min="14878" max="14878" width="1.875" style="30" customWidth="1"/>
    <col min="14879" max="14881" width="2.5" style="30" customWidth="1"/>
    <col min="14882" max="14882" width="1.375" style="30" customWidth="1"/>
    <col min="14883" max="14883" width="2.5" style="30" customWidth="1"/>
    <col min="14884" max="14884" width="2.125" style="30" customWidth="1"/>
    <col min="14885" max="14885" width="1.625" style="30" customWidth="1"/>
    <col min="14886" max="14886" width="2.5" style="30" customWidth="1"/>
    <col min="14887" max="15104" width="2.625" style="30"/>
    <col min="15105" max="15118" width="2.625" style="30" customWidth="1"/>
    <col min="15119" max="15120" width="2.5" style="30" customWidth="1"/>
    <col min="15121" max="15121" width="2.625" style="30" customWidth="1"/>
    <col min="15122" max="15122" width="6" style="30" customWidth="1"/>
    <col min="15123" max="15124" width="2.5" style="30" customWidth="1"/>
    <col min="15125" max="15126" width="2.125" style="30" customWidth="1"/>
    <col min="15127" max="15129" width="2.5" style="30" customWidth="1"/>
    <col min="15130" max="15130" width="1.875" style="30" customWidth="1"/>
    <col min="15131" max="15133" width="2.5" style="30" customWidth="1"/>
    <col min="15134" max="15134" width="1.875" style="30" customWidth="1"/>
    <col min="15135" max="15137" width="2.5" style="30" customWidth="1"/>
    <col min="15138" max="15138" width="1.375" style="30" customWidth="1"/>
    <col min="15139" max="15139" width="2.5" style="30" customWidth="1"/>
    <col min="15140" max="15140" width="2.125" style="30" customWidth="1"/>
    <col min="15141" max="15141" width="1.625" style="30" customWidth="1"/>
    <col min="15142" max="15142" width="2.5" style="30" customWidth="1"/>
    <col min="15143" max="15360" width="2.625" style="30"/>
    <col min="15361" max="15374" width="2.625" style="30" customWidth="1"/>
    <col min="15375" max="15376" width="2.5" style="30" customWidth="1"/>
    <col min="15377" max="15377" width="2.625" style="30" customWidth="1"/>
    <col min="15378" max="15378" width="6" style="30" customWidth="1"/>
    <col min="15379" max="15380" width="2.5" style="30" customWidth="1"/>
    <col min="15381" max="15382" width="2.125" style="30" customWidth="1"/>
    <col min="15383" max="15385" width="2.5" style="30" customWidth="1"/>
    <col min="15386" max="15386" width="1.875" style="30" customWidth="1"/>
    <col min="15387" max="15389" width="2.5" style="30" customWidth="1"/>
    <col min="15390" max="15390" width="1.875" style="30" customWidth="1"/>
    <col min="15391" max="15393" width="2.5" style="30" customWidth="1"/>
    <col min="15394" max="15394" width="1.375" style="30" customWidth="1"/>
    <col min="15395" max="15395" width="2.5" style="30" customWidth="1"/>
    <col min="15396" max="15396" width="2.125" style="30" customWidth="1"/>
    <col min="15397" max="15397" width="1.625" style="30" customWidth="1"/>
    <col min="15398" max="15398" width="2.5" style="30" customWidth="1"/>
    <col min="15399" max="15616" width="2.625" style="30"/>
    <col min="15617" max="15630" width="2.625" style="30" customWidth="1"/>
    <col min="15631" max="15632" width="2.5" style="30" customWidth="1"/>
    <col min="15633" max="15633" width="2.625" style="30" customWidth="1"/>
    <col min="15634" max="15634" width="6" style="30" customWidth="1"/>
    <col min="15635" max="15636" width="2.5" style="30" customWidth="1"/>
    <col min="15637" max="15638" width="2.125" style="30" customWidth="1"/>
    <col min="15639" max="15641" width="2.5" style="30" customWidth="1"/>
    <col min="15642" max="15642" width="1.875" style="30" customWidth="1"/>
    <col min="15643" max="15645" width="2.5" style="30" customWidth="1"/>
    <col min="15646" max="15646" width="1.875" style="30" customWidth="1"/>
    <col min="15647" max="15649" width="2.5" style="30" customWidth="1"/>
    <col min="15650" max="15650" width="1.375" style="30" customWidth="1"/>
    <col min="15651" max="15651" width="2.5" style="30" customWidth="1"/>
    <col min="15652" max="15652" width="2.125" style="30" customWidth="1"/>
    <col min="15653" max="15653" width="1.625" style="30" customWidth="1"/>
    <col min="15654" max="15654" width="2.5" style="30" customWidth="1"/>
    <col min="15655" max="15872" width="2.625" style="30"/>
    <col min="15873" max="15886" width="2.625" style="30" customWidth="1"/>
    <col min="15887" max="15888" width="2.5" style="30" customWidth="1"/>
    <col min="15889" max="15889" width="2.625" style="30" customWidth="1"/>
    <col min="15890" max="15890" width="6" style="30" customWidth="1"/>
    <col min="15891" max="15892" width="2.5" style="30" customWidth="1"/>
    <col min="15893" max="15894" width="2.125" style="30" customWidth="1"/>
    <col min="15895" max="15897" width="2.5" style="30" customWidth="1"/>
    <col min="15898" max="15898" width="1.875" style="30" customWidth="1"/>
    <col min="15899" max="15901" width="2.5" style="30" customWidth="1"/>
    <col min="15902" max="15902" width="1.875" style="30" customWidth="1"/>
    <col min="15903" max="15905" width="2.5" style="30" customWidth="1"/>
    <col min="15906" max="15906" width="1.375" style="30" customWidth="1"/>
    <col min="15907" max="15907" width="2.5" style="30" customWidth="1"/>
    <col min="15908" max="15908" width="2.125" style="30" customWidth="1"/>
    <col min="15909" max="15909" width="1.625" style="30" customWidth="1"/>
    <col min="15910" max="15910" width="2.5" style="30" customWidth="1"/>
    <col min="15911" max="16128" width="2.625" style="30"/>
    <col min="16129" max="16142" width="2.625" style="30" customWidth="1"/>
    <col min="16143" max="16144" width="2.5" style="30" customWidth="1"/>
    <col min="16145" max="16145" width="2.625" style="30" customWidth="1"/>
    <col min="16146" max="16146" width="6" style="30" customWidth="1"/>
    <col min="16147" max="16148" width="2.5" style="30" customWidth="1"/>
    <col min="16149" max="16150" width="2.125" style="30" customWidth="1"/>
    <col min="16151" max="16153" width="2.5" style="30" customWidth="1"/>
    <col min="16154" max="16154" width="1.875" style="30" customWidth="1"/>
    <col min="16155" max="16157" width="2.5" style="30" customWidth="1"/>
    <col min="16158" max="16158" width="1.875" style="30" customWidth="1"/>
    <col min="16159" max="16161" width="2.5" style="30" customWidth="1"/>
    <col min="16162" max="16162" width="1.375" style="30" customWidth="1"/>
    <col min="16163" max="16163" width="2.5" style="30" customWidth="1"/>
    <col min="16164" max="16164" width="2.125" style="30" customWidth="1"/>
    <col min="16165" max="16165" width="1.625" style="30" customWidth="1"/>
    <col min="16166" max="16166" width="2.5" style="30" customWidth="1"/>
    <col min="16167" max="16384" width="2.625" style="30"/>
  </cols>
  <sheetData>
    <row r="1" spans="1:43" customFormat="1" ht="15.75">
      <c r="A1" s="276" t="s">
        <v>85</v>
      </c>
      <c r="B1" s="276"/>
      <c r="C1" s="276"/>
      <c r="D1" s="276"/>
      <c r="E1" s="276"/>
      <c r="F1" s="276"/>
      <c r="G1" s="276"/>
      <c r="H1" s="276"/>
      <c r="I1" s="276"/>
      <c r="J1" s="276"/>
      <c r="K1" s="276"/>
      <c r="L1" s="276"/>
      <c r="M1" s="276"/>
      <c r="N1" s="276"/>
      <c r="O1" s="276"/>
      <c r="P1" s="276"/>
      <c r="Q1" s="276"/>
      <c r="R1" s="276"/>
      <c r="S1" s="276"/>
      <c r="T1" s="276"/>
      <c r="U1" s="276"/>
      <c r="V1" s="276"/>
      <c r="W1" s="276"/>
      <c r="X1" s="276"/>
      <c r="Y1" s="276"/>
      <c r="Z1" s="276"/>
      <c r="AA1" s="276"/>
      <c r="AB1" s="276"/>
      <c r="AC1" s="276"/>
      <c r="AD1" s="276"/>
      <c r="AE1" s="276"/>
      <c r="AF1" s="276"/>
      <c r="AG1" s="276"/>
      <c r="AH1" s="276"/>
      <c r="AI1" s="276"/>
      <c r="AJ1" s="276"/>
      <c r="AK1" s="276"/>
      <c r="AL1" s="276"/>
    </row>
    <row r="2" spans="1:43" customFormat="1" ht="15.75">
      <c r="A2" s="276" t="s">
        <v>86</v>
      </c>
      <c r="B2" s="276"/>
      <c r="C2" s="276"/>
      <c r="D2" s="276"/>
      <c r="E2" s="276"/>
      <c r="F2" s="276"/>
      <c r="G2" s="276"/>
      <c r="H2" s="276"/>
      <c r="I2" s="276"/>
      <c r="J2" s="276"/>
      <c r="K2" s="276"/>
      <c r="L2" s="276"/>
      <c r="M2" s="276"/>
      <c r="N2" s="276"/>
      <c r="O2" s="276"/>
      <c r="P2" s="276"/>
      <c r="Q2" s="276"/>
      <c r="R2" s="276"/>
      <c r="S2" s="276"/>
      <c r="T2" s="276"/>
      <c r="U2" s="276"/>
      <c r="V2" s="276"/>
      <c r="W2" s="276"/>
      <c r="X2" s="276"/>
      <c r="Y2" s="276"/>
      <c r="Z2" s="276"/>
      <c r="AA2" s="276"/>
      <c r="AB2" s="276"/>
      <c r="AC2" s="276"/>
      <c r="AD2" s="276"/>
      <c r="AE2" s="276"/>
      <c r="AF2" s="276"/>
      <c r="AG2" s="276"/>
      <c r="AH2" s="276"/>
      <c r="AI2" s="276"/>
      <c r="AJ2" s="276"/>
      <c r="AK2" s="276"/>
      <c r="AL2" s="276"/>
    </row>
    <row r="3" spans="1:43" customFormat="1" ht="15.75">
      <c r="A3" s="276" t="s">
        <v>87</v>
      </c>
      <c r="B3" s="276"/>
      <c r="C3" s="276"/>
      <c r="D3" s="276"/>
      <c r="E3" s="276"/>
      <c r="F3" s="276"/>
      <c r="G3" s="276"/>
      <c r="H3" s="276"/>
      <c r="I3" s="276"/>
      <c r="J3" s="276"/>
      <c r="K3" s="276"/>
      <c r="L3" s="276"/>
      <c r="M3" s="276"/>
      <c r="N3" s="276"/>
      <c r="O3" s="276"/>
      <c r="P3" s="276"/>
      <c r="Q3" s="276"/>
      <c r="R3" s="276"/>
      <c r="S3" s="276"/>
      <c r="T3" s="276"/>
      <c r="U3" s="276"/>
      <c r="V3" s="276"/>
      <c r="W3" s="276"/>
      <c r="X3" s="276"/>
      <c r="Y3" s="276"/>
      <c r="Z3" s="276"/>
      <c r="AA3" s="276"/>
      <c r="AB3" s="276"/>
      <c r="AC3" s="276"/>
      <c r="AD3" s="276"/>
      <c r="AE3" s="276"/>
      <c r="AF3" s="276"/>
      <c r="AG3" s="276"/>
      <c r="AH3" s="276"/>
      <c r="AI3" s="276"/>
      <c r="AJ3" s="276"/>
      <c r="AK3" s="276"/>
      <c r="AL3" s="276"/>
    </row>
    <row r="4" spans="1:43" customFormat="1" ht="15.75">
      <c r="A4" s="276" t="s">
        <v>88</v>
      </c>
      <c r="B4" s="276"/>
      <c r="C4" s="276"/>
      <c r="D4" s="276"/>
      <c r="E4" s="276"/>
      <c r="F4" s="276"/>
      <c r="G4" s="276"/>
      <c r="H4" s="276"/>
      <c r="I4" s="276"/>
      <c r="J4" s="276"/>
      <c r="K4" s="276"/>
      <c r="L4" s="276"/>
      <c r="M4" s="276"/>
      <c r="N4" s="276"/>
      <c r="O4" s="276"/>
      <c r="P4" s="276"/>
      <c r="Q4" s="276"/>
      <c r="R4" s="276"/>
      <c r="S4" s="276"/>
      <c r="T4" s="276"/>
      <c r="U4" s="276"/>
      <c r="V4" s="276"/>
      <c r="W4" s="276"/>
      <c r="X4" s="276"/>
      <c r="Y4" s="276"/>
      <c r="Z4" s="276"/>
      <c r="AA4" s="276"/>
      <c r="AB4" s="276"/>
      <c r="AC4" s="276"/>
      <c r="AD4" s="276"/>
      <c r="AE4" s="276"/>
      <c r="AF4" s="276"/>
      <c r="AG4" s="276"/>
      <c r="AH4" s="276"/>
      <c r="AI4" s="276"/>
      <c r="AJ4" s="276"/>
      <c r="AK4" s="276"/>
      <c r="AL4" s="276"/>
    </row>
    <row r="5" spans="1:43" customFormat="1" ht="15.75">
      <c r="A5" s="137"/>
    </row>
    <row r="6" spans="1:43" customFormat="1" ht="15.75">
      <c r="A6" s="277" t="str">
        <f>+Control!D3</f>
        <v>AAAMOP ENTERTAINMENT LIMITED</v>
      </c>
      <c r="B6" s="277"/>
      <c r="C6" s="277"/>
      <c r="D6" s="277"/>
      <c r="E6" s="277"/>
      <c r="F6" s="277"/>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77"/>
      <c r="AI6" s="277"/>
      <c r="AJ6" s="277"/>
      <c r="AK6" s="277"/>
      <c r="AL6" s="277"/>
      <c r="AQ6" t="s">
        <v>1</v>
      </c>
    </row>
    <row r="7" spans="1:43" customFormat="1" ht="15.75">
      <c r="A7" s="278" t="str">
        <f>+CONCATENATE(AQ6,Control!F8,AQ8,'D emol (4)'!AQ7,Control!D7)</f>
        <v xml:space="preserve">FOR THE  ENDED </v>
      </c>
      <c r="B7" s="278"/>
      <c r="C7" s="278"/>
      <c r="D7" s="278"/>
      <c r="E7" s="278"/>
      <c r="F7" s="278"/>
      <c r="G7" s="278"/>
      <c r="H7" s="278"/>
      <c r="I7" s="278"/>
      <c r="J7" s="278"/>
      <c r="K7" s="278"/>
      <c r="L7" s="278"/>
      <c r="M7" s="278"/>
      <c r="N7" s="278"/>
      <c r="O7" s="278"/>
      <c r="P7" s="278"/>
      <c r="Q7" s="278"/>
      <c r="R7" s="278"/>
      <c r="S7" s="278"/>
      <c r="T7" s="278"/>
      <c r="U7" s="278"/>
      <c r="V7" s="278"/>
      <c r="W7" s="278"/>
      <c r="X7" s="278"/>
      <c r="Y7" s="278"/>
      <c r="Z7" s="278"/>
      <c r="AA7" s="278"/>
      <c r="AB7" s="278"/>
      <c r="AC7" s="278"/>
      <c r="AD7" s="278"/>
      <c r="AE7" s="278"/>
      <c r="AF7" s="278"/>
      <c r="AG7" s="278"/>
      <c r="AH7" s="278"/>
      <c r="AI7" s="278"/>
      <c r="AJ7" s="278"/>
      <c r="AK7" s="278"/>
      <c r="AL7" s="278"/>
      <c r="AQ7" t="s">
        <v>89</v>
      </c>
    </row>
    <row r="8" spans="1:43" customFormat="1" ht="15.75">
      <c r="AQ8" t="s">
        <v>90</v>
      </c>
    </row>
    <row r="9" spans="1:43" s="35" customFormat="1">
      <c r="C9" s="35" t="s">
        <v>91</v>
      </c>
    </row>
    <row r="10" spans="1:43" s="35" customFormat="1"/>
    <row r="11" spans="1:43" s="35" customFormat="1">
      <c r="A11" s="35" t="s">
        <v>92</v>
      </c>
      <c r="C11" s="279" t="s">
        <v>93</v>
      </c>
      <c r="D11" s="279"/>
      <c r="E11" s="279"/>
      <c r="F11" s="279"/>
      <c r="G11" s="279"/>
      <c r="H11" s="279"/>
      <c r="I11" s="279"/>
      <c r="J11" s="279"/>
      <c r="K11" s="279"/>
      <c r="L11" s="279"/>
      <c r="M11" s="279"/>
      <c r="N11" s="279"/>
      <c r="O11" s="279"/>
      <c r="P11" s="279"/>
      <c r="Q11" s="279"/>
      <c r="R11" s="279"/>
      <c r="S11" s="279"/>
      <c r="T11" s="279"/>
      <c r="U11" s="279"/>
      <c r="V11" s="279"/>
      <c r="W11" s="279"/>
      <c r="X11" s="279"/>
      <c r="Y11" s="279"/>
      <c r="Z11" s="279"/>
      <c r="AA11" s="279"/>
      <c r="AB11" s="279"/>
      <c r="AC11" s="279"/>
      <c r="AD11" s="279"/>
      <c r="AE11" s="279"/>
      <c r="AF11" s="279"/>
      <c r="AG11" s="279"/>
      <c r="AH11" s="279"/>
      <c r="AI11" s="279"/>
      <c r="AJ11" s="279"/>
      <c r="AK11" s="279"/>
      <c r="AL11" s="279"/>
    </row>
    <row r="12" spans="1:43" s="35" customFormat="1">
      <c r="C12" s="279" t="s">
        <v>94</v>
      </c>
      <c r="D12" s="279"/>
      <c r="E12" s="279"/>
      <c r="F12" s="279"/>
      <c r="G12" s="279"/>
      <c r="H12" s="279"/>
      <c r="I12" s="279"/>
      <c r="J12" s="279"/>
      <c r="K12" s="279"/>
      <c r="L12" s="279"/>
      <c r="M12" s="279"/>
      <c r="N12" s="279"/>
      <c r="O12" s="279"/>
      <c r="P12" s="279"/>
      <c r="Q12" s="279"/>
      <c r="R12" s="279"/>
      <c r="S12" s="279"/>
      <c r="T12" s="279"/>
      <c r="U12" s="279"/>
      <c r="V12" s="279"/>
      <c r="W12" s="279"/>
      <c r="X12" s="279"/>
      <c r="Y12" s="279"/>
      <c r="Z12" s="279"/>
      <c r="AA12" s="279"/>
      <c r="AB12" s="279"/>
      <c r="AC12" s="279"/>
      <c r="AD12" s="279"/>
      <c r="AE12" s="279"/>
      <c r="AF12" s="279"/>
      <c r="AG12" s="279"/>
      <c r="AH12" s="279"/>
      <c r="AI12" s="279"/>
      <c r="AJ12" s="279"/>
      <c r="AK12" s="279"/>
      <c r="AL12" s="279"/>
    </row>
    <row r="13" spans="1:43" s="35" customFormat="1">
      <c r="C13" s="279" t="s">
        <v>95</v>
      </c>
      <c r="D13" s="279"/>
      <c r="E13" s="279"/>
      <c r="F13" s="279"/>
      <c r="G13" s="279"/>
      <c r="H13" s="279"/>
      <c r="I13" s="279"/>
      <c r="J13" s="279"/>
      <c r="K13" s="279"/>
      <c r="L13" s="279"/>
      <c r="M13" s="279"/>
      <c r="N13" s="279"/>
      <c r="O13" s="279"/>
      <c r="P13" s="279"/>
      <c r="Q13" s="279"/>
      <c r="R13" s="279"/>
      <c r="S13" s="279"/>
      <c r="T13" s="279"/>
      <c r="U13" s="279"/>
      <c r="V13" s="279"/>
      <c r="W13" s="279"/>
      <c r="X13" s="279"/>
      <c r="Y13" s="279"/>
      <c r="Z13" s="279"/>
      <c r="AA13" s="279"/>
      <c r="AB13" s="279"/>
      <c r="AC13" s="279"/>
      <c r="AD13" s="279"/>
      <c r="AE13" s="279"/>
      <c r="AF13" s="279"/>
      <c r="AG13" s="279"/>
      <c r="AH13" s="279"/>
      <c r="AI13" s="279"/>
      <c r="AJ13" s="279"/>
      <c r="AK13" s="279"/>
      <c r="AL13" s="279"/>
    </row>
    <row r="14" spans="1:43" s="35" customFormat="1">
      <c r="C14" s="35" t="str">
        <f>+CONCATENATE(B68,B69,B70)</f>
        <v>to be disclosed under Section 161 of the Companies Ordinance;</v>
      </c>
      <c r="AQ14" s="35">
        <v>383</v>
      </c>
    </row>
    <row r="15" spans="1:43" s="35" customFormat="1">
      <c r="A15" s="35" t="s">
        <v>96</v>
      </c>
      <c r="C15" s="279" t="s">
        <v>97</v>
      </c>
      <c r="D15" s="279"/>
      <c r="E15" s="279"/>
      <c r="F15" s="279"/>
      <c r="G15" s="279"/>
      <c r="H15" s="279"/>
      <c r="I15" s="279"/>
      <c r="J15" s="279"/>
      <c r="K15" s="279"/>
      <c r="L15" s="279"/>
      <c r="M15" s="279"/>
      <c r="N15" s="279"/>
      <c r="O15" s="279"/>
      <c r="P15" s="279"/>
      <c r="Q15" s="279"/>
      <c r="R15" s="279"/>
      <c r="S15" s="279"/>
      <c r="T15" s="279"/>
      <c r="U15" s="279"/>
      <c r="V15" s="279"/>
      <c r="W15" s="279"/>
      <c r="X15" s="279"/>
      <c r="Y15" s="279"/>
      <c r="Z15" s="279"/>
      <c r="AA15" s="279"/>
      <c r="AB15" s="279"/>
      <c r="AC15" s="279"/>
      <c r="AD15" s="279"/>
      <c r="AE15" s="279"/>
      <c r="AF15" s="279"/>
      <c r="AG15" s="279"/>
      <c r="AH15" s="279"/>
      <c r="AI15" s="279"/>
      <c r="AJ15" s="279"/>
      <c r="AK15" s="279"/>
      <c r="AL15" s="279"/>
    </row>
    <row r="16" spans="1:43" s="35" customFormat="1">
      <c r="C16" s="35" t="str">
        <f>+CONCATENATE(B76,B77,B78)</f>
        <v>which were outstanding at the expiration thereof as required to be disclosed under Section 161B of the Companies Ordinance.</v>
      </c>
      <c r="AQ16" s="35">
        <v>383</v>
      </c>
    </row>
    <row r="17" spans="1:38" customFormat="1" ht="15.75"/>
    <row r="18" spans="1:38" ht="12.75">
      <c r="A18" s="26" t="s">
        <v>98</v>
      </c>
      <c r="B18" s="27"/>
      <c r="C18" s="27"/>
      <c r="D18" s="280">
        <f>+'Dir info'!C6</f>
        <v>0</v>
      </c>
      <c r="E18" s="280"/>
      <c r="F18" s="280"/>
      <c r="G18" s="280"/>
      <c r="H18" s="280"/>
      <c r="I18" s="280"/>
      <c r="J18" s="280"/>
      <c r="K18" s="280"/>
      <c r="L18" s="280"/>
      <c r="M18" s="280"/>
      <c r="N18" s="27"/>
      <c r="O18" s="281" t="s">
        <v>99</v>
      </c>
      <c r="P18" s="282"/>
      <c r="Q18" s="282"/>
      <c r="R18" s="282"/>
      <c r="S18" s="282"/>
      <c r="T18" s="282"/>
      <c r="U18" s="282"/>
      <c r="V18" s="283"/>
      <c r="W18" s="28"/>
      <c r="X18" s="287" t="s">
        <v>100</v>
      </c>
      <c r="Y18" s="287"/>
      <c r="Z18" s="287"/>
      <c r="AA18" s="287"/>
      <c r="AB18" s="287"/>
      <c r="AC18" s="287"/>
      <c r="AD18" s="29"/>
      <c r="AE18" s="289" t="s">
        <v>101</v>
      </c>
      <c r="AF18" s="287"/>
      <c r="AG18" s="287"/>
      <c r="AH18" s="287"/>
      <c r="AI18" s="287"/>
      <c r="AJ18" s="287"/>
      <c r="AK18" s="287"/>
      <c r="AL18" s="290"/>
    </row>
    <row r="19" spans="1:38" ht="27" customHeight="1">
      <c r="A19" s="26" t="s">
        <v>102</v>
      </c>
      <c r="C19" s="27"/>
      <c r="D19" s="293" t="s">
        <v>103</v>
      </c>
      <c r="E19" s="293"/>
      <c r="F19" s="293"/>
      <c r="G19" s="293"/>
      <c r="H19" s="293"/>
      <c r="I19" s="293"/>
      <c r="J19" s="293"/>
      <c r="K19" s="293"/>
      <c r="L19" s="293"/>
      <c r="M19" s="293"/>
      <c r="N19" s="27"/>
      <c r="O19" s="284"/>
      <c r="P19" s="285"/>
      <c r="Q19" s="285"/>
      <c r="R19" s="285"/>
      <c r="S19" s="285"/>
      <c r="T19" s="285"/>
      <c r="U19" s="285"/>
      <c r="V19" s="286"/>
      <c r="W19" s="31"/>
      <c r="X19" s="288"/>
      <c r="Y19" s="288"/>
      <c r="Z19" s="288"/>
      <c r="AA19" s="288"/>
      <c r="AB19" s="288"/>
      <c r="AC19" s="288"/>
      <c r="AD19" s="32"/>
      <c r="AE19" s="291"/>
      <c r="AF19" s="288"/>
      <c r="AG19" s="288"/>
      <c r="AH19" s="288"/>
      <c r="AI19" s="288"/>
      <c r="AJ19" s="288"/>
      <c r="AK19" s="288"/>
      <c r="AL19" s="292"/>
    </row>
    <row r="20" spans="1:38" ht="14.25" customHeight="1">
      <c r="O20" s="297" t="s">
        <v>104</v>
      </c>
      <c r="P20" s="297"/>
      <c r="Q20" s="297"/>
      <c r="R20" s="297"/>
      <c r="S20" s="297" t="s">
        <v>105</v>
      </c>
      <c r="T20" s="297"/>
      <c r="U20" s="297"/>
      <c r="V20" s="297"/>
      <c r="W20" s="297" t="s">
        <v>104</v>
      </c>
      <c r="X20" s="297"/>
      <c r="Y20" s="297"/>
      <c r="Z20" s="297"/>
      <c r="AA20" s="297" t="s">
        <v>105</v>
      </c>
      <c r="AB20" s="297"/>
      <c r="AC20" s="297"/>
      <c r="AD20" s="297"/>
      <c r="AE20" s="297" t="s">
        <v>104</v>
      </c>
      <c r="AF20" s="297"/>
      <c r="AG20" s="297"/>
      <c r="AH20" s="297"/>
      <c r="AI20" s="297" t="s">
        <v>105</v>
      </c>
      <c r="AJ20" s="297"/>
      <c r="AK20" s="297"/>
      <c r="AL20" s="297"/>
    </row>
    <row r="21" spans="1:38">
      <c r="O21" s="294" t="str">
        <f>+Control!D68</f>
        <v>HK$</v>
      </c>
      <c r="P21" s="295"/>
      <c r="Q21" s="295"/>
      <c r="R21" s="296"/>
      <c r="S21" s="294" t="str">
        <f>+Control!D68</f>
        <v>HK$</v>
      </c>
      <c r="T21" s="295"/>
      <c r="U21" s="295"/>
      <c r="V21" s="296"/>
      <c r="W21" s="294" t="str">
        <f>+Control!D68</f>
        <v>HK$</v>
      </c>
      <c r="X21" s="295"/>
      <c r="Y21" s="295"/>
      <c r="Z21" s="296"/>
      <c r="AA21" s="294" t="str">
        <f>+Control!D68</f>
        <v>HK$</v>
      </c>
      <c r="AB21" s="295"/>
      <c r="AC21" s="295"/>
      <c r="AD21" s="296"/>
      <c r="AE21" s="294" t="str">
        <f>+Control!D68</f>
        <v>HK$</v>
      </c>
      <c r="AF21" s="295"/>
      <c r="AG21" s="295"/>
      <c r="AH21" s="296"/>
      <c r="AI21" s="294" t="str">
        <f>+Control!D68</f>
        <v>HK$</v>
      </c>
      <c r="AJ21" s="295"/>
      <c r="AK21" s="295"/>
      <c r="AL21" s="296"/>
    </row>
    <row r="22" spans="1:38">
      <c r="A22" s="30" t="s">
        <v>106</v>
      </c>
      <c r="B22" s="33" t="s">
        <v>107</v>
      </c>
      <c r="C22" s="30" t="s">
        <v>108</v>
      </c>
      <c r="O22" s="299"/>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row>
    <row r="23" spans="1:38">
      <c r="C23" s="30" t="s">
        <v>109</v>
      </c>
      <c r="O23" s="297"/>
      <c r="P23" s="297"/>
      <c r="Q23" s="297"/>
      <c r="R23" s="297"/>
      <c r="S23" s="297"/>
      <c r="T23" s="297"/>
      <c r="U23" s="297"/>
      <c r="V23" s="297"/>
      <c r="W23" s="297"/>
      <c r="X23" s="297"/>
      <c r="Y23" s="297"/>
      <c r="Z23" s="297"/>
      <c r="AA23" s="297"/>
      <c r="AB23" s="297"/>
      <c r="AC23" s="297"/>
      <c r="AD23" s="297"/>
      <c r="AE23" s="297"/>
      <c r="AF23" s="297"/>
      <c r="AG23" s="297"/>
      <c r="AH23" s="297"/>
      <c r="AI23" s="297"/>
      <c r="AJ23" s="297"/>
      <c r="AK23" s="297"/>
      <c r="AL23" s="297"/>
    </row>
    <row r="24" spans="1:38">
      <c r="C24" s="30" t="s">
        <v>110</v>
      </c>
      <c r="O24" s="298">
        <f>+'Dir info'!O6</f>
        <v>0</v>
      </c>
      <c r="P24" s="298"/>
      <c r="Q24" s="298"/>
      <c r="R24" s="298"/>
      <c r="S24" s="297"/>
      <c r="T24" s="297"/>
      <c r="U24" s="297"/>
      <c r="V24" s="297"/>
      <c r="W24" s="297"/>
      <c r="X24" s="297"/>
      <c r="Y24" s="297"/>
      <c r="Z24" s="297"/>
      <c r="AA24" s="297"/>
      <c r="AB24" s="297"/>
      <c r="AC24" s="297"/>
      <c r="AD24" s="297"/>
      <c r="AE24" s="297"/>
      <c r="AF24" s="297"/>
      <c r="AG24" s="297"/>
      <c r="AH24" s="297"/>
      <c r="AI24" s="297"/>
      <c r="AJ24" s="297"/>
      <c r="AK24" s="297"/>
      <c r="AL24" s="297"/>
    </row>
    <row r="25" spans="1:38">
      <c r="C25" s="30" t="s">
        <v>111</v>
      </c>
      <c r="O25" s="297"/>
      <c r="P25" s="297"/>
      <c r="Q25" s="297"/>
      <c r="R25" s="297"/>
      <c r="S25" s="297"/>
      <c r="T25" s="297"/>
      <c r="U25" s="297"/>
      <c r="V25" s="297"/>
      <c r="W25" s="297"/>
      <c r="X25" s="297"/>
      <c r="Y25" s="297"/>
      <c r="Z25" s="297"/>
      <c r="AA25" s="297"/>
      <c r="AB25" s="297"/>
      <c r="AC25" s="297"/>
      <c r="AD25" s="297"/>
      <c r="AE25" s="297"/>
      <c r="AF25" s="297"/>
      <c r="AG25" s="297"/>
      <c r="AH25" s="297"/>
      <c r="AI25" s="297"/>
      <c r="AJ25" s="297"/>
      <c r="AK25" s="297"/>
      <c r="AL25" s="297"/>
    </row>
    <row r="26" spans="1:38">
      <c r="C26" s="30" t="s">
        <v>112</v>
      </c>
      <c r="O26" s="297"/>
      <c r="P26" s="297"/>
      <c r="Q26" s="297"/>
      <c r="R26" s="297"/>
      <c r="S26" s="297"/>
      <c r="T26" s="297"/>
      <c r="U26" s="297"/>
      <c r="V26" s="297"/>
      <c r="W26" s="297"/>
      <c r="X26" s="297"/>
      <c r="Y26" s="297"/>
      <c r="Z26" s="297"/>
      <c r="AA26" s="297"/>
      <c r="AB26" s="297"/>
      <c r="AC26" s="297"/>
      <c r="AD26" s="297"/>
      <c r="AE26" s="297"/>
      <c r="AF26" s="297"/>
      <c r="AG26" s="297"/>
      <c r="AH26" s="297"/>
      <c r="AI26" s="297"/>
      <c r="AJ26" s="297"/>
      <c r="AK26" s="297"/>
      <c r="AL26" s="297"/>
    </row>
    <row r="27" spans="1:38">
      <c r="C27" s="30" t="s">
        <v>113</v>
      </c>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row>
    <row r="28" spans="1:38">
      <c r="D28" s="30" t="s">
        <v>114</v>
      </c>
      <c r="O28" s="297"/>
      <c r="P28" s="297"/>
      <c r="Q28" s="297"/>
      <c r="R28" s="297"/>
      <c r="S28" s="297"/>
      <c r="T28" s="297"/>
      <c r="U28" s="297"/>
      <c r="V28" s="297"/>
      <c r="W28" s="297"/>
      <c r="X28" s="297"/>
      <c r="Y28" s="297"/>
      <c r="Z28" s="297"/>
      <c r="AA28" s="297"/>
      <c r="AB28" s="297"/>
      <c r="AC28" s="297"/>
      <c r="AD28" s="297"/>
      <c r="AE28" s="297"/>
      <c r="AF28" s="297"/>
      <c r="AG28" s="297"/>
      <c r="AH28" s="297"/>
      <c r="AI28" s="297"/>
      <c r="AJ28" s="297"/>
      <c r="AK28" s="297"/>
      <c r="AL28" s="297"/>
    </row>
    <row r="29" spans="1:38">
      <c r="C29" s="30" t="s">
        <v>115</v>
      </c>
      <c r="O29" s="297"/>
      <c r="P29" s="297"/>
      <c r="Q29" s="297"/>
      <c r="R29" s="297"/>
      <c r="S29" s="297"/>
      <c r="T29" s="297"/>
      <c r="U29" s="297"/>
      <c r="V29" s="297"/>
      <c r="W29" s="297"/>
      <c r="X29" s="297"/>
      <c r="Y29" s="297"/>
      <c r="Z29" s="297"/>
      <c r="AA29" s="297"/>
      <c r="AB29" s="297"/>
      <c r="AC29" s="297"/>
      <c r="AD29" s="297"/>
      <c r="AE29" s="297"/>
      <c r="AF29" s="297"/>
      <c r="AG29" s="297"/>
      <c r="AH29" s="297"/>
      <c r="AI29" s="297"/>
      <c r="AJ29" s="297"/>
      <c r="AK29" s="297"/>
      <c r="AL29" s="297"/>
    </row>
    <row r="30" spans="1:38">
      <c r="C30" s="30" t="s">
        <v>116</v>
      </c>
      <c r="O30" s="301"/>
      <c r="P30" s="302"/>
      <c r="Q30" s="302"/>
      <c r="R30" s="303"/>
      <c r="S30" s="297"/>
      <c r="T30" s="297"/>
      <c r="U30" s="297"/>
      <c r="V30" s="297"/>
      <c r="W30" s="297"/>
      <c r="X30" s="297"/>
      <c r="Y30" s="297"/>
      <c r="Z30" s="297"/>
      <c r="AA30" s="297"/>
      <c r="AB30" s="297"/>
      <c r="AC30" s="297"/>
      <c r="AD30" s="297"/>
      <c r="AE30" s="297"/>
      <c r="AF30" s="297"/>
      <c r="AG30" s="297"/>
      <c r="AH30" s="297"/>
      <c r="AI30" s="297"/>
      <c r="AJ30" s="297"/>
      <c r="AK30" s="297"/>
      <c r="AL30" s="297"/>
    </row>
    <row r="31" spans="1:38">
      <c r="D31" s="30" t="s">
        <v>117</v>
      </c>
      <c r="O31" s="304"/>
      <c r="P31" s="305"/>
      <c r="Q31" s="305"/>
      <c r="R31" s="306"/>
      <c r="S31" s="297"/>
      <c r="T31" s="297"/>
      <c r="U31" s="297"/>
      <c r="V31" s="297"/>
      <c r="W31" s="297"/>
      <c r="X31" s="297"/>
      <c r="Y31" s="297"/>
      <c r="Z31" s="297"/>
      <c r="AA31" s="297"/>
      <c r="AB31" s="297"/>
      <c r="AC31" s="297"/>
      <c r="AD31" s="297"/>
      <c r="AE31" s="297"/>
      <c r="AF31" s="297"/>
      <c r="AG31" s="297"/>
      <c r="AH31" s="297"/>
      <c r="AI31" s="297"/>
      <c r="AJ31" s="297"/>
      <c r="AK31" s="297"/>
      <c r="AL31" s="297"/>
    </row>
    <row r="32" spans="1:38">
      <c r="D32" s="30" t="s">
        <v>118</v>
      </c>
      <c r="E32" s="30" t="s">
        <v>119</v>
      </c>
      <c r="O32" s="307"/>
      <c r="P32" s="308"/>
      <c r="Q32" s="308"/>
      <c r="R32" s="309"/>
      <c r="S32" s="297"/>
      <c r="T32" s="297"/>
      <c r="U32" s="297"/>
      <c r="V32" s="297"/>
      <c r="W32" s="297"/>
      <c r="X32" s="297"/>
      <c r="Y32" s="297"/>
      <c r="Z32" s="297"/>
      <c r="AA32" s="297"/>
      <c r="AB32" s="297"/>
      <c r="AC32" s="297"/>
      <c r="AD32" s="297"/>
      <c r="AE32" s="297"/>
      <c r="AF32" s="297"/>
      <c r="AG32" s="297"/>
      <c r="AH32" s="297"/>
      <c r="AI32" s="297"/>
      <c r="AJ32" s="297"/>
      <c r="AK32" s="297"/>
      <c r="AL32" s="297"/>
    </row>
    <row r="33" spans="2:43">
      <c r="O33" s="300"/>
      <c r="P33" s="300"/>
      <c r="Q33" s="300"/>
      <c r="R33" s="300"/>
      <c r="S33" s="297"/>
      <c r="T33" s="297"/>
      <c r="U33" s="297"/>
      <c r="V33" s="297"/>
      <c r="W33" s="297"/>
      <c r="X33" s="297"/>
      <c r="Y33" s="297"/>
      <c r="Z33" s="297"/>
      <c r="AA33" s="297"/>
      <c r="AB33" s="297"/>
      <c r="AC33" s="297"/>
      <c r="AD33" s="297"/>
      <c r="AE33" s="297"/>
      <c r="AF33" s="297"/>
      <c r="AG33" s="297"/>
      <c r="AH33" s="297"/>
      <c r="AI33" s="297"/>
      <c r="AJ33" s="297"/>
      <c r="AK33" s="297"/>
      <c r="AL33" s="297"/>
    </row>
    <row r="34" spans="2:43">
      <c r="O34" s="297"/>
      <c r="P34" s="297"/>
      <c r="Q34" s="297"/>
      <c r="R34" s="297"/>
      <c r="S34" s="297"/>
      <c r="T34" s="297"/>
      <c r="U34" s="297"/>
      <c r="V34" s="297"/>
      <c r="W34" s="297"/>
      <c r="X34" s="297"/>
      <c r="Y34" s="297"/>
      <c r="Z34" s="297"/>
      <c r="AA34" s="297"/>
      <c r="AB34" s="297"/>
      <c r="AC34" s="297"/>
      <c r="AD34" s="297"/>
      <c r="AE34" s="297"/>
      <c r="AF34" s="297"/>
      <c r="AG34" s="297"/>
      <c r="AH34" s="297"/>
      <c r="AI34" s="297"/>
      <c r="AJ34" s="297"/>
      <c r="AK34" s="297"/>
      <c r="AL34" s="297"/>
    </row>
    <row r="35" spans="2:43">
      <c r="B35" s="33" t="s">
        <v>120</v>
      </c>
      <c r="C35" s="30" t="s">
        <v>121</v>
      </c>
      <c r="O35" s="297"/>
      <c r="P35" s="297"/>
      <c r="Q35" s="297"/>
      <c r="R35" s="297"/>
      <c r="S35" s="297"/>
      <c r="T35" s="297"/>
      <c r="U35" s="297"/>
      <c r="V35" s="297"/>
      <c r="W35" s="297"/>
      <c r="X35" s="297"/>
      <c r="Y35" s="297"/>
      <c r="Z35" s="297"/>
      <c r="AA35" s="297"/>
      <c r="AB35" s="297"/>
      <c r="AC35" s="297"/>
      <c r="AD35" s="297"/>
      <c r="AE35" s="297"/>
      <c r="AF35" s="297"/>
      <c r="AG35" s="297"/>
      <c r="AH35" s="297"/>
      <c r="AI35" s="297"/>
      <c r="AJ35" s="297"/>
      <c r="AK35" s="297"/>
      <c r="AL35" s="297"/>
    </row>
    <row r="36" spans="2:43">
      <c r="C36" s="30" t="s">
        <v>122</v>
      </c>
      <c r="O36" s="297"/>
      <c r="P36" s="297"/>
      <c r="Q36" s="297"/>
      <c r="R36" s="297"/>
      <c r="S36" s="297"/>
      <c r="T36" s="297"/>
      <c r="U36" s="297"/>
      <c r="V36" s="297"/>
      <c r="W36" s="297"/>
      <c r="X36" s="297"/>
      <c r="Y36" s="297"/>
      <c r="Z36" s="297"/>
      <c r="AA36" s="297"/>
      <c r="AB36" s="297"/>
      <c r="AC36" s="297"/>
      <c r="AD36" s="297"/>
      <c r="AE36" s="297"/>
      <c r="AF36" s="297"/>
      <c r="AG36" s="297"/>
      <c r="AH36" s="297"/>
      <c r="AI36" s="297"/>
      <c r="AJ36" s="297"/>
      <c r="AK36" s="297"/>
      <c r="AL36" s="297"/>
    </row>
    <row r="37" spans="2:43">
      <c r="D37" s="30" t="s">
        <v>123</v>
      </c>
      <c r="O37" s="297"/>
      <c r="P37" s="297"/>
      <c r="Q37" s="297"/>
      <c r="R37" s="297"/>
      <c r="S37" s="297"/>
      <c r="T37" s="297"/>
      <c r="U37" s="297"/>
      <c r="V37" s="297"/>
      <c r="W37" s="297"/>
      <c r="X37" s="297"/>
      <c r="Y37" s="297"/>
      <c r="Z37" s="297"/>
      <c r="AA37" s="297"/>
      <c r="AB37" s="297"/>
      <c r="AC37" s="297"/>
      <c r="AD37" s="297"/>
      <c r="AE37" s="297"/>
      <c r="AF37" s="297"/>
      <c r="AG37" s="297"/>
      <c r="AH37" s="297"/>
      <c r="AI37" s="297"/>
      <c r="AJ37" s="297"/>
      <c r="AK37" s="297"/>
      <c r="AL37" s="297"/>
    </row>
    <row r="38" spans="2:43">
      <c r="D38" s="30" t="s">
        <v>124</v>
      </c>
      <c r="O38" s="297"/>
      <c r="P38" s="297"/>
      <c r="Q38" s="297"/>
      <c r="R38" s="297"/>
      <c r="S38" s="297"/>
      <c r="T38" s="297"/>
      <c r="U38" s="297"/>
      <c r="V38" s="297"/>
      <c r="W38" s="297"/>
      <c r="X38" s="297"/>
      <c r="Y38" s="297"/>
      <c r="Z38" s="297"/>
      <c r="AA38" s="297"/>
      <c r="AB38" s="297"/>
      <c r="AC38" s="297"/>
      <c r="AD38" s="297"/>
      <c r="AE38" s="297"/>
      <c r="AF38" s="297"/>
      <c r="AG38" s="297"/>
      <c r="AH38" s="297"/>
      <c r="AI38" s="297"/>
      <c r="AJ38" s="297"/>
      <c r="AK38" s="297"/>
      <c r="AL38" s="297"/>
    </row>
    <row r="39" spans="2:43">
      <c r="D39" s="30" t="s">
        <v>125</v>
      </c>
      <c r="O39" s="297"/>
      <c r="P39" s="297"/>
      <c r="Q39" s="297"/>
      <c r="R39" s="297"/>
      <c r="S39" s="297"/>
      <c r="T39" s="297"/>
      <c r="U39" s="297"/>
      <c r="V39" s="297"/>
      <c r="W39" s="297"/>
      <c r="X39" s="297"/>
      <c r="Y39" s="297"/>
      <c r="Z39" s="297"/>
      <c r="AA39" s="297"/>
      <c r="AB39" s="297"/>
      <c r="AC39" s="297"/>
      <c r="AD39" s="297"/>
      <c r="AE39" s="297"/>
      <c r="AF39" s="297"/>
      <c r="AG39" s="297"/>
      <c r="AH39" s="297"/>
      <c r="AI39" s="297"/>
      <c r="AJ39" s="297"/>
      <c r="AK39" s="297"/>
      <c r="AL39" s="297"/>
    </row>
    <row r="40" spans="2:43">
      <c r="C40" s="30" t="s">
        <v>126</v>
      </c>
      <c r="O40" s="297"/>
      <c r="P40" s="297"/>
      <c r="Q40" s="297"/>
      <c r="R40" s="297"/>
      <c r="S40" s="297"/>
      <c r="T40" s="297"/>
      <c r="U40" s="297"/>
      <c r="V40" s="297"/>
      <c r="W40" s="297"/>
      <c r="X40" s="297"/>
      <c r="Y40" s="297"/>
      <c r="Z40" s="297"/>
      <c r="AA40" s="297"/>
      <c r="AB40" s="297"/>
      <c r="AC40" s="297"/>
      <c r="AD40" s="297"/>
      <c r="AE40" s="297"/>
      <c r="AF40" s="297"/>
      <c r="AG40" s="297"/>
      <c r="AH40" s="297"/>
      <c r="AI40" s="297"/>
      <c r="AJ40" s="297"/>
      <c r="AK40" s="297"/>
      <c r="AL40" s="297"/>
    </row>
    <row r="41" spans="2:43">
      <c r="C41" s="30" t="s">
        <v>127</v>
      </c>
      <c r="O41" s="297"/>
      <c r="P41" s="297"/>
      <c r="Q41" s="297"/>
      <c r="R41" s="297"/>
      <c r="S41" s="297"/>
      <c r="T41" s="297"/>
      <c r="U41" s="297"/>
      <c r="V41" s="297"/>
      <c r="W41" s="297"/>
      <c r="X41" s="297"/>
      <c r="Y41" s="297"/>
      <c r="Z41" s="297"/>
      <c r="AA41" s="297"/>
      <c r="AB41" s="297"/>
      <c r="AC41" s="297"/>
      <c r="AD41" s="297"/>
      <c r="AE41" s="297"/>
      <c r="AF41" s="297"/>
      <c r="AG41" s="297"/>
      <c r="AH41" s="297"/>
      <c r="AI41" s="297"/>
      <c r="AJ41" s="297"/>
      <c r="AK41" s="297"/>
      <c r="AL41" s="297"/>
    </row>
    <row r="42" spans="2:43">
      <c r="B42" s="33" t="s">
        <v>128</v>
      </c>
      <c r="C42" s="30" t="s">
        <v>129</v>
      </c>
      <c r="O42" s="297"/>
      <c r="P42" s="297"/>
      <c r="Q42" s="297"/>
      <c r="R42" s="297"/>
      <c r="S42" s="297"/>
      <c r="T42" s="297"/>
      <c r="U42" s="297"/>
      <c r="V42" s="297"/>
      <c r="W42" s="297"/>
      <c r="X42" s="297"/>
      <c r="Y42" s="297"/>
      <c r="Z42" s="297"/>
      <c r="AA42" s="297"/>
      <c r="AB42" s="297"/>
      <c r="AC42" s="297"/>
      <c r="AD42" s="297"/>
      <c r="AE42" s="297"/>
      <c r="AF42" s="297"/>
      <c r="AG42" s="297"/>
      <c r="AH42" s="297"/>
      <c r="AI42" s="297"/>
      <c r="AJ42" s="297"/>
      <c r="AK42" s="297"/>
      <c r="AL42" s="297"/>
    </row>
    <row r="43" spans="2:43">
      <c r="C43" s="30" t="s">
        <v>126</v>
      </c>
      <c r="O43" s="297"/>
      <c r="P43" s="297"/>
      <c r="Q43" s="297"/>
      <c r="R43" s="297"/>
      <c r="S43" s="297"/>
      <c r="T43" s="297"/>
      <c r="U43" s="297"/>
      <c r="V43" s="297"/>
      <c r="W43" s="297"/>
      <c r="X43" s="297"/>
      <c r="Y43" s="297"/>
      <c r="Z43" s="297"/>
      <c r="AA43" s="297"/>
      <c r="AB43" s="297"/>
      <c r="AC43" s="297"/>
      <c r="AD43" s="297"/>
      <c r="AE43" s="297"/>
      <c r="AF43" s="297"/>
      <c r="AG43" s="297"/>
      <c r="AH43" s="297"/>
      <c r="AI43" s="297"/>
      <c r="AJ43" s="297"/>
      <c r="AK43" s="297"/>
      <c r="AL43" s="297"/>
    </row>
    <row r="44" spans="2:43">
      <c r="C44" s="30" t="s">
        <v>127</v>
      </c>
      <c r="O44" s="297"/>
      <c r="P44" s="297"/>
      <c r="Q44" s="297"/>
      <c r="R44" s="297"/>
      <c r="S44" s="297"/>
      <c r="T44" s="297"/>
      <c r="U44" s="297"/>
      <c r="V44" s="297"/>
      <c r="W44" s="297"/>
      <c r="X44" s="297"/>
      <c r="Y44" s="297"/>
      <c r="Z44" s="297"/>
      <c r="AA44" s="297"/>
      <c r="AB44" s="297"/>
      <c r="AC44" s="297"/>
      <c r="AD44" s="297"/>
      <c r="AE44" s="297"/>
      <c r="AF44" s="297"/>
      <c r="AG44" s="297"/>
      <c r="AH44" s="297"/>
      <c r="AI44" s="297"/>
      <c r="AJ44" s="297"/>
      <c r="AK44" s="297"/>
      <c r="AL44" s="297"/>
    </row>
    <row r="45" spans="2:43">
      <c r="B45" s="30" t="e">
        <f>+#REF!</f>
        <v>#REF!</v>
      </c>
      <c r="O45" s="313" t="str">
        <f>IF(SUM(O23:O44)&gt;0,SUM(O23:O44),"NIL")</f>
        <v>NIL</v>
      </c>
      <c r="P45" s="314"/>
      <c r="Q45" s="314"/>
      <c r="R45" s="314"/>
      <c r="S45" s="314"/>
      <c r="T45" s="314"/>
      <c r="U45" s="314"/>
      <c r="V45" s="315"/>
      <c r="W45" s="294" t="s">
        <v>130</v>
      </c>
      <c r="X45" s="295"/>
      <c r="Y45" s="295"/>
      <c r="Z45" s="295"/>
      <c r="AA45" s="295"/>
      <c r="AB45" s="295"/>
      <c r="AC45" s="295"/>
      <c r="AD45" s="296"/>
      <c r="AE45" s="294" t="s">
        <v>130</v>
      </c>
      <c r="AF45" s="295"/>
      <c r="AG45" s="295"/>
      <c r="AH45" s="295"/>
      <c r="AI45" s="295"/>
      <c r="AJ45" s="295"/>
      <c r="AK45" s="295"/>
      <c r="AL45" s="296"/>
      <c r="AQ45" s="34"/>
    </row>
    <row r="47" spans="2:43">
      <c r="O47" s="281" t="s">
        <v>131</v>
      </c>
      <c r="P47" s="282"/>
      <c r="Q47" s="282"/>
      <c r="R47" s="282"/>
      <c r="S47" s="282"/>
      <c r="T47" s="282"/>
      <c r="U47" s="282"/>
      <c r="V47" s="282"/>
      <c r="W47" s="282"/>
      <c r="X47" s="282"/>
      <c r="Y47" s="282"/>
      <c r="Z47" s="283"/>
      <c r="AA47" s="289" t="s">
        <v>132</v>
      </c>
      <c r="AB47" s="287"/>
      <c r="AC47" s="287"/>
      <c r="AD47" s="287"/>
      <c r="AE47" s="287"/>
      <c r="AF47" s="287"/>
      <c r="AG47" s="287"/>
      <c r="AH47" s="287"/>
      <c r="AI47" s="287"/>
      <c r="AJ47" s="287"/>
      <c r="AK47" s="287"/>
      <c r="AL47" s="290"/>
    </row>
    <row r="48" spans="2:43">
      <c r="O48" s="284"/>
      <c r="P48" s="285"/>
      <c r="Q48" s="285"/>
      <c r="R48" s="285"/>
      <c r="S48" s="285"/>
      <c r="T48" s="285"/>
      <c r="U48" s="285"/>
      <c r="V48" s="285"/>
      <c r="W48" s="285"/>
      <c r="X48" s="285"/>
      <c r="Y48" s="285"/>
      <c r="Z48" s="286"/>
      <c r="AA48" s="291"/>
      <c r="AB48" s="288"/>
      <c r="AC48" s="288"/>
      <c r="AD48" s="288"/>
      <c r="AE48" s="288"/>
      <c r="AF48" s="288"/>
      <c r="AG48" s="288"/>
      <c r="AH48" s="288"/>
      <c r="AI48" s="288"/>
      <c r="AJ48" s="288"/>
      <c r="AK48" s="288"/>
      <c r="AL48" s="292"/>
    </row>
    <row r="49" spans="1:38">
      <c r="O49" s="281" t="str">
        <f>+Control!D68</f>
        <v>HK$</v>
      </c>
      <c r="P49" s="282"/>
      <c r="Q49" s="282"/>
      <c r="R49" s="282"/>
      <c r="S49" s="282"/>
      <c r="T49" s="282"/>
      <c r="U49" s="282"/>
      <c r="V49" s="282"/>
      <c r="W49" s="282"/>
      <c r="X49" s="282"/>
      <c r="Y49" s="282"/>
      <c r="Z49" s="283"/>
      <c r="AA49" s="281" t="str">
        <f>+Control!D68</f>
        <v>HK$</v>
      </c>
      <c r="AB49" s="282"/>
      <c r="AC49" s="282"/>
      <c r="AD49" s="282"/>
      <c r="AE49" s="282"/>
      <c r="AF49" s="282"/>
      <c r="AG49" s="282"/>
      <c r="AH49" s="282"/>
      <c r="AI49" s="282"/>
      <c r="AJ49" s="282"/>
      <c r="AK49" s="282"/>
      <c r="AL49" s="283"/>
    </row>
    <row r="50" spans="1:38">
      <c r="A50" s="30" t="s">
        <v>133</v>
      </c>
      <c r="B50" s="30" t="s">
        <v>134</v>
      </c>
      <c r="O50" s="310"/>
      <c r="P50" s="311"/>
      <c r="Q50" s="311"/>
      <c r="R50" s="311"/>
      <c r="S50" s="311"/>
      <c r="T50" s="311"/>
      <c r="U50" s="311"/>
      <c r="V50" s="311"/>
      <c r="W50" s="311"/>
      <c r="X50" s="311"/>
      <c r="Y50" s="311"/>
      <c r="Z50" s="312"/>
      <c r="AA50" s="310"/>
      <c r="AB50" s="311"/>
      <c r="AC50" s="311"/>
      <c r="AD50" s="311"/>
      <c r="AE50" s="311"/>
      <c r="AF50" s="311"/>
      <c r="AG50" s="311"/>
      <c r="AH50" s="311"/>
      <c r="AI50" s="311"/>
      <c r="AJ50" s="311"/>
      <c r="AK50" s="311"/>
      <c r="AL50" s="312"/>
    </row>
    <row r="51" spans="1:38">
      <c r="B51" s="30" t="s">
        <v>135</v>
      </c>
      <c r="O51" s="284"/>
      <c r="P51" s="285"/>
      <c r="Q51" s="285"/>
      <c r="R51" s="285"/>
      <c r="S51" s="285"/>
      <c r="T51" s="285"/>
      <c r="U51" s="285"/>
      <c r="V51" s="285"/>
      <c r="W51" s="285"/>
      <c r="X51" s="285"/>
      <c r="Y51" s="285"/>
      <c r="Z51" s="286"/>
      <c r="AA51" s="284"/>
      <c r="AB51" s="285"/>
      <c r="AC51" s="285"/>
      <c r="AD51" s="285"/>
      <c r="AE51" s="285"/>
      <c r="AF51" s="285"/>
      <c r="AG51" s="285"/>
      <c r="AH51" s="285"/>
      <c r="AI51" s="285"/>
      <c r="AJ51" s="285"/>
      <c r="AK51" s="285"/>
      <c r="AL51" s="286"/>
    </row>
    <row r="52" spans="1:38">
      <c r="B52" s="30" t="s">
        <v>136</v>
      </c>
      <c r="O52" s="294"/>
      <c r="P52" s="295"/>
      <c r="Q52" s="295"/>
      <c r="R52" s="295"/>
      <c r="S52" s="295"/>
      <c r="T52" s="295"/>
      <c r="U52" s="295"/>
      <c r="V52" s="295"/>
      <c r="W52" s="295"/>
      <c r="X52" s="295"/>
      <c r="Y52" s="295"/>
      <c r="Z52" s="296"/>
      <c r="AA52" s="294"/>
      <c r="AB52" s="295"/>
      <c r="AC52" s="295"/>
      <c r="AD52" s="295"/>
      <c r="AE52" s="295"/>
      <c r="AF52" s="295"/>
      <c r="AG52" s="295"/>
      <c r="AH52" s="295"/>
      <c r="AI52" s="295"/>
      <c r="AJ52" s="295"/>
      <c r="AK52" s="295"/>
      <c r="AL52" s="296"/>
    </row>
    <row r="53" spans="1:38">
      <c r="B53" s="30" t="s">
        <v>137</v>
      </c>
      <c r="O53" s="281"/>
      <c r="P53" s="282"/>
      <c r="Q53" s="282"/>
      <c r="R53" s="282"/>
      <c r="S53" s="282"/>
      <c r="T53" s="282"/>
      <c r="U53" s="282"/>
      <c r="V53" s="282"/>
      <c r="W53" s="282"/>
      <c r="X53" s="282"/>
      <c r="Y53" s="282"/>
      <c r="Z53" s="283"/>
      <c r="AA53" s="281"/>
      <c r="AB53" s="282"/>
      <c r="AC53" s="282"/>
      <c r="AD53" s="282"/>
      <c r="AE53" s="282"/>
      <c r="AF53" s="282"/>
      <c r="AG53" s="282"/>
      <c r="AH53" s="282"/>
      <c r="AI53" s="282"/>
      <c r="AJ53" s="282"/>
      <c r="AK53" s="282"/>
      <c r="AL53" s="283"/>
    </row>
    <row r="54" spans="1:38">
      <c r="D54" s="30" t="s">
        <v>138</v>
      </c>
      <c r="O54" s="284"/>
      <c r="P54" s="285"/>
      <c r="Q54" s="285"/>
      <c r="R54" s="285"/>
      <c r="S54" s="285"/>
      <c r="T54" s="285"/>
      <c r="U54" s="285"/>
      <c r="V54" s="285"/>
      <c r="W54" s="285"/>
      <c r="X54" s="285"/>
      <c r="Y54" s="285"/>
      <c r="Z54" s="286"/>
      <c r="AA54" s="284"/>
      <c r="AB54" s="285"/>
      <c r="AC54" s="285"/>
      <c r="AD54" s="285"/>
      <c r="AE54" s="285"/>
      <c r="AF54" s="285"/>
      <c r="AG54" s="285"/>
      <c r="AH54" s="285"/>
      <c r="AI54" s="285"/>
      <c r="AJ54" s="285"/>
      <c r="AK54" s="285"/>
      <c r="AL54" s="286"/>
    </row>
    <row r="55" spans="1:38">
      <c r="B55" s="30" t="e">
        <f>+#REF!</f>
        <v>#REF!</v>
      </c>
      <c r="O55" s="294" t="s">
        <v>130</v>
      </c>
      <c r="P55" s="295"/>
      <c r="Q55" s="295"/>
      <c r="R55" s="295"/>
      <c r="S55" s="295"/>
      <c r="T55" s="295"/>
      <c r="U55" s="295"/>
      <c r="V55" s="295"/>
      <c r="W55" s="295"/>
      <c r="X55" s="295"/>
      <c r="Y55" s="295"/>
      <c r="Z55" s="296"/>
      <c r="AA55" s="294" t="s">
        <v>130</v>
      </c>
      <c r="AB55" s="295"/>
      <c r="AC55" s="295"/>
      <c r="AD55" s="295"/>
      <c r="AE55" s="295"/>
      <c r="AF55" s="295"/>
      <c r="AG55" s="295"/>
      <c r="AH55" s="295"/>
      <c r="AI55" s="295"/>
      <c r="AJ55" s="295"/>
      <c r="AK55" s="295"/>
      <c r="AL55" s="296"/>
    </row>
    <row r="60" spans="1:38">
      <c r="O60" s="30" t="s">
        <v>139</v>
      </c>
      <c r="Q60" s="36"/>
      <c r="R60" s="36"/>
      <c r="S60" s="36"/>
      <c r="T60" s="36"/>
      <c r="U60" s="36"/>
      <c r="V60" s="36"/>
      <c r="W60" s="36"/>
      <c r="X60" s="36"/>
      <c r="Y60" s="36"/>
      <c r="Z60" s="36"/>
      <c r="AA60" s="36"/>
      <c r="AB60" s="36"/>
      <c r="AC60" s="36"/>
      <c r="AD60" s="36"/>
      <c r="AE60" s="36"/>
      <c r="AF60" s="36"/>
      <c r="AG60" s="36"/>
      <c r="AH60" s="36"/>
      <c r="AI60" s="36"/>
      <c r="AJ60" s="36"/>
      <c r="AK60" s="36"/>
      <c r="AL60" s="36"/>
    </row>
    <row r="62" spans="1:38">
      <c r="O62" s="30" t="s">
        <v>140</v>
      </c>
      <c r="Q62" s="36"/>
      <c r="R62" s="36"/>
      <c r="S62" s="36"/>
      <c r="T62" s="36"/>
      <c r="U62" s="36"/>
      <c r="V62" s="36"/>
      <c r="W62" s="36"/>
      <c r="X62" s="36"/>
      <c r="Y62" s="36"/>
      <c r="Z62" s="36"/>
      <c r="AA62" s="36"/>
      <c r="AB62" s="36"/>
      <c r="AC62" s="36"/>
      <c r="AD62" s="36"/>
      <c r="AE62" s="36"/>
      <c r="AF62" s="36"/>
      <c r="AG62" s="36"/>
      <c r="AH62" s="36"/>
      <c r="AI62" s="36"/>
      <c r="AJ62" s="36"/>
      <c r="AK62" s="36"/>
      <c r="AL62" s="36"/>
    </row>
    <row r="68" spans="2:4">
      <c r="B68" s="30" t="s">
        <v>141</v>
      </c>
    </row>
    <row r="69" spans="2:4">
      <c r="B69" s="30" t="str">
        <f>+IF(D72&lt;0,"161","383")</f>
        <v>161</v>
      </c>
    </row>
    <row r="70" spans="2:4">
      <c r="B70" s="30" t="s">
        <v>142</v>
      </c>
    </row>
    <row r="72" spans="2:4">
      <c r="B72" s="92">
        <v>41701</v>
      </c>
      <c r="D72" s="93">
        <f>+Control!D11-B72</f>
        <v>-75</v>
      </c>
    </row>
    <row r="76" spans="2:4">
      <c r="B76" s="30" t="s">
        <v>143</v>
      </c>
    </row>
    <row r="77" spans="2:4">
      <c r="B77" s="30" t="str">
        <f>+IF(D72&lt;0,"161B","383")</f>
        <v>161B</v>
      </c>
    </row>
    <row r="78" spans="2:4">
      <c r="B78" s="30" t="s">
        <v>144</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1" type="noConversion"/>
  <pageMargins left="0.51181102362204722" right="0.31496062992125984" top="0.74803149606299213" bottom="0.74803149606299213" header="0.31496062992125984" footer="0.31496062992125984"/>
  <pageSetup paperSize="9" scale="9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7">
    <pageSetUpPr fitToPage="1"/>
  </sheetPr>
  <dimension ref="A1:AQ78"/>
  <sheetViews>
    <sheetView topLeftCell="A25" workbookViewId="0">
      <selection activeCell="C55" sqref="C55"/>
    </sheetView>
  </sheetViews>
  <sheetFormatPr defaultColWidth="2.625" defaultRowHeight="12"/>
  <cols>
    <col min="1" max="14" width="2.625" style="30" customWidth="1"/>
    <col min="15" max="16" width="2.5" style="30" customWidth="1"/>
    <col min="17" max="17" width="2.625" style="30" customWidth="1"/>
    <col min="18" max="18" width="6" style="30" customWidth="1"/>
    <col min="19" max="20" width="2.5" style="30" customWidth="1"/>
    <col min="21" max="22" width="2.125" style="30" customWidth="1"/>
    <col min="23" max="25" width="2.5" style="30" customWidth="1"/>
    <col min="26" max="26" width="1.875" style="30" customWidth="1"/>
    <col min="27" max="29" width="2.5" style="30" customWidth="1"/>
    <col min="30" max="30" width="1.875" style="30" customWidth="1"/>
    <col min="31" max="33" width="2.5" style="30" customWidth="1"/>
    <col min="34" max="34" width="1.375" style="30" customWidth="1"/>
    <col min="35" max="35" width="2.5" style="30" customWidth="1"/>
    <col min="36" max="36" width="2.125" style="30" customWidth="1"/>
    <col min="37" max="37" width="1.625" style="30" customWidth="1"/>
    <col min="38" max="38" width="2.5" style="30" customWidth="1"/>
    <col min="39" max="42" width="2.625" style="30"/>
    <col min="43" max="43" width="11.375" style="30" bestFit="1" customWidth="1"/>
    <col min="44" max="256" width="2.625" style="30"/>
    <col min="257" max="270" width="2.625" style="30" customWidth="1"/>
    <col min="271" max="272" width="2.5" style="30" customWidth="1"/>
    <col min="273" max="273" width="2.625" style="30" customWidth="1"/>
    <col min="274" max="274" width="6" style="30" customWidth="1"/>
    <col min="275" max="276" width="2.5" style="30" customWidth="1"/>
    <col min="277" max="278" width="2.125" style="30" customWidth="1"/>
    <col min="279" max="281" width="2.5" style="30" customWidth="1"/>
    <col min="282" max="282" width="1.875" style="30" customWidth="1"/>
    <col min="283" max="285" width="2.5" style="30" customWidth="1"/>
    <col min="286" max="286" width="1.875" style="30" customWidth="1"/>
    <col min="287" max="289" width="2.5" style="30" customWidth="1"/>
    <col min="290" max="290" width="1.375" style="30" customWidth="1"/>
    <col min="291" max="291" width="2.5" style="30" customWidth="1"/>
    <col min="292" max="292" width="2.125" style="30" customWidth="1"/>
    <col min="293" max="293" width="1.625" style="30" customWidth="1"/>
    <col min="294" max="294" width="2.5" style="30" customWidth="1"/>
    <col min="295" max="512" width="2.625" style="30"/>
    <col min="513" max="526" width="2.625" style="30" customWidth="1"/>
    <col min="527" max="528" width="2.5" style="30" customWidth="1"/>
    <col min="529" max="529" width="2.625" style="30" customWidth="1"/>
    <col min="530" max="530" width="6" style="30" customWidth="1"/>
    <col min="531" max="532" width="2.5" style="30" customWidth="1"/>
    <col min="533" max="534" width="2.125" style="30" customWidth="1"/>
    <col min="535" max="537" width="2.5" style="30" customWidth="1"/>
    <col min="538" max="538" width="1.875" style="30" customWidth="1"/>
    <col min="539" max="541" width="2.5" style="30" customWidth="1"/>
    <col min="542" max="542" width="1.875" style="30" customWidth="1"/>
    <col min="543" max="545" width="2.5" style="30" customWidth="1"/>
    <col min="546" max="546" width="1.375" style="30" customWidth="1"/>
    <col min="547" max="547" width="2.5" style="30" customWidth="1"/>
    <col min="548" max="548" width="2.125" style="30" customWidth="1"/>
    <col min="549" max="549" width="1.625" style="30" customWidth="1"/>
    <col min="550" max="550" width="2.5" style="30" customWidth="1"/>
    <col min="551" max="768" width="2.625" style="30"/>
    <col min="769" max="782" width="2.625" style="30" customWidth="1"/>
    <col min="783" max="784" width="2.5" style="30" customWidth="1"/>
    <col min="785" max="785" width="2.625" style="30" customWidth="1"/>
    <col min="786" max="786" width="6" style="30" customWidth="1"/>
    <col min="787" max="788" width="2.5" style="30" customWidth="1"/>
    <col min="789" max="790" width="2.125" style="30" customWidth="1"/>
    <col min="791" max="793" width="2.5" style="30" customWidth="1"/>
    <col min="794" max="794" width="1.875" style="30" customWidth="1"/>
    <col min="795" max="797" width="2.5" style="30" customWidth="1"/>
    <col min="798" max="798" width="1.875" style="30" customWidth="1"/>
    <col min="799" max="801" width="2.5" style="30" customWidth="1"/>
    <col min="802" max="802" width="1.375" style="30" customWidth="1"/>
    <col min="803" max="803" width="2.5" style="30" customWidth="1"/>
    <col min="804" max="804" width="2.125" style="30" customWidth="1"/>
    <col min="805" max="805" width="1.625" style="30" customWidth="1"/>
    <col min="806" max="806" width="2.5" style="30" customWidth="1"/>
    <col min="807" max="1024" width="2.625" style="30"/>
    <col min="1025" max="1038" width="2.625" style="30" customWidth="1"/>
    <col min="1039" max="1040" width="2.5" style="30" customWidth="1"/>
    <col min="1041" max="1041" width="2.625" style="30" customWidth="1"/>
    <col min="1042" max="1042" width="6" style="30" customWidth="1"/>
    <col min="1043" max="1044" width="2.5" style="30" customWidth="1"/>
    <col min="1045" max="1046" width="2.125" style="30" customWidth="1"/>
    <col min="1047" max="1049" width="2.5" style="30" customWidth="1"/>
    <col min="1050" max="1050" width="1.875" style="30" customWidth="1"/>
    <col min="1051" max="1053" width="2.5" style="30" customWidth="1"/>
    <col min="1054" max="1054" width="1.875" style="30" customWidth="1"/>
    <col min="1055" max="1057" width="2.5" style="30" customWidth="1"/>
    <col min="1058" max="1058" width="1.375" style="30" customWidth="1"/>
    <col min="1059" max="1059" width="2.5" style="30" customWidth="1"/>
    <col min="1060" max="1060" width="2.125" style="30" customWidth="1"/>
    <col min="1061" max="1061" width="1.625" style="30" customWidth="1"/>
    <col min="1062" max="1062" width="2.5" style="30" customWidth="1"/>
    <col min="1063" max="1280" width="2.625" style="30"/>
    <col min="1281" max="1294" width="2.625" style="30" customWidth="1"/>
    <col min="1295" max="1296" width="2.5" style="30" customWidth="1"/>
    <col min="1297" max="1297" width="2.625" style="30" customWidth="1"/>
    <col min="1298" max="1298" width="6" style="30" customWidth="1"/>
    <col min="1299" max="1300" width="2.5" style="30" customWidth="1"/>
    <col min="1301" max="1302" width="2.125" style="30" customWidth="1"/>
    <col min="1303" max="1305" width="2.5" style="30" customWidth="1"/>
    <col min="1306" max="1306" width="1.875" style="30" customWidth="1"/>
    <col min="1307" max="1309" width="2.5" style="30" customWidth="1"/>
    <col min="1310" max="1310" width="1.875" style="30" customWidth="1"/>
    <col min="1311" max="1313" width="2.5" style="30" customWidth="1"/>
    <col min="1314" max="1314" width="1.375" style="30" customWidth="1"/>
    <col min="1315" max="1315" width="2.5" style="30" customWidth="1"/>
    <col min="1316" max="1316" width="2.125" style="30" customWidth="1"/>
    <col min="1317" max="1317" width="1.625" style="30" customWidth="1"/>
    <col min="1318" max="1318" width="2.5" style="30" customWidth="1"/>
    <col min="1319" max="1536" width="2.625" style="30"/>
    <col min="1537" max="1550" width="2.625" style="30" customWidth="1"/>
    <col min="1551" max="1552" width="2.5" style="30" customWidth="1"/>
    <col min="1553" max="1553" width="2.625" style="30" customWidth="1"/>
    <col min="1554" max="1554" width="6" style="30" customWidth="1"/>
    <col min="1555" max="1556" width="2.5" style="30" customWidth="1"/>
    <col min="1557" max="1558" width="2.125" style="30" customWidth="1"/>
    <col min="1559" max="1561" width="2.5" style="30" customWidth="1"/>
    <col min="1562" max="1562" width="1.875" style="30" customWidth="1"/>
    <col min="1563" max="1565" width="2.5" style="30" customWidth="1"/>
    <col min="1566" max="1566" width="1.875" style="30" customWidth="1"/>
    <col min="1567" max="1569" width="2.5" style="30" customWidth="1"/>
    <col min="1570" max="1570" width="1.375" style="30" customWidth="1"/>
    <col min="1571" max="1571" width="2.5" style="30" customWidth="1"/>
    <col min="1572" max="1572" width="2.125" style="30" customWidth="1"/>
    <col min="1573" max="1573" width="1.625" style="30" customWidth="1"/>
    <col min="1574" max="1574" width="2.5" style="30" customWidth="1"/>
    <col min="1575" max="1792" width="2.625" style="30"/>
    <col min="1793" max="1806" width="2.625" style="30" customWidth="1"/>
    <col min="1807" max="1808" width="2.5" style="30" customWidth="1"/>
    <col min="1809" max="1809" width="2.625" style="30" customWidth="1"/>
    <col min="1810" max="1810" width="6" style="30" customWidth="1"/>
    <col min="1811" max="1812" width="2.5" style="30" customWidth="1"/>
    <col min="1813" max="1814" width="2.125" style="30" customWidth="1"/>
    <col min="1815" max="1817" width="2.5" style="30" customWidth="1"/>
    <col min="1818" max="1818" width="1.875" style="30" customWidth="1"/>
    <col min="1819" max="1821" width="2.5" style="30" customWidth="1"/>
    <col min="1822" max="1822" width="1.875" style="30" customWidth="1"/>
    <col min="1823" max="1825" width="2.5" style="30" customWidth="1"/>
    <col min="1826" max="1826" width="1.375" style="30" customWidth="1"/>
    <col min="1827" max="1827" width="2.5" style="30" customWidth="1"/>
    <col min="1828" max="1828" width="2.125" style="30" customWidth="1"/>
    <col min="1829" max="1829" width="1.625" style="30" customWidth="1"/>
    <col min="1830" max="1830" width="2.5" style="30" customWidth="1"/>
    <col min="1831" max="2048" width="2.625" style="30"/>
    <col min="2049" max="2062" width="2.625" style="30" customWidth="1"/>
    <col min="2063" max="2064" width="2.5" style="30" customWidth="1"/>
    <col min="2065" max="2065" width="2.625" style="30" customWidth="1"/>
    <col min="2066" max="2066" width="6" style="30" customWidth="1"/>
    <col min="2067" max="2068" width="2.5" style="30" customWidth="1"/>
    <col min="2069" max="2070" width="2.125" style="30" customWidth="1"/>
    <col min="2071" max="2073" width="2.5" style="30" customWidth="1"/>
    <col min="2074" max="2074" width="1.875" style="30" customWidth="1"/>
    <col min="2075" max="2077" width="2.5" style="30" customWidth="1"/>
    <col min="2078" max="2078" width="1.875" style="30" customWidth="1"/>
    <col min="2079" max="2081" width="2.5" style="30" customWidth="1"/>
    <col min="2082" max="2082" width="1.375" style="30" customWidth="1"/>
    <col min="2083" max="2083" width="2.5" style="30" customWidth="1"/>
    <col min="2084" max="2084" width="2.125" style="30" customWidth="1"/>
    <col min="2085" max="2085" width="1.625" style="30" customWidth="1"/>
    <col min="2086" max="2086" width="2.5" style="30" customWidth="1"/>
    <col min="2087" max="2304" width="2.625" style="30"/>
    <col min="2305" max="2318" width="2.625" style="30" customWidth="1"/>
    <col min="2319" max="2320" width="2.5" style="30" customWidth="1"/>
    <col min="2321" max="2321" width="2.625" style="30" customWidth="1"/>
    <col min="2322" max="2322" width="6" style="30" customWidth="1"/>
    <col min="2323" max="2324" width="2.5" style="30" customWidth="1"/>
    <col min="2325" max="2326" width="2.125" style="30" customWidth="1"/>
    <col min="2327" max="2329" width="2.5" style="30" customWidth="1"/>
    <col min="2330" max="2330" width="1.875" style="30" customWidth="1"/>
    <col min="2331" max="2333" width="2.5" style="30" customWidth="1"/>
    <col min="2334" max="2334" width="1.875" style="30" customWidth="1"/>
    <col min="2335" max="2337" width="2.5" style="30" customWidth="1"/>
    <col min="2338" max="2338" width="1.375" style="30" customWidth="1"/>
    <col min="2339" max="2339" width="2.5" style="30" customWidth="1"/>
    <col min="2340" max="2340" width="2.125" style="30" customWidth="1"/>
    <col min="2341" max="2341" width="1.625" style="30" customWidth="1"/>
    <col min="2342" max="2342" width="2.5" style="30" customWidth="1"/>
    <col min="2343" max="2560" width="2.625" style="30"/>
    <col min="2561" max="2574" width="2.625" style="30" customWidth="1"/>
    <col min="2575" max="2576" width="2.5" style="30" customWidth="1"/>
    <col min="2577" max="2577" width="2.625" style="30" customWidth="1"/>
    <col min="2578" max="2578" width="6" style="30" customWidth="1"/>
    <col min="2579" max="2580" width="2.5" style="30" customWidth="1"/>
    <col min="2581" max="2582" width="2.125" style="30" customWidth="1"/>
    <col min="2583" max="2585" width="2.5" style="30" customWidth="1"/>
    <col min="2586" max="2586" width="1.875" style="30" customWidth="1"/>
    <col min="2587" max="2589" width="2.5" style="30" customWidth="1"/>
    <col min="2590" max="2590" width="1.875" style="30" customWidth="1"/>
    <col min="2591" max="2593" width="2.5" style="30" customWidth="1"/>
    <col min="2594" max="2594" width="1.375" style="30" customWidth="1"/>
    <col min="2595" max="2595" width="2.5" style="30" customWidth="1"/>
    <col min="2596" max="2596" width="2.125" style="30" customWidth="1"/>
    <col min="2597" max="2597" width="1.625" style="30" customWidth="1"/>
    <col min="2598" max="2598" width="2.5" style="30" customWidth="1"/>
    <col min="2599" max="2816" width="2.625" style="30"/>
    <col min="2817" max="2830" width="2.625" style="30" customWidth="1"/>
    <col min="2831" max="2832" width="2.5" style="30" customWidth="1"/>
    <col min="2833" max="2833" width="2.625" style="30" customWidth="1"/>
    <col min="2834" max="2834" width="6" style="30" customWidth="1"/>
    <col min="2835" max="2836" width="2.5" style="30" customWidth="1"/>
    <col min="2837" max="2838" width="2.125" style="30" customWidth="1"/>
    <col min="2839" max="2841" width="2.5" style="30" customWidth="1"/>
    <col min="2842" max="2842" width="1.875" style="30" customWidth="1"/>
    <col min="2843" max="2845" width="2.5" style="30" customWidth="1"/>
    <col min="2846" max="2846" width="1.875" style="30" customWidth="1"/>
    <col min="2847" max="2849" width="2.5" style="30" customWidth="1"/>
    <col min="2850" max="2850" width="1.375" style="30" customWidth="1"/>
    <col min="2851" max="2851" width="2.5" style="30" customWidth="1"/>
    <col min="2852" max="2852" width="2.125" style="30" customWidth="1"/>
    <col min="2853" max="2853" width="1.625" style="30" customWidth="1"/>
    <col min="2854" max="2854" width="2.5" style="30" customWidth="1"/>
    <col min="2855" max="3072" width="2.625" style="30"/>
    <col min="3073" max="3086" width="2.625" style="30" customWidth="1"/>
    <col min="3087" max="3088" width="2.5" style="30" customWidth="1"/>
    <col min="3089" max="3089" width="2.625" style="30" customWidth="1"/>
    <col min="3090" max="3090" width="6" style="30" customWidth="1"/>
    <col min="3091" max="3092" width="2.5" style="30" customWidth="1"/>
    <col min="3093" max="3094" width="2.125" style="30" customWidth="1"/>
    <col min="3095" max="3097" width="2.5" style="30" customWidth="1"/>
    <col min="3098" max="3098" width="1.875" style="30" customWidth="1"/>
    <col min="3099" max="3101" width="2.5" style="30" customWidth="1"/>
    <col min="3102" max="3102" width="1.875" style="30" customWidth="1"/>
    <col min="3103" max="3105" width="2.5" style="30" customWidth="1"/>
    <col min="3106" max="3106" width="1.375" style="30" customWidth="1"/>
    <col min="3107" max="3107" width="2.5" style="30" customWidth="1"/>
    <col min="3108" max="3108" width="2.125" style="30" customWidth="1"/>
    <col min="3109" max="3109" width="1.625" style="30" customWidth="1"/>
    <col min="3110" max="3110" width="2.5" style="30" customWidth="1"/>
    <col min="3111" max="3328" width="2.625" style="30"/>
    <col min="3329" max="3342" width="2.625" style="30" customWidth="1"/>
    <col min="3343" max="3344" width="2.5" style="30" customWidth="1"/>
    <col min="3345" max="3345" width="2.625" style="30" customWidth="1"/>
    <col min="3346" max="3346" width="6" style="30" customWidth="1"/>
    <col min="3347" max="3348" width="2.5" style="30" customWidth="1"/>
    <col min="3349" max="3350" width="2.125" style="30" customWidth="1"/>
    <col min="3351" max="3353" width="2.5" style="30" customWidth="1"/>
    <col min="3354" max="3354" width="1.875" style="30" customWidth="1"/>
    <col min="3355" max="3357" width="2.5" style="30" customWidth="1"/>
    <col min="3358" max="3358" width="1.875" style="30" customWidth="1"/>
    <col min="3359" max="3361" width="2.5" style="30" customWidth="1"/>
    <col min="3362" max="3362" width="1.375" style="30" customWidth="1"/>
    <col min="3363" max="3363" width="2.5" style="30" customWidth="1"/>
    <col min="3364" max="3364" width="2.125" style="30" customWidth="1"/>
    <col min="3365" max="3365" width="1.625" style="30" customWidth="1"/>
    <col min="3366" max="3366" width="2.5" style="30" customWidth="1"/>
    <col min="3367" max="3584" width="2.625" style="30"/>
    <col min="3585" max="3598" width="2.625" style="30" customWidth="1"/>
    <col min="3599" max="3600" width="2.5" style="30" customWidth="1"/>
    <col min="3601" max="3601" width="2.625" style="30" customWidth="1"/>
    <col min="3602" max="3602" width="6" style="30" customWidth="1"/>
    <col min="3603" max="3604" width="2.5" style="30" customWidth="1"/>
    <col min="3605" max="3606" width="2.125" style="30" customWidth="1"/>
    <col min="3607" max="3609" width="2.5" style="30" customWidth="1"/>
    <col min="3610" max="3610" width="1.875" style="30" customWidth="1"/>
    <col min="3611" max="3613" width="2.5" style="30" customWidth="1"/>
    <col min="3614" max="3614" width="1.875" style="30" customWidth="1"/>
    <col min="3615" max="3617" width="2.5" style="30" customWidth="1"/>
    <col min="3618" max="3618" width="1.375" style="30" customWidth="1"/>
    <col min="3619" max="3619" width="2.5" style="30" customWidth="1"/>
    <col min="3620" max="3620" width="2.125" style="30" customWidth="1"/>
    <col min="3621" max="3621" width="1.625" style="30" customWidth="1"/>
    <col min="3622" max="3622" width="2.5" style="30" customWidth="1"/>
    <col min="3623" max="3840" width="2.625" style="30"/>
    <col min="3841" max="3854" width="2.625" style="30" customWidth="1"/>
    <col min="3855" max="3856" width="2.5" style="30" customWidth="1"/>
    <col min="3857" max="3857" width="2.625" style="30" customWidth="1"/>
    <col min="3858" max="3858" width="6" style="30" customWidth="1"/>
    <col min="3859" max="3860" width="2.5" style="30" customWidth="1"/>
    <col min="3861" max="3862" width="2.125" style="30" customWidth="1"/>
    <col min="3863" max="3865" width="2.5" style="30" customWidth="1"/>
    <col min="3866" max="3866" width="1.875" style="30" customWidth="1"/>
    <col min="3867" max="3869" width="2.5" style="30" customWidth="1"/>
    <col min="3870" max="3870" width="1.875" style="30" customWidth="1"/>
    <col min="3871" max="3873" width="2.5" style="30" customWidth="1"/>
    <col min="3874" max="3874" width="1.375" style="30" customWidth="1"/>
    <col min="3875" max="3875" width="2.5" style="30" customWidth="1"/>
    <col min="3876" max="3876" width="2.125" style="30" customWidth="1"/>
    <col min="3877" max="3877" width="1.625" style="30" customWidth="1"/>
    <col min="3878" max="3878" width="2.5" style="30" customWidth="1"/>
    <col min="3879" max="4096" width="2.625" style="30"/>
    <col min="4097" max="4110" width="2.625" style="30" customWidth="1"/>
    <col min="4111" max="4112" width="2.5" style="30" customWidth="1"/>
    <col min="4113" max="4113" width="2.625" style="30" customWidth="1"/>
    <col min="4114" max="4114" width="6" style="30" customWidth="1"/>
    <col min="4115" max="4116" width="2.5" style="30" customWidth="1"/>
    <col min="4117" max="4118" width="2.125" style="30" customWidth="1"/>
    <col min="4119" max="4121" width="2.5" style="30" customWidth="1"/>
    <col min="4122" max="4122" width="1.875" style="30" customWidth="1"/>
    <col min="4123" max="4125" width="2.5" style="30" customWidth="1"/>
    <col min="4126" max="4126" width="1.875" style="30" customWidth="1"/>
    <col min="4127" max="4129" width="2.5" style="30" customWidth="1"/>
    <col min="4130" max="4130" width="1.375" style="30" customWidth="1"/>
    <col min="4131" max="4131" width="2.5" style="30" customWidth="1"/>
    <col min="4132" max="4132" width="2.125" style="30" customWidth="1"/>
    <col min="4133" max="4133" width="1.625" style="30" customWidth="1"/>
    <col min="4134" max="4134" width="2.5" style="30" customWidth="1"/>
    <col min="4135" max="4352" width="2.625" style="30"/>
    <col min="4353" max="4366" width="2.625" style="30" customWidth="1"/>
    <col min="4367" max="4368" width="2.5" style="30" customWidth="1"/>
    <col min="4369" max="4369" width="2.625" style="30" customWidth="1"/>
    <col min="4370" max="4370" width="6" style="30" customWidth="1"/>
    <col min="4371" max="4372" width="2.5" style="30" customWidth="1"/>
    <col min="4373" max="4374" width="2.125" style="30" customWidth="1"/>
    <col min="4375" max="4377" width="2.5" style="30" customWidth="1"/>
    <col min="4378" max="4378" width="1.875" style="30" customWidth="1"/>
    <col min="4379" max="4381" width="2.5" style="30" customWidth="1"/>
    <col min="4382" max="4382" width="1.875" style="30" customWidth="1"/>
    <col min="4383" max="4385" width="2.5" style="30" customWidth="1"/>
    <col min="4386" max="4386" width="1.375" style="30" customWidth="1"/>
    <col min="4387" max="4387" width="2.5" style="30" customWidth="1"/>
    <col min="4388" max="4388" width="2.125" style="30" customWidth="1"/>
    <col min="4389" max="4389" width="1.625" style="30" customWidth="1"/>
    <col min="4390" max="4390" width="2.5" style="30" customWidth="1"/>
    <col min="4391" max="4608" width="2.625" style="30"/>
    <col min="4609" max="4622" width="2.625" style="30" customWidth="1"/>
    <col min="4623" max="4624" width="2.5" style="30" customWidth="1"/>
    <col min="4625" max="4625" width="2.625" style="30" customWidth="1"/>
    <col min="4626" max="4626" width="6" style="30" customWidth="1"/>
    <col min="4627" max="4628" width="2.5" style="30" customWidth="1"/>
    <col min="4629" max="4630" width="2.125" style="30" customWidth="1"/>
    <col min="4631" max="4633" width="2.5" style="30" customWidth="1"/>
    <col min="4634" max="4634" width="1.875" style="30" customWidth="1"/>
    <col min="4635" max="4637" width="2.5" style="30" customWidth="1"/>
    <col min="4638" max="4638" width="1.875" style="30" customWidth="1"/>
    <col min="4639" max="4641" width="2.5" style="30" customWidth="1"/>
    <col min="4642" max="4642" width="1.375" style="30" customWidth="1"/>
    <col min="4643" max="4643" width="2.5" style="30" customWidth="1"/>
    <col min="4644" max="4644" width="2.125" style="30" customWidth="1"/>
    <col min="4645" max="4645" width="1.625" style="30" customWidth="1"/>
    <col min="4646" max="4646" width="2.5" style="30" customWidth="1"/>
    <col min="4647" max="4864" width="2.625" style="30"/>
    <col min="4865" max="4878" width="2.625" style="30" customWidth="1"/>
    <col min="4879" max="4880" width="2.5" style="30" customWidth="1"/>
    <col min="4881" max="4881" width="2.625" style="30" customWidth="1"/>
    <col min="4882" max="4882" width="6" style="30" customWidth="1"/>
    <col min="4883" max="4884" width="2.5" style="30" customWidth="1"/>
    <col min="4885" max="4886" width="2.125" style="30" customWidth="1"/>
    <col min="4887" max="4889" width="2.5" style="30" customWidth="1"/>
    <col min="4890" max="4890" width="1.875" style="30" customWidth="1"/>
    <col min="4891" max="4893" width="2.5" style="30" customWidth="1"/>
    <col min="4894" max="4894" width="1.875" style="30" customWidth="1"/>
    <col min="4895" max="4897" width="2.5" style="30" customWidth="1"/>
    <col min="4898" max="4898" width="1.375" style="30" customWidth="1"/>
    <col min="4899" max="4899" width="2.5" style="30" customWidth="1"/>
    <col min="4900" max="4900" width="2.125" style="30" customWidth="1"/>
    <col min="4901" max="4901" width="1.625" style="30" customWidth="1"/>
    <col min="4902" max="4902" width="2.5" style="30" customWidth="1"/>
    <col min="4903" max="5120" width="2.625" style="30"/>
    <col min="5121" max="5134" width="2.625" style="30" customWidth="1"/>
    <col min="5135" max="5136" width="2.5" style="30" customWidth="1"/>
    <col min="5137" max="5137" width="2.625" style="30" customWidth="1"/>
    <col min="5138" max="5138" width="6" style="30" customWidth="1"/>
    <col min="5139" max="5140" width="2.5" style="30" customWidth="1"/>
    <col min="5141" max="5142" width="2.125" style="30" customWidth="1"/>
    <col min="5143" max="5145" width="2.5" style="30" customWidth="1"/>
    <col min="5146" max="5146" width="1.875" style="30" customWidth="1"/>
    <col min="5147" max="5149" width="2.5" style="30" customWidth="1"/>
    <col min="5150" max="5150" width="1.875" style="30" customWidth="1"/>
    <col min="5151" max="5153" width="2.5" style="30" customWidth="1"/>
    <col min="5154" max="5154" width="1.375" style="30" customWidth="1"/>
    <col min="5155" max="5155" width="2.5" style="30" customWidth="1"/>
    <col min="5156" max="5156" width="2.125" style="30" customWidth="1"/>
    <col min="5157" max="5157" width="1.625" style="30" customWidth="1"/>
    <col min="5158" max="5158" width="2.5" style="30" customWidth="1"/>
    <col min="5159" max="5376" width="2.625" style="30"/>
    <col min="5377" max="5390" width="2.625" style="30" customWidth="1"/>
    <col min="5391" max="5392" width="2.5" style="30" customWidth="1"/>
    <col min="5393" max="5393" width="2.625" style="30" customWidth="1"/>
    <col min="5394" max="5394" width="6" style="30" customWidth="1"/>
    <col min="5395" max="5396" width="2.5" style="30" customWidth="1"/>
    <col min="5397" max="5398" width="2.125" style="30" customWidth="1"/>
    <col min="5399" max="5401" width="2.5" style="30" customWidth="1"/>
    <col min="5402" max="5402" width="1.875" style="30" customWidth="1"/>
    <col min="5403" max="5405" width="2.5" style="30" customWidth="1"/>
    <col min="5406" max="5406" width="1.875" style="30" customWidth="1"/>
    <col min="5407" max="5409" width="2.5" style="30" customWidth="1"/>
    <col min="5410" max="5410" width="1.375" style="30" customWidth="1"/>
    <col min="5411" max="5411" width="2.5" style="30" customWidth="1"/>
    <col min="5412" max="5412" width="2.125" style="30" customWidth="1"/>
    <col min="5413" max="5413" width="1.625" style="30" customWidth="1"/>
    <col min="5414" max="5414" width="2.5" style="30" customWidth="1"/>
    <col min="5415" max="5632" width="2.625" style="30"/>
    <col min="5633" max="5646" width="2.625" style="30" customWidth="1"/>
    <col min="5647" max="5648" width="2.5" style="30" customWidth="1"/>
    <col min="5649" max="5649" width="2.625" style="30" customWidth="1"/>
    <col min="5650" max="5650" width="6" style="30" customWidth="1"/>
    <col min="5651" max="5652" width="2.5" style="30" customWidth="1"/>
    <col min="5653" max="5654" width="2.125" style="30" customWidth="1"/>
    <col min="5655" max="5657" width="2.5" style="30" customWidth="1"/>
    <col min="5658" max="5658" width="1.875" style="30" customWidth="1"/>
    <col min="5659" max="5661" width="2.5" style="30" customWidth="1"/>
    <col min="5662" max="5662" width="1.875" style="30" customWidth="1"/>
    <col min="5663" max="5665" width="2.5" style="30" customWidth="1"/>
    <col min="5666" max="5666" width="1.375" style="30" customWidth="1"/>
    <col min="5667" max="5667" width="2.5" style="30" customWidth="1"/>
    <col min="5668" max="5668" width="2.125" style="30" customWidth="1"/>
    <col min="5669" max="5669" width="1.625" style="30" customWidth="1"/>
    <col min="5670" max="5670" width="2.5" style="30" customWidth="1"/>
    <col min="5671" max="5888" width="2.625" style="30"/>
    <col min="5889" max="5902" width="2.625" style="30" customWidth="1"/>
    <col min="5903" max="5904" width="2.5" style="30" customWidth="1"/>
    <col min="5905" max="5905" width="2.625" style="30" customWidth="1"/>
    <col min="5906" max="5906" width="6" style="30" customWidth="1"/>
    <col min="5907" max="5908" width="2.5" style="30" customWidth="1"/>
    <col min="5909" max="5910" width="2.125" style="30" customWidth="1"/>
    <col min="5911" max="5913" width="2.5" style="30" customWidth="1"/>
    <col min="5914" max="5914" width="1.875" style="30" customWidth="1"/>
    <col min="5915" max="5917" width="2.5" style="30" customWidth="1"/>
    <col min="5918" max="5918" width="1.875" style="30" customWidth="1"/>
    <col min="5919" max="5921" width="2.5" style="30" customWidth="1"/>
    <col min="5922" max="5922" width="1.375" style="30" customWidth="1"/>
    <col min="5923" max="5923" width="2.5" style="30" customWidth="1"/>
    <col min="5924" max="5924" width="2.125" style="30" customWidth="1"/>
    <col min="5925" max="5925" width="1.625" style="30" customWidth="1"/>
    <col min="5926" max="5926" width="2.5" style="30" customWidth="1"/>
    <col min="5927" max="6144" width="2.625" style="30"/>
    <col min="6145" max="6158" width="2.625" style="30" customWidth="1"/>
    <col min="6159" max="6160" width="2.5" style="30" customWidth="1"/>
    <col min="6161" max="6161" width="2.625" style="30" customWidth="1"/>
    <col min="6162" max="6162" width="6" style="30" customWidth="1"/>
    <col min="6163" max="6164" width="2.5" style="30" customWidth="1"/>
    <col min="6165" max="6166" width="2.125" style="30" customWidth="1"/>
    <col min="6167" max="6169" width="2.5" style="30" customWidth="1"/>
    <col min="6170" max="6170" width="1.875" style="30" customWidth="1"/>
    <col min="6171" max="6173" width="2.5" style="30" customWidth="1"/>
    <col min="6174" max="6174" width="1.875" style="30" customWidth="1"/>
    <col min="6175" max="6177" width="2.5" style="30" customWidth="1"/>
    <col min="6178" max="6178" width="1.375" style="30" customWidth="1"/>
    <col min="6179" max="6179" width="2.5" style="30" customWidth="1"/>
    <col min="6180" max="6180" width="2.125" style="30" customWidth="1"/>
    <col min="6181" max="6181" width="1.625" style="30" customWidth="1"/>
    <col min="6182" max="6182" width="2.5" style="30" customWidth="1"/>
    <col min="6183" max="6400" width="2.625" style="30"/>
    <col min="6401" max="6414" width="2.625" style="30" customWidth="1"/>
    <col min="6415" max="6416" width="2.5" style="30" customWidth="1"/>
    <col min="6417" max="6417" width="2.625" style="30" customWidth="1"/>
    <col min="6418" max="6418" width="6" style="30" customWidth="1"/>
    <col min="6419" max="6420" width="2.5" style="30" customWidth="1"/>
    <col min="6421" max="6422" width="2.125" style="30" customWidth="1"/>
    <col min="6423" max="6425" width="2.5" style="30" customWidth="1"/>
    <col min="6426" max="6426" width="1.875" style="30" customWidth="1"/>
    <col min="6427" max="6429" width="2.5" style="30" customWidth="1"/>
    <col min="6430" max="6430" width="1.875" style="30" customWidth="1"/>
    <col min="6431" max="6433" width="2.5" style="30" customWidth="1"/>
    <col min="6434" max="6434" width="1.375" style="30" customWidth="1"/>
    <col min="6435" max="6435" width="2.5" style="30" customWidth="1"/>
    <col min="6436" max="6436" width="2.125" style="30" customWidth="1"/>
    <col min="6437" max="6437" width="1.625" style="30" customWidth="1"/>
    <col min="6438" max="6438" width="2.5" style="30" customWidth="1"/>
    <col min="6439" max="6656" width="2.625" style="30"/>
    <col min="6657" max="6670" width="2.625" style="30" customWidth="1"/>
    <col min="6671" max="6672" width="2.5" style="30" customWidth="1"/>
    <col min="6673" max="6673" width="2.625" style="30" customWidth="1"/>
    <col min="6674" max="6674" width="6" style="30" customWidth="1"/>
    <col min="6675" max="6676" width="2.5" style="30" customWidth="1"/>
    <col min="6677" max="6678" width="2.125" style="30" customWidth="1"/>
    <col min="6679" max="6681" width="2.5" style="30" customWidth="1"/>
    <col min="6682" max="6682" width="1.875" style="30" customWidth="1"/>
    <col min="6683" max="6685" width="2.5" style="30" customWidth="1"/>
    <col min="6686" max="6686" width="1.875" style="30" customWidth="1"/>
    <col min="6687" max="6689" width="2.5" style="30" customWidth="1"/>
    <col min="6690" max="6690" width="1.375" style="30" customWidth="1"/>
    <col min="6691" max="6691" width="2.5" style="30" customWidth="1"/>
    <col min="6692" max="6692" width="2.125" style="30" customWidth="1"/>
    <col min="6693" max="6693" width="1.625" style="30" customWidth="1"/>
    <col min="6694" max="6694" width="2.5" style="30" customWidth="1"/>
    <col min="6695" max="6912" width="2.625" style="30"/>
    <col min="6913" max="6926" width="2.625" style="30" customWidth="1"/>
    <col min="6927" max="6928" width="2.5" style="30" customWidth="1"/>
    <col min="6929" max="6929" width="2.625" style="30" customWidth="1"/>
    <col min="6930" max="6930" width="6" style="30" customWidth="1"/>
    <col min="6931" max="6932" width="2.5" style="30" customWidth="1"/>
    <col min="6933" max="6934" width="2.125" style="30" customWidth="1"/>
    <col min="6935" max="6937" width="2.5" style="30" customWidth="1"/>
    <col min="6938" max="6938" width="1.875" style="30" customWidth="1"/>
    <col min="6939" max="6941" width="2.5" style="30" customWidth="1"/>
    <col min="6942" max="6942" width="1.875" style="30" customWidth="1"/>
    <col min="6943" max="6945" width="2.5" style="30" customWidth="1"/>
    <col min="6946" max="6946" width="1.375" style="30" customWidth="1"/>
    <col min="6947" max="6947" width="2.5" style="30" customWidth="1"/>
    <col min="6948" max="6948" width="2.125" style="30" customWidth="1"/>
    <col min="6949" max="6949" width="1.625" style="30" customWidth="1"/>
    <col min="6950" max="6950" width="2.5" style="30" customWidth="1"/>
    <col min="6951" max="7168" width="2.625" style="30"/>
    <col min="7169" max="7182" width="2.625" style="30" customWidth="1"/>
    <col min="7183" max="7184" width="2.5" style="30" customWidth="1"/>
    <col min="7185" max="7185" width="2.625" style="30" customWidth="1"/>
    <col min="7186" max="7186" width="6" style="30" customWidth="1"/>
    <col min="7187" max="7188" width="2.5" style="30" customWidth="1"/>
    <col min="7189" max="7190" width="2.125" style="30" customWidth="1"/>
    <col min="7191" max="7193" width="2.5" style="30" customWidth="1"/>
    <col min="7194" max="7194" width="1.875" style="30" customWidth="1"/>
    <col min="7195" max="7197" width="2.5" style="30" customWidth="1"/>
    <col min="7198" max="7198" width="1.875" style="30" customWidth="1"/>
    <col min="7199" max="7201" width="2.5" style="30" customWidth="1"/>
    <col min="7202" max="7202" width="1.375" style="30" customWidth="1"/>
    <col min="7203" max="7203" width="2.5" style="30" customWidth="1"/>
    <col min="7204" max="7204" width="2.125" style="30" customWidth="1"/>
    <col min="7205" max="7205" width="1.625" style="30" customWidth="1"/>
    <col min="7206" max="7206" width="2.5" style="30" customWidth="1"/>
    <col min="7207" max="7424" width="2.625" style="30"/>
    <col min="7425" max="7438" width="2.625" style="30" customWidth="1"/>
    <col min="7439" max="7440" width="2.5" style="30" customWidth="1"/>
    <col min="7441" max="7441" width="2.625" style="30" customWidth="1"/>
    <col min="7442" max="7442" width="6" style="30" customWidth="1"/>
    <col min="7443" max="7444" width="2.5" style="30" customWidth="1"/>
    <col min="7445" max="7446" width="2.125" style="30" customWidth="1"/>
    <col min="7447" max="7449" width="2.5" style="30" customWidth="1"/>
    <col min="7450" max="7450" width="1.875" style="30" customWidth="1"/>
    <col min="7451" max="7453" width="2.5" style="30" customWidth="1"/>
    <col min="7454" max="7454" width="1.875" style="30" customWidth="1"/>
    <col min="7455" max="7457" width="2.5" style="30" customWidth="1"/>
    <col min="7458" max="7458" width="1.375" style="30" customWidth="1"/>
    <col min="7459" max="7459" width="2.5" style="30" customWidth="1"/>
    <col min="7460" max="7460" width="2.125" style="30" customWidth="1"/>
    <col min="7461" max="7461" width="1.625" style="30" customWidth="1"/>
    <col min="7462" max="7462" width="2.5" style="30" customWidth="1"/>
    <col min="7463" max="7680" width="2.625" style="30"/>
    <col min="7681" max="7694" width="2.625" style="30" customWidth="1"/>
    <col min="7695" max="7696" width="2.5" style="30" customWidth="1"/>
    <col min="7697" max="7697" width="2.625" style="30" customWidth="1"/>
    <col min="7698" max="7698" width="6" style="30" customWidth="1"/>
    <col min="7699" max="7700" width="2.5" style="30" customWidth="1"/>
    <col min="7701" max="7702" width="2.125" style="30" customWidth="1"/>
    <col min="7703" max="7705" width="2.5" style="30" customWidth="1"/>
    <col min="7706" max="7706" width="1.875" style="30" customWidth="1"/>
    <col min="7707" max="7709" width="2.5" style="30" customWidth="1"/>
    <col min="7710" max="7710" width="1.875" style="30" customWidth="1"/>
    <col min="7711" max="7713" width="2.5" style="30" customWidth="1"/>
    <col min="7714" max="7714" width="1.375" style="30" customWidth="1"/>
    <col min="7715" max="7715" width="2.5" style="30" customWidth="1"/>
    <col min="7716" max="7716" width="2.125" style="30" customWidth="1"/>
    <col min="7717" max="7717" width="1.625" style="30" customWidth="1"/>
    <col min="7718" max="7718" width="2.5" style="30" customWidth="1"/>
    <col min="7719" max="7936" width="2.625" style="30"/>
    <col min="7937" max="7950" width="2.625" style="30" customWidth="1"/>
    <col min="7951" max="7952" width="2.5" style="30" customWidth="1"/>
    <col min="7953" max="7953" width="2.625" style="30" customWidth="1"/>
    <col min="7954" max="7954" width="6" style="30" customWidth="1"/>
    <col min="7955" max="7956" width="2.5" style="30" customWidth="1"/>
    <col min="7957" max="7958" width="2.125" style="30" customWidth="1"/>
    <col min="7959" max="7961" width="2.5" style="30" customWidth="1"/>
    <col min="7962" max="7962" width="1.875" style="30" customWidth="1"/>
    <col min="7963" max="7965" width="2.5" style="30" customWidth="1"/>
    <col min="7966" max="7966" width="1.875" style="30" customWidth="1"/>
    <col min="7967" max="7969" width="2.5" style="30" customWidth="1"/>
    <col min="7970" max="7970" width="1.375" style="30" customWidth="1"/>
    <col min="7971" max="7971" width="2.5" style="30" customWidth="1"/>
    <col min="7972" max="7972" width="2.125" style="30" customWidth="1"/>
    <col min="7973" max="7973" width="1.625" style="30" customWidth="1"/>
    <col min="7974" max="7974" width="2.5" style="30" customWidth="1"/>
    <col min="7975" max="8192" width="2.625" style="30"/>
    <col min="8193" max="8206" width="2.625" style="30" customWidth="1"/>
    <col min="8207" max="8208" width="2.5" style="30" customWidth="1"/>
    <col min="8209" max="8209" width="2.625" style="30" customWidth="1"/>
    <col min="8210" max="8210" width="6" style="30" customWidth="1"/>
    <col min="8211" max="8212" width="2.5" style="30" customWidth="1"/>
    <col min="8213" max="8214" width="2.125" style="30" customWidth="1"/>
    <col min="8215" max="8217" width="2.5" style="30" customWidth="1"/>
    <col min="8218" max="8218" width="1.875" style="30" customWidth="1"/>
    <col min="8219" max="8221" width="2.5" style="30" customWidth="1"/>
    <col min="8222" max="8222" width="1.875" style="30" customWidth="1"/>
    <col min="8223" max="8225" width="2.5" style="30" customWidth="1"/>
    <col min="8226" max="8226" width="1.375" style="30" customWidth="1"/>
    <col min="8227" max="8227" width="2.5" style="30" customWidth="1"/>
    <col min="8228" max="8228" width="2.125" style="30" customWidth="1"/>
    <col min="8229" max="8229" width="1.625" style="30" customWidth="1"/>
    <col min="8230" max="8230" width="2.5" style="30" customWidth="1"/>
    <col min="8231" max="8448" width="2.625" style="30"/>
    <col min="8449" max="8462" width="2.625" style="30" customWidth="1"/>
    <col min="8463" max="8464" width="2.5" style="30" customWidth="1"/>
    <col min="8465" max="8465" width="2.625" style="30" customWidth="1"/>
    <col min="8466" max="8466" width="6" style="30" customWidth="1"/>
    <col min="8467" max="8468" width="2.5" style="30" customWidth="1"/>
    <col min="8469" max="8470" width="2.125" style="30" customWidth="1"/>
    <col min="8471" max="8473" width="2.5" style="30" customWidth="1"/>
    <col min="8474" max="8474" width="1.875" style="30" customWidth="1"/>
    <col min="8475" max="8477" width="2.5" style="30" customWidth="1"/>
    <col min="8478" max="8478" width="1.875" style="30" customWidth="1"/>
    <col min="8479" max="8481" width="2.5" style="30" customWidth="1"/>
    <col min="8482" max="8482" width="1.375" style="30" customWidth="1"/>
    <col min="8483" max="8483" width="2.5" style="30" customWidth="1"/>
    <col min="8484" max="8484" width="2.125" style="30" customWidth="1"/>
    <col min="8485" max="8485" width="1.625" style="30" customWidth="1"/>
    <col min="8486" max="8486" width="2.5" style="30" customWidth="1"/>
    <col min="8487" max="8704" width="2.625" style="30"/>
    <col min="8705" max="8718" width="2.625" style="30" customWidth="1"/>
    <col min="8719" max="8720" width="2.5" style="30" customWidth="1"/>
    <col min="8721" max="8721" width="2.625" style="30" customWidth="1"/>
    <col min="8722" max="8722" width="6" style="30" customWidth="1"/>
    <col min="8723" max="8724" width="2.5" style="30" customWidth="1"/>
    <col min="8725" max="8726" width="2.125" style="30" customWidth="1"/>
    <col min="8727" max="8729" width="2.5" style="30" customWidth="1"/>
    <col min="8730" max="8730" width="1.875" style="30" customWidth="1"/>
    <col min="8731" max="8733" width="2.5" style="30" customWidth="1"/>
    <col min="8734" max="8734" width="1.875" style="30" customWidth="1"/>
    <col min="8735" max="8737" width="2.5" style="30" customWidth="1"/>
    <col min="8738" max="8738" width="1.375" style="30" customWidth="1"/>
    <col min="8739" max="8739" width="2.5" style="30" customWidth="1"/>
    <col min="8740" max="8740" width="2.125" style="30" customWidth="1"/>
    <col min="8741" max="8741" width="1.625" style="30" customWidth="1"/>
    <col min="8742" max="8742" width="2.5" style="30" customWidth="1"/>
    <col min="8743" max="8960" width="2.625" style="30"/>
    <col min="8961" max="8974" width="2.625" style="30" customWidth="1"/>
    <col min="8975" max="8976" width="2.5" style="30" customWidth="1"/>
    <col min="8977" max="8977" width="2.625" style="30" customWidth="1"/>
    <col min="8978" max="8978" width="6" style="30" customWidth="1"/>
    <col min="8979" max="8980" width="2.5" style="30" customWidth="1"/>
    <col min="8981" max="8982" width="2.125" style="30" customWidth="1"/>
    <col min="8983" max="8985" width="2.5" style="30" customWidth="1"/>
    <col min="8986" max="8986" width="1.875" style="30" customWidth="1"/>
    <col min="8987" max="8989" width="2.5" style="30" customWidth="1"/>
    <col min="8990" max="8990" width="1.875" style="30" customWidth="1"/>
    <col min="8991" max="8993" width="2.5" style="30" customWidth="1"/>
    <col min="8994" max="8994" width="1.375" style="30" customWidth="1"/>
    <col min="8995" max="8995" width="2.5" style="30" customWidth="1"/>
    <col min="8996" max="8996" width="2.125" style="30" customWidth="1"/>
    <col min="8997" max="8997" width="1.625" style="30" customWidth="1"/>
    <col min="8998" max="8998" width="2.5" style="30" customWidth="1"/>
    <col min="8999" max="9216" width="2.625" style="30"/>
    <col min="9217" max="9230" width="2.625" style="30" customWidth="1"/>
    <col min="9231" max="9232" width="2.5" style="30" customWidth="1"/>
    <col min="9233" max="9233" width="2.625" style="30" customWidth="1"/>
    <col min="9234" max="9234" width="6" style="30" customWidth="1"/>
    <col min="9235" max="9236" width="2.5" style="30" customWidth="1"/>
    <col min="9237" max="9238" width="2.125" style="30" customWidth="1"/>
    <col min="9239" max="9241" width="2.5" style="30" customWidth="1"/>
    <col min="9242" max="9242" width="1.875" style="30" customWidth="1"/>
    <col min="9243" max="9245" width="2.5" style="30" customWidth="1"/>
    <col min="9246" max="9246" width="1.875" style="30" customWidth="1"/>
    <col min="9247" max="9249" width="2.5" style="30" customWidth="1"/>
    <col min="9250" max="9250" width="1.375" style="30" customWidth="1"/>
    <col min="9251" max="9251" width="2.5" style="30" customWidth="1"/>
    <col min="9252" max="9252" width="2.125" style="30" customWidth="1"/>
    <col min="9253" max="9253" width="1.625" style="30" customWidth="1"/>
    <col min="9254" max="9254" width="2.5" style="30" customWidth="1"/>
    <col min="9255" max="9472" width="2.625" style="30"/>
    <col min="9473" max="9486" width="2.625" style="30" customWidth="1"/>
    <col min="9487" max="9488" width="2.5" style="30" customWidth="1"/>
    <col min="9489" max="9489" width="2.625" style="30" customWidth="1"/>
    <col min="9490" max="9490" width="6" style="30" customWidth="1"/>
    <col min="9491" max="9492" width="2.5" style="30" customWidth="1"/>
    <col min="9493" max="9494" width="2.125" style="30" customWidth="1"/>
    <col min="9495" max="9497" width="2.5" style="30" customWidth="1"/>
    <col min="9498" max="9498" width="1.875" style="30" customWidth="1"/>
    <col min="9499" max="9501" width="2.5" style="30" customWidth="1"/>
    <col min="9502" max="9502" width="1.875" style="30" customWidth="1"/>
    <col min="9503" max="9505" width="2.5" style="30" customWidth="1"/>
    <col min="9506" max="9506" width="1.375" style="30" customWidth="1"/>
    <col min="9507" max="9507" width="2.5" style="30" customWidth="1"/>
    <col min="9508" max="9508" width="2.125" style="30" customWidth="1"/>
    <col min="9509" max="9509" width="1.625" style="30" customWidth="1"/>
    <col min="9510" max="9510" width="2.5" style="30" customWidth="1"/>
    <col min="9511" max="9728" width="2.625" style="30"/>
    <col min="9729" max="9742" width="2.625" style="30" customWidth="1"/>
    <col min="9743" max="9744" width="2.5" style="30" customWidth="1"/>
    <col min="9745" max="9745" width="2.625" style="30" customWidth="1"/>
    <col min="9746" max="9746" width="6" style="30" customWidth="1"/>
    <col min="9747" max="9748" width="2.5" style="30" customWidth="1"/>
    <col min="9749" max="9750" width="2.125" style="30" customWidth="1"/>
    <col min="9751" max="9753" width="2.5" style="30" customWidth="1"/>
    <col min="9754" max="9754" width="1.875" style="30" customWidth="1"/>
    <col min="9755" max="9757" width="2.5" style="30" customWidth="1"/>
    <col min="9758" max="9758" width="1.875" style="30" customWidth="1"/>
    <col min="9759" max="9761" width="2.5" style="30" customWidth="1"/>
    <col min="9762" max="9762" width="1.375" style="30" customWidth="1"/>
    <col min="9763" max="9763" width="2.5" style="30" customWidth="1"/>
    <col min="9764" max="9764" width="2.125" style="30" customWidth="1"/>
    <col min="9765" max="9765" width="1.625" style="30" customWidth="1"/>
    <col min="9766" max="9766" width="2.5" style="30" customWidth="1"/>
    <col min="9767" max="9984" width="2.625" style="30"/>
    <col min="9985" max="9998" width="2.625" style="30" customWidth="1"/>
    <col min="9999" max="10000" width="2.5" style="30" customWidth="1"/>
    <col min="10001" max="10001" width="2.625" style="30" customWidth="1"/>
    <col min="10002" max="10002" width="6" style="30" customWidth="1"/>
    <col min="10003" max="10004" width="2.5" style="30" customWidth="1"/>
    <col min="10005" max="10006" width="2.125" style="30" customWidth="1"/>
    <col min="10007" max="10009" width="2.5" style="30" customWidth="1"/>
    <col min="10010" max="10010" width="1.875" style="30" customWidth="1"/>
    <col min="10011" max="10013" width="2.5" style="30" customWidth="1"/>
    <col min="10014" max="10014" width="1.875" style="30" customWidth="1"/>
    <col min="10015" max="10017" width="2.5" style="30" customWidth="1"/>
    <col min="10018" max="10018" width="1.375" style="30" customWidth="1"/>
    <col min="10019" max="10019" width="2.5" style="30" customWidth="1"/>
    <col min="10020" max="10020" width="2.125" style="30" customWidth="1"/>
    <col min="10021" max="10021" width="1.625" style="30" customWidth="1"/>
    <col min="10022" max="10022" width="2.5" style="30" customWidth="1"/>
    <col min="10023" max="10240" width="2.625" style="30"/>
    <col min="10241" max="10254" width="2.625" style="30" customWidth="1"/>
    <col min="10255" max="10256" width="2.5" style="30" customWidth="1"/>
    <col min="10257" max="10257" width="2.625" style="30" customWidth="1"/>
    <col min="10258" max="10258" width="6" style="30" customWidth="1"/>
    <col min="10259" max="10260" width="2.5" style="30" customWidth="1"/>
    <col min="10261" max="10262" width="2.125" style="30" customWidth="1"/>
    <col min="10263" max="10265" width="2.5" style="30" customWidth="1"/>
    <col min="10266" max="10266" width="1.875" style="30" customWidth="1"/>
    <col min="10267" max="10269" width="2.5" style="30" customWidth="1"/>
    <col min="10270" max="10270" width="1.875" style="30" customWidth="1"/>
    <col min="10271" max="10273" width="2.5" style="30" customWidth="1"/>
    <col min="10274" max="10274" width="1.375" style="30" customWidth="1"/>
    <col min="10275" max="10275" width="2.5" style="30" customWidth="1"/>
    <col min="10276" max="10276" width="2.125" style="30" customWidth="1"/>
    <col min="10277" max="10277" width="1.625" style="30" customWidth="1"/>
    <col min="10278" max="10278" width="2.5" style="30" customWidth="1"/>
    <col min="10279" max="10496" width="2.625" style="30"/>
    <col min="10497" max="10510" width="2.625" style="30" customWidth="1"/>
    <col min="10511" max="10512" width="2.5" style="30" customWidth="1"/>
    <col min="10513" max="10513" width="2.625" style="30" customWidth="1"/>
    <col min="10514" max="10514" width="6" style="30" customWidth="1"/>
    <col min="10515" max="10516" width="2.5" style="30" customWidth="1"/>
    <col min="10517" max="10518" width="2.125" style="30" customWidth="1"/>
    <col min="10519" max="10521" width="2.5" style="30" customWidth="1"/>
    <col min="10522" max="10522" width="1.875" style="30" customWidth="1"/>
    <col min="10523" max="10525" width="2.5" style="30" customWidth="1"/>
    <col min="10526" max="10526" width="1.875" style="30" customWidth="1"/>
    <col min="10527" max="10529" width="2.5" style="30" customWidth="1"/>
    <col min="10530" max="10530" width="1.375" style="30" customWidth="1"/>
    <col min="10531" max="10531" width="2.5" style="30" customWidth="1"/>
    <col min="10532" max="10532" width="2.125" style="30" customWidth="1"/>
    <col min="10533" max="10533" width="1.625" style="30" customWidth="1"/>
    <col min="10534" max="10534" width="2.5" style="30" customWidth="1"/>
    <col min="10535" max="10752" width="2.625" style="30"/>
    <col min="10753" max="10766" width="2.625" style="30" customWidth="1"/>
    <col min="10767" max="10768" width="2.5" style="30" customWidth="1"/>
    <col min="10769" max="10769" width="2.625" style="30" customWidth="1"/>
    <col min="10770" max="10770" width="6" style="30" customWidth="1"/>
    <col min="10771" max="10772" width="2.5" style="30" customWidth="1"/>
    <col min="10773" max="10774" width="2.125" style="30" customWidth="1"/>
    <col min="10775" max="10777" width="2.5" style="30" customWidth="1"/>
    <col min="10778" max="10778" width="1.875" style="30" customWidth="1"/>
    <col min="10779" max="10781" width="2.5" style="30" customWidth="1"/>
    <col min="10782" max="10782" width="1.875" style="30" customWidth="1"/>
    <col min="10783" max="10785" width="2.5" style="30" customWidth="1"/>
    <col min="10786" max="10786" width="1.375" style="30" customWidth="1"/>
    <col min="10787" max="10787" width="2.5" style="30" customWidth="1"/>
    <col min="10788" max="10788" width="2.125" style="30" customWidth="1"/>
    <col min="10789" max="10789" width="1.625" style="30" customWidth="1"/>
    <col min="10790" max="10790" width="2.5" style="30" customWidth="1"/>
    <col min="10791" max="11008" width="2.625" style="30"/>
    <col min="11009" max="11022" width="2.625" style="30" customWidth="1"/>
    <col min="11023" max="11024" width="2.5" style="30" customWidth="1"/>
    <col min="11025" max="11025" width="2.625" style="30" customWidth="1"/>
    <col min="11026" max="11026" width="6" style="30" customWidth="1"/>
    <col min="11027" max="11028" width="2.5" style="30" customWidth="1"/>
    <col min="11029" max="11030" width="2.125" style="30" customWidth="1"/>
    <col min="11031" max="11033" width="2.5" style="30" customWidth="1"/>
    <col min="11034" max="11034" width="1.875" style="30" customWidth="1"/>
    <col min="11035" max="11037" width="2.5" style="30" customWidth="1"/>
    <col min="11038" max="11038" width="1.875" style="30" customWidth="1"/>
    <col min="11039" max="11041" width="2.5" style="30" customWidth="1"/>
    <col min="11042" max="11042" width="1.375" style="30" customWidth="1"/>
    <col min="11043" max="11043" width="2.5" style="30" customWidth="1"/>
    <col min="11044" max="11044" width="2.125" style="30" customWidth="1"/>
    <col min="11045" max="11045" width="1.625" style="30" customWidth="1"/>
    <col min="11046" max="11046" width="2.5" style="30" customWidth="1"/>
    <col min="11047" max="11264" width="2.625" style="30"/>
    <col min="11265" max="11278" width="2.625" style="30" customWidth="1"/>
    <col min="11279" max="11280" width="2.5" style="30" customWidth="1"/>
    <col min="11281" max="11281" width="2.625" style="30" customWidth="1"/>
    <col min="11282" max="11282" width="6" style="30" customWidth="1"/>
    <col min="11283" max="11284" width="2.5" style="30" customWidth="1"/>
    <col min="11285" max="11286" width="2.125" style="30" customWidth="1"/>
    <col min="11287" max="11289" width="2.5" style="30" customWidth="1"/>
    <col min="11290" max="11290" width="1.875" style="30" customWidth="1"/>
    <col min="11291" max="11293" width="2.5" style="30" customWidth="1"/>
    <col min="11294" max="11294" width="1.875" style="30" customWidth="1"/>
    <col min="11295" max="11297" width="2.5" style="30" customWidth="1"/>
    <col min="11298" max="11298" width="1.375" style="30" customWidth="1"/>
    <col min="11299" max="11299" width="2.5" style="30" customWidth="1"/>
    <col min="11300" max="11300" width="2.125" style="30" customWidth="1"/>
    <col min="11301" max="11301" width="1.625" style="30" customWidth="1"/>
    <col min="11302" max="11302" width="2.5" style="30" customWidth="1"/>
    <col min="11303" max="11520" width="2.625" style="30"/>
    <col min="11521" max="11534" width="2.625" style="30" customWidth="1"/>
    <col min="11535" max="11536" width="2.5" style="30" customWidth="1"/>
    <col min="11537" max="11537" width="2.625" style="30" customWidth="1"/>
    <col min="11538" max="11538" width="6" style="30" customWidth="1"/>
    <col min="11539" max="11540" width="2.5" style="30" customWidth="1"/>
    <col min="11541" max="11542" width="2.125" style="30" customWidth="1"/>
    <col min="11543" max="11545" width="2.5" style="30" customWidth="1"/>
    <col min="11546" max="11546" width="1.875" style="30" customWidth="1"/>
    <col min="11547" max="11549" width="2.5" style="30" customWidth="1"/>
    <col min="11550" max="11550" width="1.875" style="30" customWidth="1"/>
    <col min="11551" max="11553" width="2.5" style="30" customWidth="1"/>
    <col min="11554" max="11554" width="1.375" style="30" customWidth="1"/>
    <col min="11555" max="11555" width="2.5" style="30" customWidth="1"/>
    <col min="11556" max="11556" width="2.125" style="30" customWidth="1"/>
    <col min="11557" max="11557" width="1.625" style="30" customWidth="1"/>
    <col min="11558" max="11558" width="2.5" style="30" customWidth="1"/>
    <col min="11559" max="11776" width="2.625" style="30"/>
    <col min="11777" max="11790" width="2.625" style="30" customWidth="1"/>
    <col min="11791" max="11792" width="2.5" style="30" customWidth="1"/>
    <col min="11793" max="11793" width="2.625" style="30" customWidth="1"/>
    <col min="11794" max="11794" width="6" style="30" customWidth="1"/>
    <col min="11795" max="11796" width="2.5" style="30" customWidth="1"/>
    <col min="11797" max="11798" width="2.125" style="30" customWidth="1"/>
    <col min="11799" max="11801" width="2.5" style="30" customWidth="1"/>
    <col min="11802" max="11802" width="1.875" style="30" customWidth="1"/>
    <col min="11803" max="11805" width="2.5" style="30" customWidth="1"/>
    <col min="11806" max="11806" width="1.875" style="30" customWidth="1"/>
    <col min="11807" max="11809" width="2.5" style="30" customWidth="1"/>
    <col min="11810" max="11810" width="1.375" style="30" customWidth="1"/>
    <col min="11811" max="11811" width="2.5" style="30" customWidth="1"/>
    <col min="11812" max="11812" width="2.125" style="30" customWidth="1"/>
    <col min="11813" max="11813" width="1.625" style="30" customWidth="1"/>
    <col min="11814" max="11814" width="2.5" style="30" customWidth="1"/>
    <col min="11815" max="12032" width="2.625" style="30"/>
    <col min="12033" max="12046" width="2.625" style="30" customWidth="1"/>
    <col min="12047" max="12048" width="2.5" style="30" customWidth="1"/>
    <col min="12049" max="12049" width="2.625" style="30" customWidth="1"/>
    <col min="12050" max="12050" width="6" style="30" customWidth="1"/>
    <col min="12051" max="12052" width="2.5" style="30" customWidth="1"/>
    <col min="12053" max="12054" width="2.125" style="30" customWidth="1"/>
    <col min="12055" max="12057" width="2.5" style="30" customWidth="1"/>
    <col min="12058" max="12058" width="1.875" style="30" customWidth="1"/>
    <col min="12059" max="12061" width="2.5" style="30" customWidth="1"/>
    <col min="12062" max="12062" width="1.875" style="30" customWidth="1"/>
    <col min="12063" max="12065" width="2.5" style="30" customWidth="1"/>
    <col min="12066" max="12066" width="1.375" style="30" customWidth="1"/>
    <col min="12067" max="12067" width="2.5" style="30" customWidth="1"/>
    <col min="12068" max="12068" width="2.125" style="30" customWidth="1"/>
    <col min="12069" max="12069" width="1.625" style="30" customWidth="1"/>
    <col min="12070" max="12070" width="2.5" style="30" customWidth="1"/>
    <col min="12071" max="12288" width="2.625" style="30"/>
    <col min="12289" max="12302" width="2.625" style="30" customWidth="1"/>
    <col min="12303" max="12304" width="2.5" style="30" customWidth="1"/>
    <col min="12305" max="12305" width="2.625" style="30" customWidth="1"/>
    <col min="12306" max="12306" width="6" style="30" customWidth="1"/>
    <col min="12307" max="12308" width="2.5" style="30" customWidth="1"/>
    <col min="12309" max="12310" width="2.125" style="30" customWidth="1"/>
    <col min="12311" max="12313" width="2.5" style="30" customWidth="1"/>
    <col min="12314" max="12314" width="1.875" style="30" customWidth="1"/>
    <col min="12315" max="12317" width="2.5" style="30" customWidth="1"/>
    <col min="12318" max="12318" width="1.875" style="30" customWidth="1"/>
    <col min="12319" max="12321" width="2.5" style="30" customWidth="1"/>
    <col min="12322" max="12322" width="1.375" style="30" customWidth="1"/>
    <col min="12323" max="12323" width="2.5" style="30" customWidth="1"/>
    <col min="12324" max="12324" width="2.125" style="30" customWidth="1"/>
    <col min="12325" max="12325" width="1.625" style="30" customWidth="1"/>
    <col min="12326" max="12326" width="2.5" style="30" customWidth="1"/>
    <col min="12327" max="12544" width="2.625" style="30"/>
    <col min="12545" max="12558" width="2.625" style="30" customWidth="1"/>
    <col min="12559" max="12560" width="2.5" style="30" customWidth="1"/>
    <col min="12561" max="12561" width="2.625" style="30" customWidth="1"/>
    <col min="12562" max="12562" width="6" style="30" customWidth="1"/>
    <col min="12563" max="12564" width="2.5" style="30" customWidth="1"/>
    <col min="12565" max="12566" width="2.125" style="30" customWidth="1"/>
    <col min="12567" max="12569" width="2.5" style="30" customWidth="1"/>
    <col min="12570" max="12570" width="1.875" style="30" customWidth="1"/>
    <col min="12571" max="12573" width="2.5" style="30" customWidth="1"/>
    <col min="12574" max="12574" width="1.875" style="30" customWidth="1"/>
    <col min="12575" max="12577" width="2.5" style="30" customWidth="1"/>
    <col min="12578" max="12578" width="1.375" style="30" customWidth="1"/>
    <col min="12579" max="12579" width="2.5" style="30" customWidth="1"/>
    <col min="12580" max="12580" width="2.125" style="30" customWidth="1"/>
    <col min="12581" max="12581" width="1.625" style="30" customWidth="1"/>
    <col min="12582" max="12582" width="2.5" style="30" customWidth="1"/>
    <col min="12583" max="12800" width="2.625" style="30"/>
    <col min="12801" max="12814" width="2.625" style="30" customWidth="1"/>
    <col min="12815" max="12816" width="2.5" style="30" customWidth="1"/>
    <col min="12817" max="12817" width="2.625" style="30" customWidth="1"/>
    <col min="12818" max="12818" width="6" style="30" customWidth="1"/>
    <col min="12819" max="12820" width="2.5" style="30" customWidth="1"/>
    <col min="12821" max="12822" width="2.125" style="30" customWidth="1"/>
    <col min="12823" max="12825" width="2.5" style="30" customWidth="1"/>
    <col min="12826" max="12826" width="1.875" style="30" customWidth="1"/>
    <col min="12827" max="12829" width="2.5" style="30" customWidth="1"/>
    <col min="12830" max="12830" width="1.875" style="30" customWidth="1"/>
    <col min="12831" max="12833" width="2.5" style="30" customWidth="1"/>
    <col min="12834" max="12834" width="1.375" style="30" customWidth="1"/>
    <col min="12835" max="12835" width="2.5" style="30" customWidth="1"/>
    <col min="12836" max="12836" width="2.125" style="30" customWidth="1"/>
    <col min="12837" max="12837" width="1.625" style="30" customWidth="1"/>
    <col min="12838" max="12838" width="2.5" style="30" customWidth="1"/>
    <col min="12839" max="13056" width="2.625" style="30"/>
    <col min="13057" max="13070" width="2.625" style="30" customWidth="1"/>
    <col min="13071" max="13072" width="2.5" style="30" customWidth="1"/>
    <col min="13073" max="13073" width="2.625" style="30" customWidth="1"/>
    <col min="13074" max="13074" width="6" style="30" customWidth="1"/>
    <col min="13075" max="13076" width="2.5" style="30" customWidth="1"/>
    <col min="13077" max="13078" width="2.125" style="30" customWidth="1"/>
    <col min="13079" max="13081" width="2.5" style="30" customWidth="1"/>
    <col min="13082" max="13082" width="1.875" style="30" customWidth="1"/>
    <col min="13083" max="13085" width="2.5" style="30" customWidth="1"/>
    <col min="13086" max="13086" width="1.875" style="30" customWidth="1"/>
    <col min="13087" max="13089" width="2.5" style="30" customWidth="1"/>
    <col min="13090" max="13090" width="1.375" style="30" customWidth="1"/>
    <col min="13091" max="13091" width="2.5" style="30" customWidth="1"/>
    <col min="13092" max="13092" width="2.125" style="30" customWidth="1"/>
    <col min="13093" max="13093" width="1.625" style="30" customWidth="1"/>
    <col min="13094" max="13094" width="2.5" style="30" customWidth="1"/>
    <col min="13095" max="13312" width="2.625" style="30"/>
    <col min="13313" max="13326" width="2.625" style="30" customWidth="1"/>
    <col min="13327" max="13328" width="2.5" style="30" customWidth="1"/>
    <col min="13329" max="13329" width="2.625" style="30" customWidth="1"/>
    <col min="13330" max="13330" width="6" style="30" customWidth="1"/>
    <col min="13331" max="13332" width="2.5" style="30" customWidth="1"/>
    <col min="13333" max="13334" width="2.125" style="30" customWidth="1"/>
    <col min="13335" max="13337" width="2.5" style="30" customWidth="1"/>
    <col min="13338" max="13338" width="1.875" style="30" customWidth="1"/>
    <col min="13339" max="13341" width="2.5" style="30" customWidth="1"/>
    <col min="13342" max="13342" width="1.875" style="30" customWidth="1"/>
    <col min="13343" max="13345" width="2.5" style="30" customWidth="1"/>
    <col min="13346" max="13346" width="1.375" style="30" customWidth="1"/>
    <col min="13347" max="13347" width="2.5" style="30" customWidth="1"/>
    <col min="13348" max="13348" width="2.125" style="30" customWidth="1"/>
    <col min="13349" max="13349" width="1.625" style="30" customWidth="1"/>
    <col min="13350" max="13350" width="2.5" style="30" customWidth="1"/>
    <col min="13351" max="13568" width="2.625" style="30"/>
    <col min="13569" max="13582" width="2.625" style="30" customWidth="1"/>
    <col min="13583" max="13584" width="2.5" style="30" customWidth="1"/>
    <col min="13585" max="13585" width="2.625" style="30" customWidth="1"/>
    <col min="13586" max="13586" width="6" style="30" customWidth="1"/>
    <col min="13587" max="13588" width="2.5" style="30" customWidth="1"/>
    <col min="13589" max="13590" width="2.125" style="30" customWidth="1"/>
    <col min="13591" max="13593" width="2.5" style="30" customWidth="1"/>
    <col min="13594" max="13594" width="1.875" style="30" customWidth="1"/>
    <col min="13595" max="13597" width="2.5" style="30" customWidth="1"/>
    <col min="13598" max="13598" width="1.875" style="30" customWidth="1"/>
    <col min="13599" max="13601" width="2.5" style="30" customWidth="1"/>
    <col min="13602" max="13602" width="1.375" style="30" customWidth="1"/>
    <col min="13603" max="13603" width="2.5" style="30" customWidth="1"/>
    <col min="13604" max="13604" width="2.125" style="30" customWidth="1"/>
    <col min="13605" max="13605" width="1.625" style="30" customWidth="1"/>
    <col min="13606" max="13606" width="2.5" style="30" customWidth="1"/>
    <col min="13607" max="13824" width="2.625" style="30"/>
    <col min="13825" max="13838" width="2.625" style="30" customWidth="1"/>
    <col min="13839" max="13840" width="2.5" style="30" customWidth="1"/>
    <col min="13841" max="13841" width="2.625" style="30" customWidth="1"/>
    <col min="13842" max="13842" width="6" style="30" customWidth="1"/>
    <col min="13843" max="13844" width="2.5" style="30" customWidth="1"/>
    <col min="13845" max="13846" width="2.125" style="30" customWidth="1"/>
    <col min="13847" max="13849" width="2.5" style="30" customWidth="1"/>
    <col min="13850" max="13850" width="1.875" style="30" customWidth="1"/>
    <col min="13851" max="13853" width="2.5" style="30" customWidth="1"/>
    <col min="13854" max="13854" width="1.875" style="30" customWidth="1"/>
    <col min="13855" max="13857" width="2.5" style="30" customWidth="1"/>
    <col min="13858" max="13858" width="1.375" style="30" customWidth="1"/>
    <col min="13859" max="13859" width="2.5" style="30" customWidth="1"/>
    <col min="13860" max="13860" width="2.125" style="30" customWidth="1"/>
    <col min="13861" max="13861" width="1.625" style="30" customWidth="1"/>
    <col min="13862" max="13862" width="2.5" style="30" customWidth="1"/>
    <col min="13863" max="14080" width="2.625" style="30"/>
    <col min="14081" max="14094" width="2.625" style="30" customWidth="1"/>
    <col min="14095" max="14096" width="2.5" style="30" customWidth="1"/>
    <col min="14097" max="14097" width="2.625" style="30" customWidth="1"/>
    <col min="14098" max="14098" width="6" style="30" customWidth="1"/>
    <col min="14099" max="14100" width="2.5" style="30" customWidth="1"/>
    <col min="14101" max="14102" width="2.125" style="30" customWidth="1"/>
    <col min="14103" max="14105" width="2.5" style="30" customWidth="1"/>
    <col min="14106" max="14106" width="1.875" style="30" customWidth="1"/>
    <col min="14107" max="14109" width="2.5" style="30" customWidth="1"/>
    <col min="14110" max="14110" width="1.875" style="30" customWidth="1"/>
    <col min="14111" max="14113" width="2.5" style="30" customWidth="1"/>
    <col min="14114" max="14114" width="1.375" style="30" customWidth="1"/>
    <col min="14115" max="14115" width="2.5" style="30" customWidth="1"/>
    <col min="14116" max="14116" width="2.125" style="30" customWidth="1"/>
    <col min="14117" max="14117" width="1.625" style="30" customWidth="1"/>
    <col min="14118" max="14118" width="2.5" style="30" customWidth="1"/>
    <col min="14119" max="14336" width="2.625" style="30"/>
    <col min="14337" max="14350" width="2.625" style="30" customWidth="1"/>
    <col min="14351" max="14352" width="2.5" style="30" customWidth="1"/>
    <col min="14353" max="14353" width="2.625" style="30" customWidth="1"/>
    <col min="14354" max="14354" width="6" style="30" customWidth="1"/>
    <col min="14355" max="14356" width="2.5" style="30" customWidth="1"/>
    <col min="14357" max="14358" width="2.125" style="30" customWidth="1"/>
    <col min="14359" max="14361" width="2.5" style="30" customWidth="1"/>
    <col min="14362" max="14362" width="1.875" style="30" customWidth="1"/>
    <col min="14363" max="14365" width="2.5" style="30" customWidth="1"/>
    <col min="14366" max="14366" width="1.875" style="30" customWidth="1"/>
    <col min="14367" max="14369" width="2.5" style="30" customWidth="1"/>
    <col min="14370" max="14370" width="1.375" style="30" customWidth="1"/>
    <col min="14371" max="14371" width="2.5" style="30" customWidth="1"/>
    <col min="14372" max="14372" width="2.125" style="30" customWidth="1"/>
    <col min="14373" max="14373" width="1.625" style="30" customWidth="1"/>
    <col min="14374" max="14374" width="2.5" style="30" customWidth="1"/>
    <col min="14375" max="14592" width="2.625" style="30"/>
    <col min="14593" max="14606" width="2.625" style="30" customWidth="1"/>
    <col min="14607" max="14608" width="2.5" style="30" customWidth="1"/>
    <col min="14609" max="14609" width="2.625" style="30" customWidth="1"/>
    <col min="14610" max="14610" width="6" style="30" customWidth="1"/>
    <col min="14611" max="14612" width="2.5" style="30" customWidth="1"/>
    <col min="14613" max="14614" width="2.125" style="30" customWidth="1"/>
    <col min="14615" max="14617" width="2.5" style="30" customWidth="1"/>
    <col min="14618" max="14618" width="1.875" style="30" customWidth="1"/>
    <col min="14619" max="14621" width="2.5" style="30" customWidth="1"/>
    <col min="14622" max="14622" width="1.875" style="30" customWidth="1"/>
    <col min="14623" max="14625" width="2.5" style="30" customWidth="1"/>
    <col min="14626" max="14626" width="1.375" style="30" customWidth="1"/>
    <col min="14627" max="14627" width="2.5" style="30" customWidth="1"/>
    <col min="14628" max="14628" width="2.125" style="30" customWidth="1"/>
    <col min="14629" max="14629" width="1.625" style="30" customWidth="1"/>
    <col min="14630" max="14630" width="2.5" style="30" customWidth="1"/>
    <col min="14631" max="14848" width="2.625" style="30"/>
    <col min="14849" max="14862" width="2.625" style="30" customWidth="1"/>
    <col min="14863" max="14864" width="2.5" style="30" customWidth="1"/>
    <col min="14865" max="14865" width="2.625" style="30" customWidth="1"/>
    <col min="14866" max="14866" width="6" style="30" customWidth="1"/>
    <col min="14867" max="14868" width="2.5" style="30" customWidth="1"/>
    <col min="14869" max="14870" width="2.125" style="30" customWidth="1"/>
    <col min="14871" max="14873" width="2.5" style="30" customWidth="1"/>
    <col min="14874" max="14874" width="1.875" style="30" customWidth="1"/>
    <col min="14875" max="14877" width="2.5" style="30" customWidth="1"/>
    <col min="14878" max="14878" width="1.875" style="30" customWidth="1"/>
    <col min="14879" max="14881" width="2.5" style="30" customWidth="1"/>
    <col min="14882" max="14882" width="1.375" style="30" customWidth="1"/>
    <col min="14883" max="14883" width="2.5" style="30" customWidth="1"/>
    <col min="14884" max="14884" width="2.125" style="30" customWidth="1"/>
    <col min="14885" max="14885" width="1.625" style="30" customWidth="1"/>
    <col min="14886" max="14886" width="2.5" style="30" customWidth="1"/>
    <col min="14887" max="15104" width="2.625" style="30"/>
    <col min="15105" max="15118" width="2.625" style="30" customWidth="1"/>
    <col min="15119" max="15120" width="2.5" style="30" customWidth="1"/>
    <col min="15121" max="15121" width="2.625" style="30" customWidth="1"/>
    <col min="15122" max="15122" width="6" style="30" customWidth="1"/>
    <col min="15123" max="15124" width="2.5" style="30" customWidth="1"/>
    <col min="15125" max="15126" width="2.125" style="30" customWidth="1"/>
    <col min="15127" max="15129" width="2.5" style="30" customWidth="1"/>
    <col min="15130" max="15130" width="1.875" style="30" customWidth="1"/>
    <col min="15131" max="15133" width="2.5" style="30" customWidth="1"/>
    <col min="15134" max="15134" width="1.875" style="30" customWidth="1"/>
    <col min="15135" max="15137" width="2.5" style="30" customWidth="1"/>
    <col min="15138" max="15138" width="1.375" style="30" customWidth="1"/>
    <col min="15139" max="15139" width="2.5" style="30" customWidth="1"/>
    <col min="15140" max="15140" width="2.125" style="30" customWidth="1"/>
    <col min="15141" max="15141" width="1.625" style="30" customWidth="1"/>
    <col min="15142" max="15142" width="2.5" style="30" customWidth="1"/>
    <col min="15143" max="15360" width="2.625" style="30"/>
    <col min="15361" max="15374" width="2.625" style="30" customWidth="1"/>
    <col min="15375" max="15376" width="2.5" style="30" customWidth="1"/>
    <col min="15377" max="15377" width="2.625" style="30" customWidth="1"/>
    <col min="15378" max="15378" width="6" style="30" customWidth="1"/>
    <col min="15379" max="15380" width="2.5" style="30" customWidth="1"/>
    <col min="15381" max="15382" width="2.125" style="30" customWidth="1"/>
    <col min="15383" max="15385" width="2.5" style="30" customWidth="1"/>
    <col min="15386" max="15386" width="1.875" style="30" customWidth="1"/>
    <col min="15387" max="15389" width="2.5" style="30" customWidth="1"/>
    <col min="15390" max="15390" width="1.875" style="30" customWidth="1"/>
    <col min="15391" max="15393" width="2.5" style="30" customWidth="1"/>
    <col min="15394" max="15394" width="1.375" style="30" customWidth="1"/>
    <col min="15395" max="15395" width="2.5" style="30" customWidth="1"/>
    <col min="15396" max="15396" width="2.125" style="30" customWidth="1"/>
    <col min="15397" max="15397" width="1.625" style="30" customWidth="1"/>
    <col min="15398" max="15398" width="2.5" style="30" customWidth="1"/>
    <col min="15399" max="15616" width="2.625" style="30"/>
    <col min="15617" max="15630" width="2.625" style="30" customWidth="1"/>
    <col min="15631" max="15632" width="2.5" style="30" customWidth="1"/>
    <col min="15633" max="15633" width="2.625" style="30" customWidth="1"/>
    <col min="15634" max="15634" width="6" style="30" customWidth="1"/>
    <col min="15635" max="15636" width="2.5" style="30" customWidth="1"/>
    <col min="15637" max="15638" width="2.125" style="30" customWidth="1"/>
    <col min="15639" max="15641" width="2.5" style="30" customWidth="1"/>
    <col min="15642" max="15642" width="1.875" style="30" customWidth="1"/>
    <col min="15643" max="15645" width="2.5" style="30" customWidth="1"/>
    <col min="15646" max="15646" width="1.875" style="30" customWidth="1"/>
    <col min="15647" max="15649" width="2.5" style="30" customWidth="1"/>
    <col min="15650" max="15650" width="1.375" style="30" customWidth="1"/>
    <col min="15651" max="15651" width="2.5" style="30" customWidth="1"/>
    <col min="15652" max="15652" width="2.125" style="30" customWidth="1"/>
    <col min="15653" max="15653" width="1.625" style="30" customWidth="1"/>
    <col min="15654" max="15654" width="2.5" style="30" customWidth="1"/>
    <col min="15655" max="15872" width="2.625" style="30"/>
    <col min="15873" max="15886" width="2.625" style="30" customWidth="1"/>
    <col min="15887" max="15888" width="2.5" style="30" customWidth="1"/>
    <col min="15889" max="15889" width="2.625" style="30" customWidth="1"/>
    <col min="15890" max="15890" width="6" style="30" customWidth="1"/>
    <col min="15891" max="15892" width="2.5" style="30" customWidth="1"/>
    <col min="15893" max="15894" width="2.125" style="30" customWidth="1"/>
    <col min="15895" max="15897" width="2.5" style="30" customWidth="1"/>
    <col min="15898" max="15898" width="1.875" style="30" customWidth="1"/>
    <col min="15899" max="15901" width="2.5" style="30" customWidth="1"/>
    <col min="15902" max="15902" width="1.875" style="30" customWidth="1"/>
    <col min="15903" max="15905" width="2.5" style="30" customWidth="1"/>
    <col min="15906" max="15906" width="1.375" style="30" customWidth="1"/>
    <col min="15907" max="15907" width="2.5" style="30" customWidth="1"/>
    <col min="15908" max="15908" width="2.125" style="30" customWidth="1"/>
    <col min="15909" max="15909" width="1.625" style="30" customWidth="1"/>
    <col min="15910" max="15910" width="2.5" style="30" customWidth="1"/>
    <col min="15911" max="16128" width="2.625" style="30"/>
    <col min="16129" max="16142" width="2.625" style="30" customWidth="1"/>
    <col min="16143" max="16144" width="2.5" style="30" customWidth="1"/>
    <col min="16145" max="16145" width="2.625" style="30" customWidth="1"/>
    <col min="16146" max="16146" width="6" style="30" customWidth="1"/>
    <col min="16147" max="16148" width="2.5" style="30" customWidth="1"/>
    <col min="16149" max="16150" width="2.125" style="30" customWidth="1"/>
    <col min="16151" max="16153" width="2.5" style="30" customWidth="1"/>
    <col min="16154" max="16154" width="1.875" style="30" customWidth="1"/>
    <col min="16155" max="16157" width="2.5" style="30" customWidth="1"/>
    <col min="16158" max="16158" width="1.875" style="30" customWidth="1"/>
    <col min="16159" max="16161" width="2.5" style="30" customWidth="1"/>
    <col min="16162" max="16162" width="1.375" style="30" customWidth="1"/>
    <col min="16163" max="16163" width="2.5" style="30" customWidth="1"/>
    <col min="16164" max="16164" width="2.125" style="30" customWidth="1"/>
    <col min="16165" max="16165" width="1.625" style="30" customWidth="1"/>
    <col min="16166" max="16166" width="2.5" style="30" customWidth="1"/>
    <col min="16167" max="16384" width="2.625" style="30"/>
  </cols>
  <sheetData>
    <row r="1" spans="1:43" customFormat="1" ht="15.75">
      <c r="A1" s="276" t="s">
        <v>85</v>
      </c>
      <c r="B1" s="276"/>
      <c r="C1" s="276"/>
      <c r="D1" s="276"/>
      <c r="E1" s="276"/>
      <c r="F1" s="276"/>
      <c r="G1" s="276"/>
      <c r="H1" s="276"/>
      <c r="I1" s="276"/>
      <c r="J1" s="276"/>
      <c r="K1" s="276"/>
      <c r="L1" s="276"/>
      <c r="M1" s="276"/>
      <c r="N1" s="276"/>
      <c r="O1" s="276"/>
      <c r="P1" s="276"/>
      <c r="Q1" s="276"/>
      <c r="R1" s="276"/>
      <c r="S1" s="276"/>
      <c r="T1" s="276"/>
      <c r="U1" s="276"/>
      <c r="V1" s="276"/>
      <c r="W1" s="276"/>
      <c r="X1" s="276"/>
      <c r="Y1" s="276"/>
      <c r="Z1" s="276"/>
      <c r="AA1" s="276"/>
      <c r="AB1" s="276"/>
      <c r="AC1" s="276"/>
      <c r="AD1" s="276"/>
      <c r="AE1" s="276"/>
      <c r="AF1" s="276"/>
      <c r="AG1" s="276"/>
      <c r="AH1" s="276"/>
      <c r="AI1" s="276"/>
      <c r="AJ1" s="276"/>
      <c r="AK1" s="276"/>
      <c r="AL1" s="276"/>
    </row>
    <row r="2" spans="1:43" customFormat="1" ht="15.75">
      <c r="A2" s="276" t="s">
        <v>86</v>
      </c>
      <c r="B2" s="276"/>
      <c r="C2" s="276"/>
      <c r="D2" s="276"/>
      <c r="E2" s="276"/>
      <c r="F2" s="276"/>
      <c r="G2" s="276"/>
      <c r="H2" s="276"/>
      <c r="I2" s="276"/>
      <c r="J2" s="276"/>
      <c r="K2" s="276"/>
      <c r="L2" s="276"/>
      <c r="M2" s="276"/>
      <c r="N2" s="276"/>
      <c r="O2" s="276"/>
      <c r="P2" s="276"/>
      <c r="Q2" s="276"/>
      <c r="R2" s="276"/>
      <c r="S2" s="276"/>
      <c r="T2" s="276"/>
      <c r="U2" s="276"/>
      <c r="V2" s="276"/>
      <c r="W2" s="276"/>
      <c r="X2" s="276"/>
      <c r="Y2" s="276"/>
      <c r="Z2" s="276"/>
      <c r="AA2" s="276"/>
      <c r="AB2" s="276"/>
      <c r="AC2" s="276"/>
      <c r="AD2" s="276"/>
      <c r="AE2" s="276"/>
      <c r="AF2" s="276"/>
      <c r="AG2" s="276"/>
      <c r="AH2" s="276"/>
      <c r="AI2" s="276"/>
      <c r="AJ2" s="276"/>
      <c r="AK2" s="276"/>
      <c r="AL2" s="276"/>
    </row>
    <row r="3" spans="1:43" customFormat="1" ht="15.75">
      <c r="A3" s="276" t="s">
        <v>87</v>
      </c>
      <c r="B3" s="276"/>
      <c r="C3" s="276"/>
      <c r="D3" s="276"/>
      <c r="E3" s="276"/>
      <c r="F3" s="276"/>
      <c r="G3" s="276"/>
      <c r="H3" s="276"/>
      <c r="I3" s="276"/>
      <c r="J3" s="276"/>
      <c r="K3" s="276"/>
      <c r="L3" s="276"/>
      <c r="M3" s="276"/>
      <c r="N3" s="276"/>
      <c r="O3" s="276"/>
      <c r="P3" s="276"/>
      <c r="Q3" s="276"/>
      <c r="R3" s="276"/>
      <c r="S3" s="276"/>
      <c r="T3" s="276"/>
      <c r="U3" s="276"/>
      <c r="V3" s="276"/>
      <c r="W3" s="276"/>
      <c r="X3" s="276"/>
      <c r="Y3" s="276"/>
      <c r="Z3" s="276"/>
      <c r="AA3" s="276"/>
      <c r="AB3" s="276"/>
      <c r="AC3" s="276"/>
      <c r="AD3" s="276"/>
      <c r="AE3" s="276"/>
      <c r="AF3" s="276"/>
      <c r="AG3" s="276"/>
      <c r="AH3" s="276"/>
      <c r="AI3" s="276"/>
      <c r="AJ3" s="276"/>
      <c r="AK3" s="276"/>
      <c r="AL3" s="276"/>
    </row>
    <row r="4" spans="1:43" customFormat="1" ht="15.75">
      <c r="A4" s="276" t="s">
        <v>88</v>
      </c>
      <c r="B4" s="276"/>
      <c r="C4" s="276"/>
      <c r="D4" s="276"/>
      <c r="E4" s="276"/>
      <c r="F4" s="276"/>
      <c r="G4" s="276"/>
      <c r="H4" s="276"/>
      <c r="I4" s="276"/>
      <c r="J4" s="276"/>
      <c r="K4" s="276"/>
      <c r="L4" s="276"/>
      <c r="M4" s="276"/>
      <c r="N4" s="276"/>
      <c r="O4" s="276"/>
      <c r="P4" s="276"/>
      <c r="Q4" s="276"/>
      <c r="R4" s="276"/>
      <c r="S4" s="276"/>
      <c r="T4" s="276"/>
      <c r="U4" s="276"/>
      <c r="V4" s="276"/>
      <c r="W4" s="276"/>
      <c r="X4" s="276"/>
      <c r="Y4" s="276"/>
      <c r="Z4" s="276"/>
      <c r="AA4" s="276"/>
      <c r="AB4" s="276"/>
      <c r="AC4" s="276"/>
      <c r="AD4" s="276"/>
      <c r="AE4" s="276"/>
      <c r="AF4" s="276"/>
      <c r="AG4" s="276"/>
      <c r="AH4" s="276"/>
      <c r="AI4" s="276"/>
      <c r="AJ4" s="276"/>
      <c r="AK4" s="276"/>
      <c r="AL4" s="276"/>
    </row>
    <row r="5" spans="1:43" customFormat="1" ht="15.75">
      <c r="A5" s="137"/>
    </row>
    <row r="6" spans="1:43" customFormat="1" ht="15.75">
      <c r="A6" s="277" t="str">
        <f>+Control!D3</f>
        <v>AAAMOP ENTERTAINMENT LIMITED</v>
      </c>
      <c r="B6" s="277"/>
      <c r="C6" s="277"/>
      <c r="D6" s="277"/>
      <c r="E6" s="277"/>
      <c r="F6" s="277"/>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77"/>
      <c r="AI6" s="277"/>
      <c r="AJ6" s="277"/>
      <c r="AK6" s="277"/>
      <c r="AL6" s="277"/>
      <c r="AQ6" t="s">
        <v>1</v>
      </c>
    </row>
    <row r="7" spans="1:43" customFormat="1" ht="15.75">
      <c r="A7" s="278" t="str">
        <f>+CONCATENATE(AQ6,Control!F8,AQ8,'D emol (5)'!AQ7,Control!D7)</f>
        <v xml:space="preserve">FOR THE  ENDED </v>
      </c>
      <c r="B7" s="278"/>
      <c r="C7" s="278"/>
      <c r="D7" s="278"/>
      <c r="E7" s="278"/>
      <c r="F7" s="278"/>
      <c r="G7" s="278"/>
      <c r="H7" s="278"/>
      <c r="I7" s="278"/>
      <c r="J7" s="278"/>
      <c r="K7" s="278"/>
      <c r="L7" s="278"/>
      <c r="M7" s="278"/>
      <c r="N7" s="278"/>
      <c r="O7" s="278"/>
      <c r="P7" s="278"/>
      <c r="Q7" s="278"/>
      <c r="R7" s="278"/>
      <c r="S7" s="278"/>
      <c r="T7" s="278"/>
      <c r="U7" s="278"/>
      <c r="V7" s="278"/>
      <c r="W7" s="278"/>
      <c r="X7" s="278"/>
      <c r="Y7" s="278"/>
      <c r="Z7" s="278"/>
      <c r="AA7" s="278"/>
      <c r="AB7" s="278"/>
      <c r="AC7" s="278"/>
      <c r="AD7" s="278"/>
      <c r="AE7" s="278"/>
      <c r="AF7" s="278"/>
      <c r="AG7" s="278"/>
      <c r="AH7" s="278"/>
      <c r="AI7" s="278"/>
      <c r="AJ7" s="278"/>
      <c r="AK7" s="278"/>
      <c r="AL7" s="278"/>
      <c r="AQ7" t="s">
        <v>89</v>
      </c>
    </row>
    <row r="8" spans="1:43" customFormat="1" ht="15.75">
      <c r="AQ8" t="s">
        <v>90</v>
      </c>
    </row>
    <row r="9" spans="1:43" s="35" customFormat="1">
      <c r="C9" s="35" t="s">
        <v>91</v>
      </c>
    </row>
    <row r="10" spans="1:43" s="35" customFormat="1"/>
    <row r="11" spans="1:43" s="35" customFormat="1">
      <c r="A11" s="35" t="s">
        <v>92</v>
      </c>
      <c r="C11" s="279" t="s">
        <v>93</v>
      </c>
      <c r="D11" s="279"/>
      <c r="E11" s="279"/>
      <c r="F11" s="279"/>
      <c r="G11" s="279"/>
      <c r="H11" s="279"/>
      <c r="I11" s="279"/>
      <c r="J11" s="279"/>
      <c r="K11" s="279"/>
      <c r="L11" s="279"/>
      <c r="M11" s="279"/>
      <c r="N11" s="279"/>
      <c r="O11" s="279"/>
      <c r="P11" s="279"/>
      <c r="Q11" s="279"/>
      <c r="R11" s="279"/>
      <c r="S11" s="279"/>
      <c r="T11" s="279"/>
      <c r="U11" s="279"/>
      <c r="V11" s="279"/>
      <c r="W11" s="279"/>
      <c r="X11" s="279"/>
      <c r="Y11" s="279"/>
      <c r="Z11" s="279"/>
      <c r="AA11" s="279"/>
      <c r="AB11" s="279"/>
      <c r="AC11" s="279"/>
      <c r="AD11" s="279"/>
      <c r="AE11" s="279"/>
      <c r="AF11" s="279"/>
      <c r="AG11" s="279"/>
      <c r="AH11" s="279"/>
      <c r="AI11" s="279"/>
      <c r="AJ11" s="279"/>
      <c r="AK11" s="279"/>
      <c r="AL11" s="279"/>
    </row>
    <row r="12" spans="1:43" s="35" customFormat="1">
      <c r="C12" s="279" t="s">
        <v>94</v>
      </c>
      <c r="D12" s="279"/>
      <c r="E12" s="279"/>
      <c r="F12" s="279"/>
      <c r="G12" s="279"/>
      <c r="H12" s="279"/>
      <c r="I12" s="279"/>
      <c r="J12" s="279"/>
      <c r="K12" s="279"/>
      <c r="L12" s="279"/>
      <c r="M12" s="279"/>
      <c r="N12" s="279"/>
      <c r="O12" s="279"/>
      <c r="P12" s="279"/>
      <c r="Q12" s="279"/>
      <c r="R12" s="279"/>
      <c r="S12" s="279"/>
      <c r="T12" s="279"/>
      <c r="U12" s="279"/>
      <c r="V12" s="279"/>
      <c r="W12" s="279"/>
      <c r="X12" s="279"/>
      <c r="Y12" s="279"/>
      <c r="Z12" s="279"/>
      <c r="AA12" s="279"/>
      <c r="AB12" s="279"/>
      <c r="AC12" s="279"/>
      <c r="AD12" s="279"/>
      <c r="AE12" s="279"/>
      <c r="AF12" s="279"/>
      <c r="AG12" s="279"/>
      <c r="AH12" s="279"/>
      <c r="AI12" s="279"/>
      <c r="AJ12" s="279"/>
      <c r="AK12" s="279"/>
      <c r="AL12" s="279"/>
    </row>
    <row r="13" spans="1:43" s="35" customFormat="1">
      <c r="C13" s="279" t="s">
        <v>95</v>
      </c>
      <c r="D13" s="279"/>
      <c r="E13" s="279"/>
      <c r="F13" s="279"/>
      <c r="G13" s="279"/>
      <c r="H13" s="279"/>
      <c r="I13" s="279"/>
      <c r="J13" s="279"/>
      <c r="K13" s="279"/>
      <c r="L13" s="279"/>
      <c r="M13" s="279"/>
      <c r="N13" s="279"/>
      <c r="O13" s="279"/>
      <c r="P13" s="279"/>
      <c r="Q13" s="279"/>
      <c r="R13" s="279"/>
      <c r="S13" s="279"/>
      <c r="T13" s="279"/>
      <c r="U13" s="279"/>
      <c r="V13" s="279"/>
      <c r="W13" s="279"/>
      <c r="X13" s="279"/>
      <c r="Y13" s="279"/>
      <c r="Z13" s="279"/>
      <c r="AA13" s="279"/>
      <c r="AB13" s="279"/>
      <c r="AC13" s="279"/>
      <c r="AD13" s="279"/>
      <c r="AE13" s="279"/>
      <c r="AF13" s="279"/>
      <c r="AG13" s="279"/>
      <c r="AH13" s="279"/>
      <c r="AI13" s="279"/>
      <c r="AJ13" s="279"/>
      <c r="AK13" s="279"/>
      <c r="AL13" s="279"/>
    </row>
    <row r="14" spans="1:43" s="35" customFormat="1">
      <c r="C14" s="35" t="str">
        <f>+CONCATENATE(B68,B69,B70)</f>
        <v>to be disclosed under Section 161 of the Companies Ordinance;</v>
      </c>
      <c r="AQ14" s="35">
        <v>383</v>
      </c>
    </row>
    <row r="15" spans="1:43" s="35" customFormat="1">
      <c r="A15" s="35" t="s">
        <v>96</v>
      </c>
      <c r="C15" s="279" t="s">
        <v>97</v>
      </c>
      <c r="D15" s="279"/>
      <c r="E15" s="279"/>
      <c r="F15" s="279"/>
      <c r="G15" s="279"/>
      <c r="H15" s="279"/>
      <c r="I15" s="279"/>
      <c r="J15" s="279"/>
      <c r="K15" s="279"/>
      <c r="L15" s="279"/>
      <c r="M15" s="279"/>
      <c r="N15" s="279"/>
      <c r="O15" s="279"/>
      <c r="P15" s="279"/>
      <c r="Q15" s="279"/>
      <c r="R15" s="279"/>
      <c r="S15" s="279"/>
      <c r="T15" s="279"/>
      <c r="U15" s="279"/>
      <c r="V15" s="279"/>
      <c r="W15" s="279"/>
      <c r="X15" s="279"/>
      <c r="Y15" s="279"/>
      <c r="Z15" s="279"/>
      <c r="AA15" s="279"/>
      <c r="AB15" s="279"/>
      <c r="AC15" s="279"/>
      <c r="AD15" s="279"/>
      <c r="AE15" s="279"/>
      <c r="AF15" s="279"/>
      <c r="AG15" s="279"/>
      <c r="AH15" s="279"/>
      <c r="AI15" s="279"/>
      <c r="AJ15" s="279"/>
      <c r="AK15" s="279"/>
      <c r="AL15" s="279"/>
    </row>
    <row r="16" spans="1:43" s="35" customFormat="1">
      <c r="C16" s="35" t="str">
        <f>+CONCATENATE(B76,B77,B78)</f>
        <v>which were outstanding at the expiration thereof as required to be disclosed under Section 161B of the Companies Ordinance.</v>
      </c>
      <c r="AQ16" s="35">
        <v>383</v>
      </c>
    </row>
    <row r="17" spans="1:38" customFormat="1" ht="15.75"/>
    <row r="18" spans="1:38" ht="12.75">
      <c r="A18" s="26" t="s">
        <v>98</v>
      </c>
      <c r="B18" s="27"/>
      <c r="C18" s="27"/>
      <c r="D18" s="280">
        <f>+'Dir info'!C7</f>
        <v>0</v>
      </c>
      <c r="E18" s="280"/>
      <c r="F18" s="280"/>
      <c r="G18" s="280"/>
      <c r="H18" s="280"/>
      <c r="I18" s="280"/>
      <c r="J18" s="280"/>
      <c r="K18" s="280"/>
      <c r="L18" s="280"/>
      <c r="M18" s="280"/>
      <c r="N18" s="27"/>
      <c r="O18" s="281" t="s">
        <v>99</v>
      </c>
      <c r="P18" s="282"/>
      <c r="Q18" s="282"/>
      <c r="R18" s="282"/>
      <c r="S18" s="282"/>
      <c r="T18" s="282"/>
      <c r="U18" s="282"/>
      <c r="V18" s="283"/>
      <c r="W18" s="28"/>
      <c r="X18" s="287" t="s">
        <v>100</v>
      </c>
      <c r="Y18" s="287"/>
      <c r="Z18" s="287"/>
      <c r="AA18" s="287"/>
      <c r="AB18" s="287"/>
      <c r="AC18" s="287"/>
      <c r="AD18" s="29"/>
      <c r="AE18" s="289" t="s">
        <v>101</v>
      </c>
      <c r="AF18" s="287"/>
      <c r="AG18" s="287"/>
      <c r="AH18" s="287"/>
      <c r="AI18" s="287"/>
      <c r="AJ18" s="287"/>
      <c r="AK18" s="287"/>
      <c r="AL18" s="290"/>
    </row>
    <row r="19" spans="1:38" ht="27" customHeight="1">
      <c r="A19" s="26" t="s">
        <v>102</v>
      </c>
      <c r="C19" s="27"/>
      <c r="D19" s="293" t="s">
        <v>103</v>
      </c>
      <c r="E19" s="293"/>
      <c r="F19" s="293"/>
      <c r="G19" s="293"/>
      <c r="H19" s="293"/>
      <c r="I19" s="293"/>
      <c r="J19" s="293"/>
      <c r="K19" s="293"/>
      <c r="L19" s="293"/>
      <c r="M19" s="293"/>
      <c r="N19" s="27"/>
      <c r="O19" s="284"/>
      <c r="P19" s="285"/>
      <c r="Q19" s="285"/>
      <c r="R19" s="285"/>
      <c r="S19" s="285"/>
      <c r="T19" s="285"/>
      <c r="U19" s="285"/>
      <c r="V19" s="286"/>
      <c r="W19" s="31"/>
      <c r="X19" s="288"/>
      <c r="Y19" s="288"/>
      <c r="Z19" s="288"/>
      <c r="AA19" s="288"/>
      <c r="AB19" s="288"/>
      <c r="AC19" s="288"/>
      <c r="AD19" s="32"/>
      <c r="AE19" s="291"/>
      <c r="AF19" s="288"/>
      <c r="AG19" s="288"/>
      <c r="AH19" s="288"/>
      <c r="AI19" s="288"/>
      <c r="AJ19" s="288"/>
      <c r="AK19" s="288"/>
      <c r="AL19" s="292"/>
    </row>
    <row r="20" spans="1:38" ht="14.25" customHeight="1">
      <c r="O20" s="297" t="s">
        <v>104</v>
      </c>
      <c r="P20" s="297"/>
      <c r="Q20" s="297"/>
      <c r="R20" s="297"/>
      <c r="S20" s="297" t="s">
        <v>105</v>
      </c>
      <c r="T20" s="297"/>
      <c r="U20" s="297"/>
      <c r="V20" s="297"/>
      <c r="W20" s="297" t="s">
        <v>104</v>
      </c>
      <c r="X20" s="297"/>
      <c r="Y20" s="297"/>
      <c r="Z20" s="297"/>
      <c r="AA20" s="297" t="s">
        <v>105</v>
      </c>
      <c r="AB20" s="297"/>
      <c r="AC20" s="297"/>
      <c r="AD20" s="297"/>
      <c r="AE20" s="297" t="s">
        <v>104</v>
      </c>
      <c r="AF20" s="297"/>
      <c r="AG20" s="297"/>
      <c r="AH20" s="297"/>
      <c r="AI20" s="297" t="s">
        <v>105</v>
      </c>
      <c r="AJ20" s="297"/>
      <c r="AK20" s="297"/>
      <c r="AL20" s="297"/>
    </row>
    <row r="21" spans="1:38">
      <c r="O21" s="294" t="str">
        <f>+Control!D68</f>
        <v>HK$</v>
      </c>
      <c r="P21" s="295"/>
      <c r="Q21" s="295"/>
      <c r="R21" s="296"/>
      <c r="S21" s="294" t="str">
        <f>+Control!D68</f>
        <v>HK$</v>
      </c>
      <c r="T21" s="295"/>
      <c r="U21" s="295"/>
      <c r="V21" s="296"/>
      <c r="W21" s="294" t="str">
        <f>+Control!D68</f>
        <v>HK$</v>
      </c>
      <c r="X21" s="295"/>
      <c r="Y21" s="295"/>
      <c r="Z21" s="296"/>
      <c r="AA21" s="294" t="str">
        <f>+Control!D68</f>
        <v>HK$</v>
      </c>
      <c r="AB21" s="295"/>
      <c r="AC21" s="295"/>
      <c r="AD21" s="296"/>
      <c r="AE21" s="294" t="str">
        <f>+Control!D68</f>
        <v>HK$</v>
      </c>
      <c r="AF21" s="295"/>
      <c r="AG21" s="295"/>
      <c r="AH21" s="296"/>
      <c r="AI21" s="294" t="str">
        <f>+Control!D68</f>
        <v>HK$</v>
      </c>
      <c r="AJ21" s="295"/>
      <c r="AK21" s="295"/>
      <c r="AL21" s="296"/>
    </row>
    <row r="22" spans="1:38">
      <c r="A22" s="30" t="s">
        <v>106</v>
      </c>
      <c r="B22" s="33" t="s">
        <v>107</v>
      </c>
      <c r="C22" s="30" t="s">
        <v>108</v>
      </c>
      <c r="O22" s="299"/>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row>
    <row r="23" spans="1:38">
      <c r="C23" s="30" t="s">
        <v>109</v>
      </c>
      <c r="O23" s="297"/>
      <c r="P23" s="297"/>
      <c r="Q23" s="297"/>
      <c r="R23" s="297"/>
      <c r="S23" s="297"/>
      <c r="T23" s="297"/>
      <c r="U23" s="297"/>
      <c r="V23" s="297"/>
      <c r="W23" s="297"/>
      <c r="X23" s="297"/>
      <c r="Y23" s="297"/>
      <c r="Z23" s="297"/>
      <c r="AA23" s="297"/>
      <c r="AB23" s="297"/>
      <c r="AC23" s="297"/>
      <c r="AD23" s="297"/>
      <c r="AE23" s="297"/>
      <c r="AF23" s="297"/>
      <c r="AG23" s="297"/>
      <c r="AH23" s="297"/>
      <c r="AI23" s="297"/>
      <c r="AJ23" s="297"/>
      <c r="AK23" s="297"/>
      <c r="AL23" s="297"/>
    </row>
    <row r="24" spans="1:38">
      <c r="C24" s="30" t="s">
        <v>110</v>
      </c>
      <c r="O24" s="298">
        <f>+'Dir info'!O7</f>
        <v>0</v>
      </c>
      <c r="P24" s="298"/>
      <c r="Q24" s="298"/>
      <c r="R24" s="298"/>
      <c r="S24" s="297"/>
      <c r="T24" s="297"/>
      <c r="U24" s="297"/>
      <c r="V24" s="297"/>
      <c r="W24" s="297"/>
      <c r="X24" s="297"/>
      <c r="Y24" s="297"/>
      <c r="Z24" s="297"/>
      <c r="AA24" s="297"/>
      <c r="AB24" s="297"/>
      <c r="AC24" s="297"/>
      <c r="AD24" s="297"/>
      <c r="AE24" s="297"/>
      <c r="AF24" s="297"/>
      <c r="AG24" s="297"/>
      <c r="AH24" s="297"/>
      <c r="AI24" s="297"/>
      <c r="AJ24" s="297"/>
      <c r="AK24" s="297"/>
      <c r="AL24" s="297"/>
    </row>
    <row r="25" spans="1:38">
      <c r="C25" s="30" t="s">
        <v>111</v>
      </c>
      <c r="O25" s="297"/>
      <c r="P25" s="297"/>
      <c r="Q25" s="297"/>
      <c r="R25" s="297"/>
      <c r="S25" s="297"/>
      <c r="T25" s="297"/>
      <c r="U25" s="297"/>
      <c r="V25" s="297"/>
      <c r="W25" s="297"/>
      <c r="X25" s="297"/>
      <c r="Y25" s="297"/>
      <c r="Z25" s="297"/>
      <c r="AA25" s="297"/>
      <c r="AB25" s="297"/>
      <c r="AC25" s="297"/>
      <c r="AD25" s="297"/>
      <c r="AE25" s="297"/>
      <c r="AF25" s="297"/>
      <c r="AG25" s="297"/>
      <c r="AH25" s="297"/>
      <c r="AI25" s="297"/>
      <c r="AJ25" s="297"/>
      <c r="AK25" s="297"/>
      <c r="AL25" s="297"/>
    </row>
    <row r="26" spans="1:38">
      <c r="C26" s="30" t="s">
        <v>112</v>
      </c>
      <c r="O26" s="297"/>
      <c r="P26" s="297"/>
      <c r="Q26" s="297"/>
      <c r="R26" s="297"/>
      <c r="S26" s="297"/>
      <c r="T26" s="297"/>
      <c r="U26" s="297"/>
      <c r="V26" s="297"/>
      <c r="W26" s="297"/>
      <c r="X26" s="297"/>
      <c r="Y26" s="297"/>
      <c r="Z26" s="297"/>
      <c r="AA26" s="297"/>
      <c r="AB26" s="297"/>
      <c r="AC26" s="297"/>
      <c r="AD26" s="297"/>
      <c r="AE26" s="297"/>
      <c r="AF26" s="297"/>
      <c r="AG26" s="297"/>
      <c r="AH26" s="297"/>
      <c r="AI26" s="297"/>
      <c r="AJ26" s="297"/>
      <c r="AK26" s="297"/>
      <c r="AL26" s="297"/>
    </row>
    <row r="27" spans="1:38">
      <c r="C27" s="30" t="s">
        <v>113</v>
      </c>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row>
    <row r="28" spans="1:38">
      <c r="D28" s="30" t="s">
        <v>114</v>
      </c>
      <c r="O28" s="297"/>
      <c r="P28" s="297"/>
      <c r="Q28" s="297"/>
      <c r="R28" s="297"/>
      <c r="S28" s="297"/>
      <c r="T28" s="297"/>
      <c r="U28" s="297"/>
      <c r="V28" s="297"/>
      <c r="W28" s="297"/>
      <c r="X28" s="297"/>
      <c r="Y28" s="297"/>
      <c r="Z28" s="297"/>
      <c r="AA28" s="297"/>
      <c r="AB28" s="297"/>
      <c r="AC28" s="297"/>
      <c r="AD28" s="297"/>
      <c r="AE28" s="297"/>
      <c r="AF28" s="297"/>
      <c r="AG28" s="297"/>
      <c r="AH28" s="297"/>
      <c r="AI28" s="297"/>
      <c r="AJ28" s="297"/>
      <c r="AK28" s="297"/>
      <c r="AL28" s="297"/>
    </row>
    <row r="29" spans="1:38">
      <c r="C29" s="30" t="s">
        <v>115</v>
      </c>
      <c r="O29" s="297"/>
      <c r="P29" s="297"/>
      <c r="Q29" s="297"/>
      <c r="R29" s="297"/>
      <c r="S29" s="297"/>
      <c r="T29" s="297"/>
      <c r="U29" s="297"/>
      <c r="V29" s="297"/>
      <c r="W29" s="297"/>
      <c r="X29" s="297"/>
      <c r="Y29" s="297"/>
      <c r="Z29" s="297"/>
      <c r="AA29" s="297"/>
      <c r="AB29" s="297"/>
      <c r="AC29" s="297"/>
      <c r="AD29" s="297"/>
      <c r="AE29" s="297"/>
      <c r="AF29" s="297"/>
      <c r="AG29" s="297"/>
      <c r="AH29" s="297"/>
      <c r="AI29" s="297"/>
      <c r="AJ29" s="297"/>
      <c r="AK29" s="297"/>
      <c r="AL29" s="297"/>
    </row>
    <row r="30" spans="1:38">
      <c r="C30" s="30" t="s">
        <v>116</v>
      </c>
      <c r="O30" s="301"/>
      <c r="P30" s="302"/>
      <c r="Q30" s="302"/>
      <c r="R30" s="303"/>
      <c r="S30" s="297"/>
      <c r="T30" s="297"/>
      <c r="U30" s="297"/>
      <c r="V30" s="297"/>
      <c r="W30" s="297"/>
      <c r="X30" s="297"/>
      <c r="Y30" s="297"/>
      <c r="Z30" s="297"/>
      <c r="AA30" s="297"/>
      <c r="AB30" s="297"/>
      <c r="AC30" s="297"/>
      <c r="AD30" s="297"/>
      <c r="AE30" s="297"/>
      <c r="AF30" s="297"/>
      <c r="AG30" s="297"/>
      <c r="AH30" s="297"/>
      <c r="AI30" s="297"/>
      <c r="AJ30" s="297"/>
      <c r="AK30" s="297"/>
      <c r="AL30" s="297"/>
    </row>
    <row r="31" spans="1:38">
      <c r="D31" s="30" t="s">
        <v>117</v>
      </c>
      <c r="O31" s="304"/>
      <c r="P31" s="305"/>
      <c r="Q31" s="305"/>
      <c r="R31" s="306"/>
      <c r="S31" s="297"/>
      <c r="T31" s="297"/>
      <c r="U31" s="297"/>
      <c r="V31" s="297"/>
      <c r="W31" s="297"/>
      <c r="X31" s="297"/>
      <c r="Y31" s="297"/>
      <c r="Z31" s="297"/>
      <c r="AA31" s="297"/>
      <c r="AB31" s="297"/>
      <c r="AC31" s="297"/>
      <c r="AD31" s="297"/>
      <c r="AE31" s="297"/>
      <c r="AF31" s="297"/>
      <c r="AG31" s="297"/>
      <c r="AH31" s="297"/>
      <c r="AI31" s="297"/>
      <c r="AJ31" s="297"/>
      <c r="AK31" s="297"/>
      <c r="AL31" s="297"/>
    </row>
    <row r="32" spans="1:38">
      <c r="D32" s="30" t="s">
        <v>118</v>
      </c>
      <c r="E32" s="30" t="s">
        <v>119</v>
      </c>
      <c r="O32" s="307"/>
      <c r="P32" s="308"/>
      <c r="Q32" s="308"/>
      <c r="R32" s="309"/>
      <c r="S32" s="297"/>
      <c r="T32" s="297"/>
      <c r="U32" s="297"/>
      <c r="V32" s="297"/>
      <c r="W32" s="297"/>
      <c r="X32" s="297"/>
      <c r="Y32" s="297"/>
      <c r="Z32" s="297"/>
      <c r="AA32" s="297"/>
      <c r="AB32" s="297"/>
      <c r="AC32" s="297"/>
      <c r="AD32" s="297"/>
      <c r="AE32" s="297"/>
      <c r="AF32" s="297"/>
      <c r="AG32" s="297"/>
      <c r="AH32" s="297"/>
      <c r="AI32" s="297"/>
      <c r="AJ32" s="297"/>
      <c r="AK32" s="297"/>
      <c r="AL32" s="297"/>
    </row>
    <row r="33" spans="2:43">
      <c r="O33" s="300"/>
      <c r="P33" s="300"/>
      <c r="Q33" s="300"/>
      <c r="R33" s="300"/>
      <c r="S33" s="297"/>
      <c r="T33" s="297"/>
      <c r="U33" s="297"/>
      <c r="V33" s="297"/>
      <c r="W33" s="297"/>
      <c r="X33" s="297"/>
      <c r="Y33" s="297"/>
      <c r="Z33" s="297"/>
      <c r="AA33" s="297"/>
      <c r="AB33" s="297"/>
      <c r="AC33" s="297"/>
      <c r="AD33" s="297"/>
      <c r="AE33" s="297"/>
      <c r="AF33" s="297"/>
      <c r="AG33" s="297"/>
      <c r="AH33" s="297"/>
      <c r="AI33" s="297"/>
      <c r="AJ33" s="297"/>
      <c r="AK33" s="297"/>
      <c r="AL33" s="297"/>
    </row>
    <row r="34" spans="2:43">
      <c r="O34" s="297"/>
      <c r="P34" s="297"/>
      <c r="Q34" s="297"/>
      <c r="R34" s="297"/>
      <c r="S34" s="297"/>
      <c r="T34" s="297"/>
      <c r="U34" s="297"/>
      <c r="V34" s="297"/>
      <c r="W34" s="297"/>
      <c r="X34" s="297"/>
      <c r="Y34" s="297"/>
      <c r="Z34" s="297"/>
      <c r="AA34" s="297"/>
      <c r="AB34" s="297"/>
      <c r="AC34" s="297"/>
      <c r="AD34" s="297"/>
      <c r="AE34" s="297"/>
      <c r="AF34" s="297"/>
      <c r="AG34" s="297"/>
      <c r="AH34" s="297"/>
      <c r="AI34" s="297"/>
      <c r="AJ34" s="297"/>
      <c r="AK34" s="297"/>
      <c r="AL34" s="297"/>
    </row>
    <row r="35" spans="2:43">
      <c r="B35" s="33" t="s">
        <v>120</v>
      </c>
      <c r="C35" s="30" t="s">
        <v>121</v>
      </c>
      <c r="O35" s="297"/>
      <c r="P35" s="297"/>
      <c r="Q35" s="297"/>
      <c r="R35" s="297"/>
      <c r="S35" s="297"/>
      <c r="T35" s="297"/>
      <c r="U35" s="297"/>
      <c r="V35" s="297"/>
      <c r="W35" s="297"/>
      <c r="X35" s="297"/>
      <c r="Y35" s="297"/>
      <c r="Z35" s="297"/>
      <c r="AA35" s="297"/>
      <c r="AB35" s="297"/>
      <c r="AC35" s="297"/>
      <c r="AD35" s="297"/>
      <c r="AE35" s="297"/>
      <c r="AF35" s="297"/>
      <c r="AG35" s="297"/>
      <c r="AH35" s="297"/>
      <c r="AI35" s="297"/>
      <c r="AJ35" s="297"/>
      <c r="AK35" s="297"/>
      <c r="AL35" s="297"/>
    </row>
    <row r="36" spans="2:43">
      <c r="C36" s="30" t="s">
        <v>122</v>
      </c>
      <c r="O36" s="297"/>
      <c r="P36" s="297"/>
      <c r="Q36" s="297"/>
      <c r="R36" s="297"/>
      <c r="S36" s="297"/>
      <c r="T36" s="297"/>
      <c r="U36" s="297"/>
      <c r="V36" s="297"/>
      <c r="W36" s="297"/>
      <c r="X36" s="297"/>
      <c r="Y36" s="297"/>
      <c r="Z36" s="297"/>
      <c r="AA36" s="297"/>
      <c r="AB36" s="297"/>
      <c r="AC36" s="297"/>
      <c r="AD36" s="297"/>
      <c r="AE36" s="297"/>
      <c r="AF36" s="297"/>
      <c r="AG36" s="297"/>
      <c r="AH36" s="297"/>
      <c r="AI36" s="297"/>
      <c r="AJ36" s="297"/>
      <c r="AK36" s="297"/>
      <c r="AL36" s="297"/>
    </row>
    <row r="37" spans="2:43">
      <c r="D37" s="30" t="s">
        <v>123</v>
      </c>
      <c r="O37" s="297"/>
      <c r="P37" s="297"/>
      <c r="Q37" s="297"/>
      <c r="R37" s="297"/>
      <c r="S37" s="297"/>
      <c r="T37" s="297"/>
      <c r="U37" s="297"/>
      <c r="V37" s="297"/>
      <c r="W37" s="297"/>
      <c r="X37" s="297"/>
      <c r="Y37" s="297"/>
      <c r="Z37" s="297"/>
      <c r="AA37" s="297"/>
      <c r="AB37" s="297"/>
      <c r="AC37" s="297"/>
      <c r="AD37" s="297"/>
      <c r="AE37" s="297"/>
      <c r="AF37" s="297"/>
      <c r="AG37" s="297"/>
      <c r="AH37" s="297"/>
      <c r="AI37" s="297"/>
      <c r="AJ37" s="297"/>
      <c r="AK37" s="297"/>
      <c r="AL37" s="297"/>
    </row>
    <row r="38" spans="2:43">
      <c r="D38" s="30" t="s">
        <v>124</v>
      </c>
      <c r="O38" s="297"/>
      <c r="P38" s="297"/>
      <c r="Q38" s="297"/>
      <c r="R38" s="297"/>
      <c r="S38" s="297"/>
      <c r="T38" s="297"/>
      <c r="U38" s="297"/>
      <c r="V38" s="297"/>
      <c r="W38" s="297"/>
      <c r="X38" s="297"/>
      <c r="Y38" s="297"/>
      <c r="Z38" s="297"/>
      <c r="AA38" s="297"/>
      <c r="AB38" s="297"/>
      <c r="AC38" s="297"/>
      <c r="AD38" s="297"/>
      <c r="AE38" s="297"/>
      <c r="AF38" s="297"/>
      <c r="AG38" s="297"/>
      <c r="AH38" s="297"/>
      <c r="AI38" s="297"/>
      <c r="AJ38" s="297"/>
      <c r="AK38" s="297"/>
      <c r="AL38" s="297"/>
    </row>
    <row r="39" spans="2:43">
      <c r="D39" s="30" t="s">
        <v>125</v>
      </c>
      <c r="O39" s="297"/>
      <c r="P39" s="297"/>
      <c r="Q39" s="297"/>
      <c r="R39" s="297"/>
      <c r="S39" s="297"/>
      <c r="T39" s="297"/>
      <c r="U39" s="297"/>
      <c r="V39" s="297"/>
      <c r="W39" s="297"/>
      <c r="X39" s="297"/>
      <c r="Y39" s="297"/>
      <c r="Z39" s="297"/>
      <c r="AA39" s="297"/>
      <c r="AB39" s="297"/>
      <c r="AC39" s="297"/>
      <c r="AD39" s="297"/>
      <c r="AE39" s="297"/>
      <c r="AF39" s="297"/>
      <c r="AG39" s="297"/>
      <c r="AH39" s="297"/>
      <c r="AI39" s="297"/>
      <c r="AJ39" s="297"/>
      <c r="AK39" s="297"/>
      <c r="AL39" s="297"/>
    </row>
    <row r="40" spans="2:43">
      <c r="C40" s="30" t="s">
        <v>126</v>
      </c>
      <c r="O40" s="297"/>
      <c r="P40" s="297"/>
      <c r="Q40" s="297"/>
      <c r="R40" s="297"/>
      <c r="S40" s="297"/>
      <c r="T40" s="297"/>
      <c r="U40" s="297"/>
      <c r="V40" s="297"/>
      <c r="W40" s="297"/>
      <c r="X40" s="297"/>
      <c r="Y40" s="297"/>
      <c r="Z40" s="297"/>
      <c r="AA40" s="297"/>
      <c r="AB40" s="297"/>
      <c r="AC40" s="297"/>
      <c r="AD40" s="297"/>
      <c r="AE40" s="297"/>
      <c r="AF40" s="297"/>
      <c r="AG40" s="297"/>
      <c r="AH40" s="297"/>
      <c r="AI40" s="297"/>
      <c r="AJ40" s="297"/>
      <c r="AK40" s="297"/>
      <c r="AL40" s="297"/>
    </row>
    <row r="41" spans="2:43">
      <c r="C41" s="30" t="s">
        <v>127</v>
      </c>
      <c r="O41" s="297"/>
      <c r="P41" s="297"/>
      <c r="Q41" s="297"/>
      <c r="R41" s="297"/>
      <c r="S41" s="297"/>
      <c r="T41" s="297"/>
      <c r="U41" s="297"/>
      <c r="V41" s="297"/>
      <c r="W41" s="297"/>
      <c r="X41" s="297"/>
      <c r="Y41" s="297"/>
      <c r="Z41" s="297"/>
      <c r="AA41" s="297"/>
      <c r="AB41" s="297"/>
      <c r="AC41" s="297"/>
      <c r="AD41" s="297"/>
      <c r="AE41" s="297"/>
      <c r="AF41" s="297"/>
      <c r="AG41" s="297"/>
      <c r="AH41" s="297"/>
      <c r="AI41" s="297"/>
      <c r="AJ41" s="297"/>
      <c r="AK41" s="297"/>
      <c r="AL41" s="297"/>
    </row>
    <row r="42" spans="2:43">
      <c r="B42" s="33" t="s">
        <v>128</v>
      </c>
      <c r="C42" s="30" t="s">
        <v>129</v>
      </c>
      <c r="O42" s="297"/>
      <c r="P42" s="297"/>
      <c r="Q42" s="297"/>
      <c r="R42" s="297"/>
      <c r="S42" s="297"/>
      <c r="T42" s="297"/>
      <c r="U42" s="297"/>
      <c r="V42" s="297"/>
      <c r="W42" s="297"/>
      <c r="X42" s="297"/>
      <c r="Y42" s="297"/>
      <c r="Z42" s="297"/>
      <c r="AA42" s="297"/>
      <c r="AB42" s="297"/>
      <c r="AC42" s="297"/>
      <c r="AD42" s="297"/>
      <c r="AE42" s="297"/>
      <c r="AF42" s="297"/>
      <c r="AG42" s="297"/>
      <c r="AH42" s="297"/>
      <c r="AI42" s="297"/>
      <c r="AJ42" s="297"/>
      <c r="AK42" s="297"/>
      <c r="AL42" s="297"/>
    </row>
    <row r="43" spans="2:43">
      <c r="C43" s="30" t="s">
        <v>126</v>
      </c>
      <c r="O43" s="297"/>
      <c r="P43" s="297"/>
      <c r="Q43" s="297"/>
      <c r="R43" s="297"/>
      <c r="S43" s="297"/>
      <c r="T43" s="297"/>
      <c r="U43" s="297"/>
      <c r="V43" s="297"/>
      <c r="W43" s="297"/>
      <c r="X43" s="297"/>
      <c r="Y43" s="297"/>
      <c r="Z43" s="297"/>
      <c r="AA43" s="297"/>
      <c r="AB43" s="297"/>
      <c r="AC43" s="297"/>
      <c r="AD43" s="297"/>
      <c r="AE43" s="297"/>
      <c r="AF43" s="297"/>
      <c r="AG43" s="297"/>
      <c r="AH43" s="297"/>
      <c r="AI43" s="297"/>
      <c r="AJ43" s="297"/>
      <c r="AK43" s="297"/>
      <c r="AL43" s="297"/>
    </row>
    <row r="44" spans="2:43">
      <c r="C44" s="30" t="s">
        <v>127</v>
      </c>
      <c r="O44" s="297"/>
      <c r="P44" s="297"/>
      <c r="Q44" s="297"/>
      <c r="R44" s="297"/>
      <c r="S44" s="297"/>
      <c r="T44" s="297"/>
      <c r="U44" s="297"/>
      <c r="V44" s="297"/>
      <c r="W44" s="297"/>
      <c r="X44" s="297"/>
      <c r="Y44" s="297"/>
      <c r="Z44" s="297"/>
      <c r="AA44" s="297"/>
      <c r="AB44" s="297"/>
      <c r="AC44" s="297"/>
      <c r="AD44" s="297"/>
      <c r="AE44" s="297"/>
      <c r="AF44" s="297"/>
      <c r="AG44" s="297"/>
      <c r="AH44" s="297"/>
      <c r="AI44" s="297"/>
      <c r="AJ44" s="297"/>
      <c r="AK44" s="297"/>
      <c r="AL44" s="297"/>
    </row>
    <row r="45" spans="2:43">
      <c r="B45" s="30" t="e">
        <f>+#REF!</f>
        <v>#REF!</v>
      </c>
      <c r="O45" s="313" t="str">
        <f>IF(SUM(O23:O44)&gt;0,SUM(O23:O44),"NIL")</f>
        <v>NIL</v>
      </c>
      <c r="P45" s="314"/>
      <c r="Q45" s="314"/>
      <c r="R45" s="314"/>
      <c r="S45" s="314"/>
      <c r="T45" s="314"/>
      <c r="U45" s="314"/>
      <c r="V45" s="315"/>
      <c r="W45" s="294" t="s">
        <v>130</v>
      </c>
      <c r="X45" s="295"/>
      <c r="Y45" s="295"/>
      <c r="Z45" s="295"/>
      <c r="AA45" s="295"/>
      <c r="AB45" s="295"/>
      <c r="AC45" s="295"/>
      <c r="AD45" s="296"/>
      <c r="AE45" s="294" t="s">
        <v>130</v>
      </c>
      <c r="AF45" s="295"/>
      <c r="AG45" s="295"/>
      <c r="AH45" s="295"/>
      <c r="AI45" s="295"/>
      <c r="AJ45" s="295"/>
      <c r="AK45" s="295"/>
      <c r="AL45" s="296"/>
      <c r="AQ45" s="34"/>
    </row>
    <row r="47" spans="2:43">
      <c r="O47" s="281" t="s">
        <v>131</v>
      </c>
      <c r="P47" s="282"/>
      <c r="Q47" s="282"/>
      <c r="R47" s="282"/>
      <c r="S47" s="282"/>
      <c r="T47" s="282"/>
      <c r="U47" s="282"/>
      <c r="V47" s="282"/>
      <c r="W47" s="282"/>
      <c r="X47" s="282"/>
      <c r="Y47" s="282"/>
      <c r="Z47" s="283"/>
      <c r="AA47" s="289" t="s">
        <v>132</v>
      </c>
      <c r="AB47" s="287"/>
      <c r="AC47" s="287"/>
      <c r="AD47" s="287"/>
      <c r="AE47" s="287"/>
      <c r="AF47" s="287"/>
      <c r="AG47" s="287"/>
      <c r="AH47" s="287"/>
      <c r="AI47" s="287"/>
      <c r="AJ47" s="287"/>
      <c r="AK47" s="287"/>
      <c r="AL47" s="290"/>
    </row>
    <row r="48" spans="2:43">
      <c r="O48" s="284"/>
      <c r="P48" s="285"/>
      <c r="Q48" s="285"/>
      <c r="R48" s="285"/>
      <c r="S48" s="285"/>
      <c r="T48" s="285"/>
      <c r="U48" s="285"/>
      <c r="V48" s="285"/>
      <c r="W48" s="285"/>
      <c r="X48" s="285"/>
      <c r="Y48" s="285"/>
      <c r="Z48" s="286"/>
      <c r="AA48" s="291"/>
      <c r="AB48" s="288"/>
      <c r="AC48" s="288"/>
      <c r="AD48" s="288"/>
      <c r="AE48" s="288"/>
      <c r="AF48" s="288"/>
      <c r="AG48" s="288"/>
      <c r="AH48" s="288"/>
      <c r="AI48" s="288"/>
      <c r="AJ48" s="288"/>
      <c r="AK48" s="288"/>
      <c r="AL48" s="292"/>
    </row>
    <row r="49" spans="1:38">
      <c r="O49" s="281" t="str">
        <f>+Control!D68</f>
        <v>HK$</v>
      </c>
      <c r="P49" s="282"/>
      <c r="Q49" s="282"/>
      <c r="R49" s="282"/>
      <c r="S49" s="282"/>
      <c r="T49" s="282"/>
      <c r="U49" s="282"/>
      <c r="V49" s="282"/>
      <c r="W49" s="282"/>
      <c r="X49" s="282"/>
      <c r="Y49" s="282"/>
      <c r="Z49" s="283"/>
      <c r="AA49" s="281" t="str">
        <f>+Control!D68</f>
        <v>HK$</v>
      </c>
      <c r="AB49" s="282"/>
      <c r="AC49" s="282"/>
      <c r="AD49" s="282"/>
      <c r="AE49" s="282"/>
      <c r="AF49" s="282"/>
      <c r="AG49" s="282"/>
      <c r="AH49" s="282"/>
      <c r="AI49" s="282"/>
      <c r="AJ49" s="282"/>
      <c r="AK49" s="282"/>
      <c r="AL49" s="283"/>
    </row>
    <row r="50" spans="1:38">
      <c r="A50" s="30" t="s">
        <v>133</v>
      </c>
      <c r="B50" s="30" t="s">
        <v>134</v>
      </c>
      <c r="O50" s="310"/>
      <c r="P50" s="311"/>
      <c r="Q50" s="311"/>
      <c r="R50" s="311"/>
      <c r="S50" s="311"/>
      <c r="T50" s="311"/>
      <c r="U50" s="311"/>
      <c r="V50" s="311"/>
      <c r="W50" s="311"/>
      <c r="X50" s="311"/>
      <c r="Y50" s="311"/>
      <c r="Z50" s="312"/>
      <c r="AA50" s="310"/>
      <c r="AB50" s="311"/>
      <c r="AC50" s="311"/>
      <c r="AD50" s="311"/>
      <c r="AE50" s="311"/>
      <c r="AF50" s="311"/>
      <c r="AG50" s="311"/>
      <c r="AH50" s="311"/>
      <c r="AI50" s="311"/>
      <c r="AJ50" s="311"/>
      <c r="AK50" s="311"/>
      <c r="AL50" s="312"/>
    </row>
    <row r="51" spans="1:38">
      <c r="B51" s="30" t="s">
        <v>135</v>
      </c>
      <c r="O51" s="284"/>
      <c r="P51" s="285"/>
      <c r="Q51" s="285"/>
      <c r="R51" s="285"/>
      <c r="S51" s="285"/>
      <c r="T51" s="285"/>
      <c r="U51" s="285"/>
      <c r="V51" s="285"/>
      <c r="W51" s="285"/>
      <c r="X51" s="285"/>
      <c r="Y51" s="285"/>
      <c r="Z51" s="286"/>
      <c r="AA51" s="284"/>
      <c r="AB51" s="285"/>
      <c r="AC51" s="285"/>
      <c r="AD51" s="285"/>
      <c r="AE51" s="285"/>
      <c r="AF51" s="285"/>
      <c r="AG51" s="285"/>
      <c r="AH51" s="285"/>
      <c r="AI51" s="285"/>
      <c r="AJ51" s="285"/>
      <c r="AK51" s="285"/>
      <c r="AL51" s="286"/>
    </row>
    <row r="52" spans="1:38">
      <c r="B52" s="30" t="s">
        <v>136</v>
      </c>
      <c r="O52" s="294"/>
      <c r="P52" s="295"/>
      <c r="Q52" s="295"/>
      <c r="R52" s="295"/>
      <c r="S52" s="295"/>
      <c r="T52" s="295"/>
      <c r="U52" s="295"/>
      <c r="V52" s="295"/>
      <c r="W52" s="295"/>
      <c r="X52" s="295"/>
      <c r="Y52" s="295"/>
      <c r="Z52" s="296"/>
      <c r="AA52" s="294"/>
      <c r="AB52" s="295"/>
      <c r="AC52" s="295"/>
      <c r="AD52" s="295"/>
      <c r="AE52" s="295"/>
      <c r="AF52" s="295"/>
      <c r="AG52" s="295"/>
      <c r="AH52" s="295"/>
      <c r="AI52" s="295"/>
      <c r="AJ52" s="295"/>
      <c r="AK52" s="295"/>
      <c r="AL52" s="296"/>
    </row>
    <row r="53" spans="1:38">
      <c r="B53" s="30" t="s">
        <v>137</v>
      </c>
      <c r="O53" s="281"/>
      <c r="P53" s="282"/>
      <c r="Q53" s="282"/>
      <c r="R53" s="282"/>
      <c r="S53" s="282"/>
      <c r="T53" s="282"/>
      <c r="U53" s="282"/>
      <c r="V53" s="282"/>
      <c r="W53" s="282"/>
      <c r="X53" s="282"/>
      <c r="Y53" s="282"/>
      <c r="Z53" s="283"/>
      <c r="AA53" s="281"/>
      <c r="AB53" s="282"/>
      <c r="AC53" s="282"/>
      <c r="AD53" s="282"/>
      <c r="AE53" s="282"/>
      <c r="AF53" s="282"/>
      <c r="AG53" s="282"/>
      <c r="AH53" s="282"/>
      <c r="AI53" s="282"/>
      <c r="AJ53" s="282"/>
      <c r="AK53" s="282"/>
      <c r="AL53" s="283"/>
    </row>
    <row r="54" spans="1:38">
      <c r="D54" s="30" t="s">
        <v>138</v>
      </c>
      <c r="O54" s="284"/>
      <c r="P54" s="285"/>
      <c r="Q54" s="285"/>
      <c r="R54" s="285"/>
      <c r="S54" s="285"/>
      <c r="T54" s="285"/>
      <c r="U54" s="285"/>
      <c r="V54" s="285"/>
      <c r="W54" s="285"/>
      <c r="X54" s="285"/>
      <c r="Y54" s="285"/>
      <c r="Z54" s="286"/>
      <c r="AA54" s="284"/>
      <c r="AB54" s="285"/>
      <c r="AC54" s="285"/>
      <c r="AD54" s="285"/>
      <c r="AE54" s="285"/>
      <c r="AF54" s="285"/>
      <c r="AG54" s="285"/>
      <c r="AH54" s="285"/>
      <c r="AI54" s="285"/>
      <c r="AJ54" s="285"/>
      <c r="AK54" s="285"/>
      <c r="AL54" s="286"/>
    </row>
    <row r="55" spans="1:38">
      <c r="B55" s="30" t="e">
        <f>+#REF!</f>
        <v>#REF!</v>
      </c>
      <c r="O55" s="294" t="s">
        <v>130</v>
      </c>
      <c r="P55" s="295"/>
      <c r="Q55" s="295"/>
      <c r="R55" s="295"/>
      <c r="S55" s="295"/>
      <c r="T55" s="295"/>
      <c r="U55" s="295"/>
      <c r="V55" s="295"/>
      <c r="W55" s="295"/>
      <c r="X55" s="295"/>
      <c r="Y55" s="295"/>
      <c r="Z55" s="296"/>
      <c r="AA55" s="294" t="s">
        <v>130</v>
      </c>
      <c r="AB55" s="295"/>
      <c r="AC55" s="295"/>
      <c r="AD55" s="295"/>
      <c r="AE55" s="295"/>
      <c r="AF55" s="295"/>
      <c r="AG55" s="295"/>
      <c r="AH55" s="295"/>
      <c r="AI55" s="295"/>
      <c r="AJ55" s="295"/>
      <c r="AK55" s="295"/>
      <c r="AL55" s="296"/>
    </row>
    <row r="60" spans="1:38">
      <c r="O60" s="30" t="s">
        <v>139</v>
      </c>
      <c r="Q60" s="36"/>
      <c r="R60" s="36"/>
      <c r="S60" s="36"/>
      <c r="T60" s="36"/>
      <c r="U60" s="36"/>
      <c r="V60" s="36"/>
      <c r="W60" s="36"/>
      <c r="X60" s="36"/>
      <c r="Y60" s="36"/>
      <c r="Z60" s="36"/>
      <c r="AA60" s="36"/>
      <c r="AB60" s="36"/>
      <c r="AC60" s="36"/>
      <c r="AD60" s="36"/>
      <c r="AE60" s="36"/>
      <c r="AF60" s="36"/>
      <c r="AG60" s="36"/>
      <c r="AH60" s="36"/>
      <c r="AI60" s="36"/>
      <c r="AJ60" s="36"/>
      <c r="AK60" s="36"/>
      <c r="AL60" s="36"/>
    </row>
    <row r="62" spans="1:38">
      <c r="O62" s="30" t="s">
        <v>140</v>
      </c>
      <c r="Q62" s="36"/>
      <c r="R62" s="36"/>
      <c r="S62" s="36"/>
      <c r="T62" s="36"/>
      <c r="U62" s="36"/>
      <c r="V62" s="36"/>
      <c r="W62" s="36"/>
      <c r="X62" s="36"/>
      <c r="Y62" s="36"/>
      <c r="Z62" s="36"/>
      <c r="AA62" s="36"/>
      <c r="AB62" s="36"/>
      <c r="AC62" s="36"/>
      <c r="AD62" s="36"/>
      <c r="AE62" s="36"/>
      <c r="AF62" s="36"/>
      <c r="AG62" s="36"/>
      <c r="AH62" s="36"/>
      <c r="AI62" s="36"/>
      <c r="AJ62" s="36"/>
      <c r="AK62" s="36"/>
      <c r="AL62" s="36"/>
    </row>
    <row r="68" spans="2:4">
      <c r="B68" s="30" t="s">
        <v>141</v>
      </c>
    </row>
    <row r="69" spans="2:4">
      <c r="B69" s="30" t="str">
        <f>+IF(D72&lt;0,"161","383")</f>
        <v>161</v>
      </c>
    </row>
    <row r="70" spans="2:4">
      <c r="B70" s="30" t="s">
        <v>142</v>
      </c>
    </row>
    <row r="72" spans="2:4">
      <c r="B72" s="92">
        <v>41701</v>
      </c>
      <c r="D72" s="93">
        <f>+Control!D11-B72</f>
        <v>-75</v>
      </c>
    </row>
    <row r="76" spans="2:4">
      <c r="B76" s="30" t="s">
        <v>143</v>
      </c>
    </row>
    <row r="77" spans="2:4">
      <c r="B77" s="30" t="str">
        <f>+IF(D72&lt;0,"161B","383")</f>
        <v>161B</v>
      </c>
    </row>
    <row r="78" spans="2:4">
      <c r="B78" s="30" t="s">
        <v>144</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1" type="noConversion"/>
  <pageMargins left="0.51181102362204722" right="0.31496062992125984" top="0.74803149606299213" bottom="0.74803149606299213" header="0.31496062992125984" footer="0.31496062992125984"/>
  <pageSetup paperSize="9" scale="96"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8">
    <pageSetUpPr fitToPage="1"/>
  </sheetPr>
  <dimension ref="A1:AQ78"/>
  <sheetViews>
    <sheetView topLeftCell="A28" workbookViewId="0">
      <selection activeCell="C55" sqref="C55"/>
    </sheetView>
  </sheetViews>
  <sheetFormatPr defaultColWidth="2.625" defaultRowHeight="12"/>
  <cols>
    <col min="1" max="14" width="2.625" style="30" customWidth="1"/>
    <col min="15" max="16" width="2.5" style="30" customWidth="1"/>
    <col min="17" max="17" width="2.625" style="30" customWidth="1"/>
    <col min="18" max="18" width="6" style="30" customWidth="1"/>
    <col min="19" max="20" width="2.5" style="30" customWidth="1"/>
    <col min="21" max="22" width="2.125" style="30" customWidth="1"/>
    <col min="23" max="25" width="2.5" style="30" customWidth="1"/>
    <col min="26" max="26" width="1.875" style="30" customWidth="1"/>
    <col min="27" max="29" width="2.5" style="30" customWidth="1"/>
    <col min="30" max="30" width="1.875" style="30" customWidth="1"/>
    <col min="31" max="33" width="2.5" style="30" customWidth="1"/>
    <col min="34" max="34" width="1.375" style="30" customWidth="1"/>
    <col min="35" max="35" width="2.5" style="30" customWidth="1"/>
    <col min="36" max="36" width="2.125" style="30" customWidth="1"/>
    <col min="37" max="37" width="1.625" style="30" customWidth="1"/>
    <col min="38" max="38" width="2.5" style="30" customWidth="1"/>
    <col min="39" max="42" width="2.625" style="30"/>
    <col min="43" max="43" width="11.375" style="30" bestFit="1" customWidth="1"/>
    <col min="44" max="256" width="2.625" style="30"/>
    <col min="257" max="270" width="2.625" style="30" customWidth="1"/>
    <col min="271" max="272" width="2.5" style="30" customWidth="1"/>
    <col min="273" max="273" width="2.625" style="30" customWidth="1"/>
    <col min="274" max="274" width="6" style="30" customWidth="1"/>
    <col min="275" max="276" width="2.5" style="30" customWidth="1"/>
    <col min="277" max="278" width="2.125" style="30" customWidth="1"/>
    <col min="279" max="281" width="2.5" style="30" customWidth="1"/>
    <col min="282" max="282" width="1.875" style="30" customWidth="1"/>
    <col min="283" max="285" width="2.5" style="30" customWidth="1"/>
    <col min="286" max="286" width="1.875" style="30" customWidth="1"/>
    <col min="287" max="289" width="2.5" style="30" customWidth="1"/>
    <col min="290" max="290" width="1.375" style="30" customWidth="1"/>
    <col min="291" max="291" width="2.5" style="30" customWidth="1"/>
    <col min="292" max="292" width="2.125" style="30" customWidth="1"/>
    <col min="293" max="293" width="1.625" style="30" customWidth="1"/>
    <col min="294" max="294" width="2.5" style="30" customWidth="1"/>
    <col min="295" max="512" width="2.625" style="30"/>
    <col min="513" max="526" width="2.625" style="30" customWidth="1"/>
    <col min="527" max="528" width="2.5" style="30" customWidth="1"/>
    <col min="529" max="529" width="2.625" style="30" customWidth="1"/>
    <col min="530" max="530" width="6" style="30" customWidth="1"/>
    <col min="531" max="532" width="2.5" style="30" customWidth="1"/>
    <col min="533" max="534" width="2.125" style="30" customWidth="1"/>
    <col min="535" max="537" width="2.5" style="30" customWidth="1"/>
    <col min="538" max="538" width="1.875" style="30" customWidth="1"/>
    <col min="539" max="541" width="2.5" style="30" customWidth="1"/>
    <col min="542" max="542" width="1.875" style="30" customWidth="1"/>
    <col min="543" max="545" width="2.5" style="30" customWidth="1"/>
    <col min="546" max="546" width="1.375" style="30" customWidth="1"/>
    <col min="547" max="547" width="2.5" style="30" customWidth="1"/>
    <col min="548" max="548" width="2.125" style="30" customWidth="1"/>
    <col min="549" max="549" width="1.625" style="30" customWidth="1"/>
    <col min="550" max="550" width="2.5" style="30" customWidth="1"/>
    <col min="551" max="768" width="2.625" style="30"/>
    <col min="769" max="782" width="2.625" style="30" customWidth="1"/>
    <col min="783" max="784" width="2.5" style="30" customWidth="1"/>
    <col min="785" max="785" width="2.625" style="30" customWidth="1"/>
    <col min="786" max="786" width="6" style="30" customWidth="1"/>
    <col min="787" max="788" width="2.5" style="30" customWidth="1"/>
    <col min="789" max="790" width="2.125" style="30" customWidth="1"/>
    <col min="791" max="793" width="2.5" style="30" customWidth="1"/>
    <col min="794" max="794" width="1.875" style="30" customWidth="1"/>
    <col min="795" max="797" width="2.5" style="30" customWidth="1"/>
    <col min="798" max="798" width="1.875" style="30" customWidth="1"/>
    <col min="799" max="801" width="2.5" style="30" customWidth="1"/>
    <col min="802" max="802" width="1.375" style="30" customWidth="1"/>
    <col min="803" max="803" width="2.5" style="30" customWidth="1"/>
    <col min="804" max="804" width="2.125" style="30" customWidth="1"/>
    <col min="805" max="805" width="1.625" style="30" customWidth="1"/>
    <col min="806" max="806" width="2.5" style="30" customWidth="1"/>
    <col min="807" max="1024" width="2.625" style="30"/>
    <col min="1025" max="1038" width="2.625" style="30" customWidth="1"/>
    <col min="1039" max="1040" width="2.5" style="30" customWidth="1"/>
    <col min="1041" max="1041" width="2.625" style="30" customWidth="1"/>
    <col min="1042" max="1042" width="6" style="30" customWidth="1"/>
    <col min="1043" max="1044" width="2.5" style="30" customWidth="1"/>
    <col min="1045" max="1046" width="2.125" style="30" customWidth="1"/>
    <col min="1047" max="1049" width="2.5" style="30" customWidth="1"/>
    <col min="1050" max="1050" width="1.875" style="30" customWidth="1"/>
    <col min="1051" max="1053" width="2.5" style="30" customWidth="1"/>
    <col min="1054" max="1054" width="1.875" style="30" customWidth="1"/>
    <col min="1055" max="1057" width="2.5" style="30" customWidth="1"/>
    <col min="1058" max="1058" width="1.375" style="30" customWidth="1"/>
    <col min="1059" max="1059" width="2.5" style="30" customWidth="1"/>
    <col min="1060" max="1060" width="2.125" style="30" customWidth="1"/>
    <col min="1061" max="1061" width="1.625" style="30" customWidth="1"/>
    <col min="1062" max="1062" width="2.5" style="30" customWidth="1"/>
    <col min="1063" max="1280" width="2.625" style="30"/>
    <col min="1281" max="1294" width="2.625" style="30" customWidth="1"/>
    <col min="1295" max="1296" width="2.5" style="30" customWidth="1"/>
    <col min="1297" max="1297" width="2.625" style="30" customWidth="1"/>
    <col min="1298" max="1298" width="6" style="30" customWidth="1"/>
    <col min="1299" max="1300" width="2.5" style="30" customWidth="1"/>
    <col min="1301" max="1302" width="2.125" style="30" customWidth="1"/>
    <col min="1303" max="1305" width="2.5" style="30" customWidth="1"/>
    <col min="1306" max="1306" width="1.875" style="30" customWidth="1"/>
    <col min="1307" max="1309" width="2.5" style="30" customWidth="1"/>
    <col min="1310" max="1310" width="1.875" style="30" customWidth="1"/>
    <col min="1311" max="1313" width="2.5" style="30" customWidth="1"/>
    <col min="1314" max="1314" width="1.375" style="30" customWidth="1"/>
    <col min="1315" max="1315" width="2.5" style="30" customWidth="1"/>
    <col min="1316" max="1316" width="2.125" style="30" customWidth="1"/>
    <col min="1317" max="1317" width="1.625" style="30" customWidth="1"/>
    <col min="1318" max="1318" width="2.5" style="30" customWidth="1"/>
    <col min="1319" max="1536" width="2.625" style="30"/>
    <col min="1537" max="1550" width="2.625" style="30" customWidth="1"/>
    <col min="1551" max="1552" width="2.5" style="30" customWidth="1"/>
    <col min="1553" max="1553" width="2.625" style="30" customWidth="1"/>
    <col min="1554" max="1554" width="6" style="30" customWidth="1"/>
    <col min="1555" max="1556" width="2.5" style="30" customWidth="1"/>
    <col min="1557" max="1558" width="2.125" style="30" customWidth="1"/>
    <col min="1559" max="1561" width="2.5" style="30" customWidth="1"/>
    <col min="1562" max="1562" width="1.875" style="30" customWidth="1"/>
    <col min="1563" max="1565" width="2.5" style="30" customWidth="1"/>
    <col min="1566" max="1566" width="1.875" style="30" customWidth="1"/>
    <col min="1567" max="1569" width="2.5" style="30" customWidth="1"/>
    <col min="1570" max="1570" width="1.375" style="30" customWidth="1"/>
    <col min="1571" max="1571" width="2.5" style="30" customWidth="1"/>
    <col min="1572" max="1572" width="2.125" style="30" customWidth="1"/>
    <col min="1573" max="1573" width="1.625" style="30" customWidth="1"/>
    <col min="1574" max="1574" width="2.5" style="30" customWidth="1"/>
    <col min="1575" max="1792" width="2.625" style="30"/>
    <col min="1793" max="1806" width="2.625" style="30" customWidth="1"/>
    <col min="1807" max="1808" width="2.5" style="30" customWidth="1"/>
    <col min="1809" max="1809" width="2.625" style="30" customWidth="1"/>
    <col min="1810" max="1810" width="6" style="30" customWidth="1"/>
    <col min="1811" max="1812" width="2.5" style="30" customWidth="1"/>
    <col min="1813" max="1814" width="2.125" style="30" customWidth="1"/>
    <col min="1815" max="1817" width="2.5" style="30" customWidth="1"/>
    <col min="1818" max="1818" width="1.875" style="30" customWidth="1"/>
    <col min="1819" max="1821" width="2.5" style="30" customWidth="1"/>
    <col min="1822" max="1822" width="1.875" style="30" customWidth="1"/>
    <col min="1823" max="1825" width="2.5" style="30" customWidth="1"/>
    <col min="1826" max="1826" width="1.375" style="30" customWidth="1"/>
    <col min="1827" max="1827" width="2.5" style="30" customWidth="1"/>
    <col min="1828" max="1828" width="2.125" style="30" customWidth="1"/>
    <col min="1829" max="1829" width="1.625" style="30" customWidth="1"/>
    <col min="1830" max="1830" width="2.5" style="30" customWidth="1"/>
    <col min="1831" max="2048" width="2.625" style="30"/>
    <col min="2049" max="2062" width="2.625" style="30" customWidth="1"/>
    <col min="2063" max="2064" width="2.5" style="30" customWidth="1"/>
    <col min="2065" max="2065" width="2.625" style="30" customWidth="1"/>
    <col min="2066" max="2066" width="6" style="30" customWidth="1"/>
    <col min="2067" max="2068" width="2.5" style="30" customWidth="1"/>
    <col min="2069" max="2070" width="2.125" style="30" customWidth="1"/>
    <col min="2071" max="2073" width="2.5" style="30" customWidth="1"/>
    <col min="2074" max="2074" width="1.875" style="30" customWidth="1"/>
    <col min="2075" max="2077" width="2.5" style="30" customWidth="1"/>
    <col min="2078" max="2078" width="1.875" style="30" customWidth="1"/>
    <col min="2079" max="2081" width="2.5" style="30" customWidth="1"/>
    <col min="2082" max="2082" width="1.375" style="30" customWidth="1"/>
    <col min="2083" max="2083" width="2.5" style="30" customWidth="1"/>
    <col min="2084" max="2084" width="2.125" style="30" customWidth="1"/>
    <col min="2085" max="2085" width="1.625" style="30" customWidth="1"/>
    <col min="2086" max="2086" width="2.5" style="30" customWidth="1"/>
    <col min="2087" max="2304" width="2.625" style="30"/>
    <col min="2305" max="2318" width="2.625" style="30" customWidth="1"/>
    <col min="2319" max="2320" width="2.5" style="30" customWidth="1"/>
    <col min="2321" max="2321" width="2.625" style="30" customWidth="1"/>
    <col min="2322" max="2322" width="6" style="30" customWidth="1"/>
    <col min="2323" max="2324" width="2.5" style="30" customWidth="1"/>
    <col min="2325" max="2326" width="2.125" style="30" customWidth="1"/>
    <col min="2327" max="2329" width="2.5" style="30" customWidth="1"/>
    <col min="2330" max="2330" width="1.875" style="30" customWidth="1"/>
    <col min="2331" max="2333" width="2.5" style="30" customWidth="1"/>
    <col min="2334" max="2334" width="1.875" style="30" customWidth="1"/>
    <col min="2335" max="2337" width="2.5" style="30" customWidth="1"/>
    <col min="2338" max="2338" width="1.375" style="30" customWidth="1"/>
    <col min="2339" max="2339" width="2.5" style="30" customWidth="1"/>
    <col min="2340" max="2340" width="2.125" style="30" customWidth="1"/>
    <col min="2341" max="2341" width="1.625" style="30" customWidth="1"/>
    <col min="2342" max="2342" width="2.5" style="30" customWidth="1"/>
    <col min="2343" max="2560" width="2.625" style="30"/>
    <col min="2561" max="2574" width="2.625" style="30" customWidth="1"/>
    <col min="2575" max="2576" width="2.5" style="30" customWidth="1"/>
    <col min="2577" max="2577" width="2.625" style="30" customWidth="1"/>
    <col min="2578" max="2578" width="6" style="30" customWidth="1"/>
    <col min="2579" max="2580" width="2.5" style="30" customWidth="1"/>
    <col min="2581" max="2582" width="2.125" style="30" customWidth="1"/>
    <col min="2583" max="2585" width="2.5" style="30" customWidth="1"/>
    <col min="2586" max="2586" width="1.875" style="30" customWidth="1"/>
    <col min="2587" max="2589" width="2.5" style="30" customWidth="1"/>
    <col min="2590" max="2590" width="1.875" style="30" customWidth="1"/>
    <col min="2591" max="2593" width="2.5" style="30" customWidth="1"/>
    <col min="2594" max="2594" width="1.375" style="30" customWidth="1"/>
    <col min="2595" max="2595" width="2.5" style="30" customWidth="1"/>
    <col min="2596" max="2596" width="2.125" style="30" customWidth="1"/>
    <col min="2597" max="2597" width="1.625" style="30" customWidth="1"/>
    <col min="2598" max="2598" width="2.5" style="30" customWidth="1"/>
    <col min="2599" max="2816" width="2.625" style="30"/>
    <col min="2817" max="2830" width="2.625" style="30" customWidth="1"/>
    <col min="2831" max="2832" width="2.5" style="30" customWidth="1"/>
    <col min="2833" max="2833" width="2.625" style="30" customWidth="1"/>
    <col min="2834" max="2834" width="6" style="30" customWidth="1"/>
    <col min="2835" max="2836" width="2.5" style="30" customWidth="1"/>
    <col min="2837" max="2838" width="2.125" style="30" customWidth="1"/>
    <col min="2839" max="2841" width="2.5" style="30" customWidth="1"/>
    <col min="2842" max="2842" width="1.875" style="30" customWidth="1"/>
    <col min="2843" max="2845" width="2.5" style="30" customWidth="1"/>
    <col min="2846" max="2846" width="1.875" style="30" customWidth="1"/>
    <col min="2847" max="2849" width="2.5" style="30" customWidth="1"/>
    <col min="2850" max="2850" width="1.375" style="30" customWidth="1"/>
    <col min="2851" max="2851" width="2.5" style="30" customWidth="1"/>
    <col min="2852" max="2852" width="2.125" style="30" customWidth="1"/>
    <col min="2853" max="2853" width="1.625" style="30" customWidth="1"/>
    <col min="2854" max="2854" width="2.5" style="30" customWidth="1"/>
    <col min="2855" max="3072" width="2.625" style="30"/>
    <col min="3073" max="3086" width="2.625" style="30" customWidth="1"/>
    <col min="3087" max="3088" width="2.5" style="30" customWidth="1"/>
    <col min="3089" max="3089" width="2.625" style="30" customWidth="1"/>
    <col min="3090" max="3090" width="6" style="30" customWidth="1"/>
    <col min="3091" max="3092" width="2.5" style="30" customWidth="1"/>
    <col min="3093" max="3094" width="2.125" style="30" customWidth="1"/>
    <col min="3095" max="3097" width="2.5" style="30" customWidth="1"/>
    <col min="3098" max="3098" width="1.875" style="30" customWidth="1"/>
    <col min="3099" max="3101" width="2.5" style="30" customWidth="1"/>
    <col min="3102" max="3102" width="1.875" style="30" customWidth="1"/>
    <col min="3103" max="3105" width="2.5" style="30" customWidth="1"/>
    <col min="3106" max="3106" width="1.375" style="30" customWidth="1"/>
    <col min="3107" max="3107" width="2.5" style="30" customWidth="1"/>
    <col min="3108" max="3108" width="2.125" style="30" customWidth="1"/>
    <col min="3109" max="3109" width="1.625" style="30" customWidth="1"/>
    <col min="3110" max="3110" width="2.5" style="30" customWidth="1"/>
    <col min="3111" max="3328" width="2.625" style="30"/>
    <col min="3329" max="3342" width="2.625" style="30" customWidth="1"/>
    <col min="3343" max="3344" width="2.5" style="30" customWidth="1"/>
    <col min="3345" max="3345" width="2.625" style="30" customWidth="1"/>
    <col min="3346" max="3346" width="6" style="30" customWidth="1"/>
    <col min="3347" max="3348" width="2.5" style="30" customWidth="1"/>
    <col min="3349" max="3350" width="2.125" style="30" customWidth="1"/>
    <col min="3351" max="3353" width="2.5" style="30" customWidth="1"/>
    <col min="3354" max="3354" width="1.875" style="30" customWidth="1"/>
    <col min="3355" max="3357" width="2.5" style="30" customWidth="1"/>
    <col min="3358" max="3358" width="1.875" style="30" customWidth="1"/>
    <col min="3359" max="3361" width="2.5" style="30" customWidth="1"/>
    <col min="3362" max="3362" width="1.375" style="30" customWidth="1"/>
    <col min="3363" max="3363" width="2.5" style="30" customWidth="1"/>
    <col min="3364" max="3364" width="2.125" style="30" customWidth="1"/>
    <col min="3365" max="3365" width="1.625" style="30" customWidth="1"/>
    <col min="3366" max="3366" width="2.5" style="30" customWidth="1"/>
    <col min="3367" max="3584" width="2.625" style="30"/>
    <col min="3585" max="3598" width="2.625" style="30" customWidth="1"/>
    <col min="3599" max="3600" width="2.5" style="30" customWidth="1"/>
    <col min="3601" max="3601" width="2.625" style="30" customWidth="1"/>
    <col min="3602" max="3602" width="6" style="30" customWidth="1"/>
    <col min="3603" max="3604" width="2.5" style="30" customWidth="1"/>
    <col min="3605" max="3606" width="2.125" style="30" customWidth="1"/>
    <col min="3607" max="3609" width="2.5" style="30" customWidth="1"/>
    <col min="3610" max="3610" width="1.875" style="30" customWidth="1"/>
    <col min="3611" max="3613" width="2.5" style="30" customWidth="1"/>
    <col min="3614" max="3614" width="1.875" style="30" customWidth="1"/>
    <col min="3615" max="3617" width="2.5" style="30" customWidth="1"/>
    <col min="3618" max="3618" width="1.375" style="30" customWidth="1"/>
    <col min="3619" max="3619" width="2.5" style="30" customWidth="1"/>
    <col min="3620" max="3620" width="2.125" style="30" customWidth="1"/>
    <col min="3621" max="3621" width="1.625" style="30" customWidth="1"/>
    <col min="3622" max="3622" width="2.5" style="30" customWidth="1"/>
    <col min="3623" max="3840" width="2.625" style="30"/>
    <col min="3841" max="3854" width="2.625" style="30" customWidth="1"/>
    <col min="3855" max="3856" width="2.5" style="30" customWidth="1"/>
    <col min="3857" max="3857" width="2.625" style="30" customWidth="1"/>
    <col min="3858" max="3858" width="6" style="30" customWidth="1"/>
    <col min="3859" max="3860" width="2.5" style="30" customWidth="1"/>
    <col min="3861" max="3862" width="2.125" style="30" customWidth="1"/>
    <col min="3863" max="3865" width="2.5" style="30" customWidth="1"/>
    <col min="3866" max="3866" width="1.875" style="30" customWidth="1"/>
    <col min="3867" max="3869" width="2.5" style="30" customWidth="1"/>
    <col min="3870" max="3870" width="1.875" style="30" customWidth="1"/>
    <col min="3871" max="3873" width="2.5" style="30" customWidth="1"/>
    <col min="3874" max="3874" width="1.375" style="30" customWidth="1"/>
    <col min="3875" max="3875" width="2.5" style="30" customWidth="1"/>
    <col min="3876" max="3876" width="2.125" style="30" customWidth="1"/>
    <col min="3877" max="3877" width="1.625" style="30" customWidth="1"/>
    <col min="3878" max="3878" width="2.5" style="30" customWidth="1"/>
    <col min="3879" max="4096" width="2.625" style="30"/>
    <col min="4097" max="4110" width="2.625" style="30" customWidth="1"/>
    <col min="4111" max="4112" width="2.5" style="30" customWidth="1"/>
    <col min="4113" max="4113" width="2.625" style="30" customWidth="1"/>
    <col min="4114" max="4114" width="6" style="30" customWidth="1"/>
    <col min="4115" max="4116" width="2.5" style="30" customWidth="1"/>
    <col min="4117" max="4118" width="2.125" style="30" customWidth="1"/>
    <col min="4119" max="4121" width="2.5" style="30" customWidth="1"/>
    <col min="4122" max="4122" width="1.875" style="30" customWidth="1"/>
    <col min="4123" max="4125" width="2.5" style="30" customWidth="1"/>
    <col min="4126" max="4126" width="1.875" style="30" customWidth="1"/>
    <col min="4127" max="4129" width="2.5" style="30" customWidth="1"/>
    <col min="4130" max="4130" width="1.375" style="30" customWidth="1"/>
    <col min="4131" max="4131" width="2.5" style="30" customWidth="1"/>
    <col min="4132" max="4132" width="2.125" style="30" customWidth="1"/>
    <col min="4133" max="4133" width="1.625" style="30" customWidth="1"/>
    <col min="4134" max="4134" width="2.5" style="30" customWidth="1"/>
    <col min="4135" max="4352" width="2.625" style="30"/>
    <col min="4353" max="4366" width="2.625" style="30" customWidth="1"/>
    <col min="4367" max="4368" width="2.5" style="30" customWidth="1"/>
    <col min="4369" max="4369" width="2.625" style="30" customWidth="1"/>
    <col min="4370" max="4370" width="6" style="30" customWidth="1"/>
    <col min="4371" max="4372" width="2.5" style="30" customWidth="1"/>
    <col min="4373" max="4374" width="2.125" style="30" customWidth="1"/>
    <col min="4375" max="4377" width="2.5" style="30" customWidth="1"/>
    <col min="4378" max="4378" width="1.875" style="30" customWidth="1"/>
    <col min="4379" max="4381" width="2.5" style="30" customWidth="1"/>
    <col min="4382" max="4382" width="1.875" style="30" customWidth="1"/>
    <col min="4383" max="4385" width="2.5" style="30" customWidth="1"/>
    <col min="4386" max="4386" width="1.375" style="30" customWidth="1"/>
    <col min="4387" max="4387" width="2.5" style="30" customWidth="1"/>
    <col min="4388" max="4388" width="2.125" style="30" customWidth="1"/>
    <col min="4389" max="4389" width="1.625" style="30" customWidth="1"/>
    <col min="4390" max="4390" width="2.5" style="30" customWidth="1"/>
    <col min="4391" max="4608" width="2.625" style="30"/>
    <col min="4609" max="4622" width="2.625" style="30" customWidth="1"/>
    <col min="4623" max="4624" width="2.5" style="30" customWidth="1"/>
    <col min="4625" max="4625" width="2.625" style="30" customWidth="1"/>
    <col min="4626" max="4626" width="6" style="30" customWidth="1"/>
    <col min="4627" max="4628" width="2.5" style="30" customWidth="1"/>
    <col min="4629" max="4630" width="2.125" style="30" customWidth="1"/>
    <col min="4631" max="4633" width="2.5" style="30" customWidth="1"/>
    <col min="4634" max="4634" width="1.875" style="30" customWidth="1"/>
    <col min="4635" max="4637" width="2.5" style="30" customWidth="1"/>
    <col min="4638" max="4638" width="1.875" style="30" customWidth="1"/>
    <col min="4639" max="4641" width="2.5" style="30" customWidth="1"/>
    <col min="4642" max="4642" width="1.375" style="30" customWidth="1"/>
    <col min="4643" max="4643" width="2.5" style="30" customWidth="1"/>
    <col min="4644" max="4644" width="2.125" style="30" customWidth="1"/>
    <col min="4645" max="4645" width="1.625" style="30" customWidth="1"/>
    <col min="4646" max="4646" width="2.5" style="30" customWidth="1"/>
    <col min="4647" max="4864" width="2.625" style="30"/>
    <col min="4865" max="4878" width="2.625" style="30" customWidth="1"/>
    <col min="4879" max="4880" width="2.5" style="30" customWidth="1"/>
    <col min="4881" max="4881" width="2.625" style="30" customWidth="1"/>
    <col min="4882" max="4882" width="6" style="30" customWidth="1"/>
    <col min="4883" max="4884" width="2.5" style="30" customWidth="1"/>
    <col min="4885" max="4886" width="2.125" style="30" customWidth="1"/>
    <col min="4887" max="4889" width="2.5" style="30" customWidth="1"/>
    <col min="4890" max="4890" width="1.875" style="30" customWidth="1"/>
    <col min="4891" max="4893" width="2.5" style="30" customWidth="1"/>
    <col min="4894" max="4894" width="1.875" style="30" customWidth="1"/>
    <col min="4895" max="4897" width="2.5" style="30" customWidth="1"/>
    <col min="4898" max="4898" width="1.375" style="30" customWidth="1"/>
    <col min="4899" max="4899" width="2.5" style="30" customWidth="1"/>
    <col min="4900" max="4900" width="2.125" style="30" customWidth="1"/>
    <col min="4901" max="4901" width="1.625" style="30" customWidth="1"/>
    <col min="4902" max="4902" width="2.5" style="30" customWidth="1"/>
    <col min="4903" max="5120" width="2.625" style="30"/>
    <col min="5121" max="5134" width="2.625" style="30" customWidth="1"/>
    <col min="5135" max="5136" width="2.5" style="30" customWidth="1"/>
    <col min="5137" max="5137" width="2.625" style="30" customWidth="1"/>
    <col min="5138" max="5138" width="6" style="30" customWidth="1"/>
    <col min="5139" max="5140" width="2.5" style="30" customWidth="1"/>
    <col min="5141" max="5142" width="2.125" style="30" customWidth="1"/>
    <col min="5143" max="5145" width="2.5" style="30" customWidth="1"/>
    <col min="5146" max="5146" width="1.875" style="30" customWidth="1"/>
    <col min="5147" max="5149" width="2.5" style="30" customWidth="1"/>
    <col min="5150" max="5150" width="1.875" style="30" customWidth="1"/>
    <col min="5151" max="5153" width="2.5" style="30" customWidth="1"/>
    <col min="5154" max="5154" width="1.375" style="30" customWidth="1"/>
    <col min="5155" max="5155" width="2.5" style="30" customWidth="1"/>
    <col min="5156" max="5156" width="2.125" style="30" customWidth="1"/>
    <col min="5157" max="5157" width="1.625" style="30" customWidth="1"/>
    <col min="5158" max="5158" width="2.5" style="30" customWidth="1"/>
    <col min="5159" max="5376" width="2.625" style="30"/>
    <col min="5377" max="5390" width="2.625" style="30" customWidth="1"/>
    <col min="5391" max="5392" width="2.5" style="30" customWidth="1"/>
    <col min="5393" max="5393" width="2.625" style="30" customWidth="1"/>
    <col min="5394" max="5394" width="6" style="30" customWidth="1"/>
    <col min="5395" max="5396" width="2.5" style="30" customWidth="1"/>
    <col min="5397" max="5398" width="2.125" style="30" customWidth="1"/>
    <col min="5399" max="5401" width="2.5" style="30" customWidth="1"/>
    <col min="5402" max="5402" width="1.875" style="30" customWidth="1"/>
    <col min="5403" max="5405" width="2.5" style="30" customWidth="1"/>
    <col min="5406" max="5406" width="1.875" style="30" customWidth="1"/>
    <col min="5407" max="5409" width="2.5" style="30" customWidth="1"/>
    <col min="5410" max="5410" width="1.375" style="30" customWidth="1"/>
    <col min="5411" max="5411" width="2.5" style="30" customWidth="1"/>
    <col min="5412" max="5412" width="2.125" style="30" customWidth="1"/>
    <col min="5413" max="5413" width="1.625" style="30" customWidth="1"/>
    <col min="5414" max="5414" width="2.5" style="30" customWidth="1"/>
    <col min="5415" max="5632" width="2.625" style="30"/>
    <col min="5633" max="5646" width="2.625" style="30" customWidth="1"/>
    <col min="5647" max="5648" width="2.5" style="30" customWidth="1"/>
    <col min="5649" max="5649" width="2.625" style="30" customWidth="1"/>
    <col min="5650" max="5650" width="6" style="30" customWidth="1"/>
    <col min="5651" max="5652" width="2.5" style="30" customWidth="1"/>
    <col min="5653" max="5654" width="2.125" style="30" customWidth="1"/>
    <col min="5655" max="5657" width="2.5" style="30" customWidth="1"/>
    <col min="5658" max="5658" width="1.875" style="30" customWidth="1"/>
    <col min="5659" max="5661" width="2.5" style="30" customWidth="1"/>
    <col min="5662" max="5662" width="1.875" style="30" customWidth="1"/>
    <col min="5663" max="5665" width="2.5" style="30" customWidth="1"/>
    <col min="5666" max="5666" width="1.375" style="30" customWidth="1"/>
    <col min="5667" max="5667" width="2.5" style="30" customWidth="1"/>
    <col min="5668" max="5668" width="2.125" style="30" customWidth="1"/>
    <col min="5669" max="5669" width="1.625" style="30" customWidth="1"/>
    <col min="5670" max="5670" width="2.5" style="30" customWidth="1"/>
    <col min="5671" max="5888" width="2.625" style="30"/>
    <col min="5889" max="5902" width="2.625" style="30" customWidth="1"/>
    <col min="5903" max="5904" width="2.5" style="30" customWidth="1"/>
    <col min="5905" max="5905" width="2.625" style="30" customWidth="1"/>
    <col min="5906" max="5906" width="6" style="30" customWidth="1"/>
    <col min="5907" max="5908" width="2.5" style="30" customWidth="1"/>
    <col min="5909" max="5910" width="2.125" style="30" customWidth="1"/>
    <col min="5911" max="5913" width="2.5" style="30" customWidth="1"/>
    <col min="5914" max="5914" width="1.875" style="30" customWidth="1"/>
    <col min="5915" max="5917" width="2.5" style="30" customWidth="1"/>
    <col min="5918" max="5918" width="1.875" style="30" customWidth="1"/>
    <col min="5919" max="5921" width="2.5" style="30" customWidth="1"/>
    <col min="5922" max="5922" width="1.375" style="30" customWidth="1"/>
    <col min="5923" max="5923" width="2.5" style="30" customWidth="1"/>
    <col min="5924" max="5924" width="2.125" style="30" customWidth="1"/>
    <col min="5925" max="5925" width="1.625" style="30" customWidth="1"/>
    <col min="5926" max="5926" width="2.5" style="30" customWidth="1"/>
    <col min="5927" max="6144" width="2.625" style="30"/>
    <col min="6145" max="6158" width="2.625" style="30" customWidth="1"/>
    <col min="6159" max="6160" width="2.5" style="30" customWidth="1"/>
    <col min="6161" max="6161" width="2.625" style="30" customWidth="1"/>
    <col min="6162" max="6162" width="6" style="30" customWidth="1"/>
    <col min="6163" max="6164" width="2.5" style="30" customWidth="1"/>
    <col min="6165" max="6166" width="2.125" style="30" customWidth="1"/>
    <col min="6167" max="6169" width="2.5" style="30" customWidth="1"/>
    <col min="6170" max="6170" width="1.875" style="30" customWidth="1"/>
    <col min="6171" max="6173" width="2.5" style="30" customWidth="1"/>
    <col min="6174" max="6174" width="1.875" style="30" customWidth="1"/>
    <col min="6175" max="6177" width="2.5" style="30" customWidth="1"/>
    <col min="6178" max="6178" width="1.375" style="30" customWidth="1"/>
    <col min="6179" max="6179" width="2.5" style="30" customWidth="1"/>
    <col min="6180" max="6180" width="2.125" style="30" customWidth="1"/>
    <col min="6181" max="6181" width="1.625" style="30" customWidth="1"/>
    <col min="6182" max="6182" width="2.5" style="30" customWidth="1"/>
    <col min="6183" max="6400" width="2.625" style="30"/>
    <col min="6401" max="6414" width="2.625" style="30" customWidth="1"/>
    <col min="6415" max="6416" width="2.5" style="30" customWidth="1"/>
    <col min="6417" max="6417" width="2.625" style="30" customWidth="1"/>
    <col min="6418" max="6418" width="6" style="30" customWidth="1"/>
    <col min="6419" max="6420" width="2.5" style="30" customWidth="1"/>
    <col min="6421" max="6422" width="2.125" style="30" customWidth="1"/>
    <col min="6423" max="6425" width="2.5" style="30" customWidth="1"/>
    <col min="6426" max="6426" width="1.875" style="30" customWidth="1"/>
    <col min="6427" max="6429" width="2.5" style="30" customWidth="1"/>
    <col min="6430" max="6430" width="1.875" style="30" customWidth="1"/>
    <col min="6431" max="6433" width="2.5" style="30" customWidth="1"/>
    <col min="6434" max="6434" width="1.375" style="30" customWidth="1"/>
    <col min="6435" max="6435" width="2.5" style="30" customWidth="1"/>
    <col min="6436" max="6436" width="2.125" style="30" customWidth="1"/>
    <col min="6437" max="6437" width="1.625" style="30" customWidth="1"/>
    <col min="6438" max="6438" width="2.5" style="30" customWidth="1"/>
    <col min="6439" max="6656" width="2.625" style="30"/>
    <col min="6657" max="6670" width="2.625" style="30" customWidth="1"/>
    <col min="6671" max="6672" width="2.5" style="30" customWidth="1"/>
    <col min="6673" max="6673" width="2.625" style="30" customWidth="1"/>
    <col min="6674" max="6674" width="6" style="30" customWidth="1"/>
    <col min="6675" max="6676" width="2.5" style="30" customWidth="1"/>
    <col min="6677" max="6678" width="2.125" style="30" customWidth="1"/>
    <col min="6679" max="6681" width="2.5" style="30" customWidth="1"/>
    <col min="6682" max="6682" width="1.875" style="30" customWidth="1"/>
    <col min="6683" max="6685" width="2.5" style="30" customWidth="1"/>
    <col min="6686" max="6686" width="1.875" style="30" customWidth="1"/>
    <col min="6687" max="6689" width="2.5" style="30" customWidth="1"/>
    <col min="6690" max="6690" width="1.375" style="30" customWidth="1"/>
    <col min="6691" max="6691" width="2.5" style="30" customWidth="1"/>
    <col min="6692" max="6692" width="2.125" style="30" customWidth="1"/>
    <col min="6693" max="6693" width="1.625" style="30" customWidth="1"/>
    <col min="6694" max="6694" width="2.5" style="30" customWidth="1"/>
    <col min="6695" max="6912" width="2.625" style="30"/>
    <col min="6913" max="6926" width="2.625" style="30" customWidth="1"/>
    <col min="6927" max="6928" width="2.5" style="30" customWidth="1"/>
    <col min="6929" max="6929" width="2.625" style="30" customWidth="1"/>
    <col min="6930" max="6930" width="6" style="30" customWidth="1"/>
    <col min="6931" max="6932" width="2.5" style="30" customWidth="1"/>
    <col min="6933" max="6934" width="2.125" style="30" customWidth="1"/>
    <col min="6935" max="6937" width="2.5" style="30" customWidth="1"/>
    <col min="6938" max="6938" width="1.875" style="30" customWidth="1"/>
    <col min="6939" max="6941" width="2.5" style="30" customWidth="1"/>
    <col min="6942" max="6942" width="1.875" style="30" customWidth="1"/>
    <col min="6943" max="6945" width="2.5" style="30" customWidth="1"/>
    <col min="6946" max="6946" width="1.375" style="30" customWidth="1"/>
    <col min="6947" max="6947" width="2.5" style="30" customWidth="1"/>
    <col min="6948" max="6948" width="2.125" style="30" customWidth="1"/>
    <col min="6949" max="6949" width="1.625" style="30" customWidth="1"/>
    <col min="6950" max="6950" width="2.5" style="30" customWidth="1"/>
    <col min="6951" max="7168" width="2.625" style="30"/>
    <col min="7169" max="7182" width="2.625" style="30" customWidth="1"/>
    <col min="7183" max="7184" width="2.5" style="30" customWidth="1"/>
    <col min="7185" max="7185" width="2.625" style="30" customWidth="1"/>
    <col min="7186" max="7186" width="6" style="30" customWidth="1"/>
    <col min="7187" max="7188" width="2.5" style="30" customWidth="1"/>
    <col min="7189" max="7190" width="2.125" style="30" customWidth="1"/>
    <col min="7191" max="7193" width="2.5" style="30" customWidth="1"/>
    <col min="7194" max="7194" width="1.875" style="30" customWidth="1"/>
    <col min="7195" max="7197" width="2.5" style="30" customWidth="1"/>
    <col min="7198" max="7198" width="1.875" style="30" customWidth="1"/>
    <col min="7199" max="7201" width="2.5" style="30" customWidth="1"/>
    <col min="7202" max="7202" width="1.375" style="30" customWidth="1"/>
    <col min="7203" max="7203" width="2.5" style="30" customWidth="1"/>
    <col min="7204" max="7204" width="2.125" style="30" customWidth="1"/>
    <col min="7205" max="7205" width="1.625" style="30" customWidth="1"/>
    <col min="7206" max="7206" width="2.5" style="30" customWidth="1"/>
    <col min="7207" max="7424" width="2.625" style="30"/>
    <col min="7425" max="7438" width="2.625" style="30" customWidth="1"/>
    <col min="7439" max="7440" width="2.5" style="30" customWidth="1"/>
    <col min="7441" max="7441" width="2.625" style="30" customWidth="1"/>
    <col min="7442" max="7442" width="6" style="30" customWidth="1"/>
    <col min="7443" max="7444" width="2.5" style="30" customWidth="1"/>
    <col min="7445" max="7446" width="2.125" style="30" customWidth="1"/>
    <col min="7447" max="7449" width="2.5" style="30" customWidth="1"/>
    <col min="7450" max="7450" width="1.875" style="30" customWidth="1"/>
    <col min="7451" max="7453" width="2.5" style="30" customWidth="1"/>
    <col min="7454" max="7454" width="1.875" style="30" customWidth="1"/>
    <col min="7455" max="7457" width="2.5" style="30" customWidth="1"/>
    <col min="7458" max="7458" width="1.375" style="30" customWidth="1"/>
    <col min="7459" max="7459" width="2.5" style="30" customWidth="1"/>
    <col min="7460" max="7460" width="2.125" style="30" customWidth="1"/>
    <col min="7461" max="7461" width="1.625" style="30" customWidth="1"/>
    <col min="7462" max="7462" width="2.5" style="30" customWidth="1"/>
    <col min="7463" max="7680" width="2.625" style="30"/>
    <col min="7681" max="7694" width="2.625" style="30" customWidth="1"/>
    <col min="7695" max="7696" width="2.5" style="30" customWidth="1"/>
    <col min="7697" max="7697" width="2.625" style="30" customWidth="1"/>
    <col min="7698" max="7698" width="6" style="30" customWidth="1"/>
    <col min="7699" max="7700" width="2.5" style="30" customWidth="1"/>
    <col min="7701" max="7702" width="2.125" style="30" customWidth="1"/>
    <col min="7703" max="7705" width="2.5" style="30" customWidth="1"/>
    <col min="7706" max="7706" width="1.875" style="30" customWidth="1"/>
    <col min="7707" max="7709" width="2.5" style="30" customWidth="1"/>
    <col min="7710" max="7710" width="1.875" style="30" customWidth="1"/>
    <col min="7711" max="7713" width="2.5" style="30" customWidth="1"/>
    <col min="7714" max="7714" width="1.375" style="30" customWidth="1"/>
    <col min="7715" max="7715" width="2.5" style="30" customWidth="1"/>
    <col min="7716" max="7716" width="2.125" style="30" customWidth="1"/>
    <col min="7717" max="7717" width="1.625" style="30" customWidth="1"/>
    <col min="7718" max="7718" width="2.5" style="30" customWidth="1"/>
    <col min="7719" max="7936" width="2.625" style="30"/>
    <col min="7937" max="7950" width="2.625" style="30" customWidth="1"/>
    <col min="7951" max="7952" width="2.5" style="30" customWidth="1"/>
    <col min="7953" max="7953" width="2.625" style="30" customWidth="1"/>
    <col min="7954" max="7954" width="6" style="30" customWidth="1"/>
    <col min="7955" max="7956" width="2.5" style="30" customWidth="1"/>
    <col min="7957" max="7958" width="2.125" style="30" customWidth="1"/>
    <col min="7959" max="7961" width="2.5" style="30" customWidth="1"/>
    <col min="7962" max="7962" width="1.875" style="30" customWidth="1"/>
    <col min="7963" max="7965" width="2.5" style="30" customWidth="1"/>
    <col min="7966" max="7966" width="1.875" style="30" customWidth="1"/>
    <col min="7967" max="7969" width="2.5" style="30" customWidth="1"/>
    <col min="7970" max="7970" width="1.375" style="30" customWidth="1"/>
    <col min="7971" max="7971" width="2.5" style="30" customWidth="1"/>
    <col min="7972" max="7972" width="2.125" style="30" customWidth="1"/>
    <col min="7973" max="7973" width="1.625" style="30" customWidth="1"/>
    <col min="7974" max="7974" width="2.5" style="30" customWidth="1"/>
    <col min="7975" max="8192" width="2.625" style="30"/>
    <col min="8193" max="8206" width="2.625" style="30" customWidth="1"/>
    <col min="8207" max="8208" width="2.5" style="30" customWidth="1"/>
    <col min="8209" max="8209" width="2.625" style="30" customWidth="1"/>
    <col min="8210" max="8210" width="6" style="30" customWidth="1"/>
    <col min="8211" max="8212" width="2.5" style="30" customWidth="1"/>
    <col min="8213" max="8214" width="2.125" style="30" customWidth="1"/>
    <col min="8215" max="8217" width="2.5" style="30" customWidth="1"/>
    <col min="8218" max="8218" width="1.875" style="30" customWidth="1"/>
    <col min="8219" max="8221" width="2.5" style="30" customWidth="1"/>
    <col min="8222" max="8222" width="1.875" style="30" customWidth="1"/>
    <col min="8223" max="8225" width="2.5" style="30" customWidth="1"/>
    <col min="8226" max="8226" width="1.375" style="30" customWidth="1"/>
    <col min="8227" max="8227" width="2.5" style="30" customWidth="1"/>
    <col min="8228" max="8228" width="2.125" style="30" customWidth="1"/>
    <col min="8229" max="8229" width="1.625" style="30" customWidth="1"/>
    <col min="8230" max="8230" width="2.5" style="30" customWidth="1"/>
    <col min="8231" max="8448" width="2.625" style="30"/>
    <col min="8449" max="8462" width="2.625" style="30" customWidth="1"/>
    <col min="8463" max="8464" width="2.5" style="30" customWidth="1"/>
    <col min="8465" max="8465" width="2.625" style="30" customWidth="1"/>
    <col min="8466" max="8466" width="6" style="30" customWidth="1"/>
    <col min="8467" max="8468" width="2.5" style="30" customWidth="1"/>
    <col min="8469" max="8470" width="2.125" style="30" customWidth="1"/>
    <col min="8471" max="8473" width="2.5" style="30" customWidth="1"/>
    <col min="8474" max="8474" width="1.875" style="30" customWidth="1"/>
    <col min="8475" max="8477" width="2.5" style="30" customWidth="1"/>
    <col min="8478" max="8478" width="1.875" style="30" customWidth="1"/>
    <col min="8479" max="8481" width="2.5" style="30" customWidth="1"/>
    <col min="8482" max="8482" width="1.375" style="30" customWidth="1"/>
    <col min="8483" max="8483" width="2.5" style="30" customWidth="1"/>
    <col min="8484" max="8484" width="2.125" style="30" customWidth="1"/>
    <col min="8485" max="8485" width="1.625" style="30" customWidth="1"/>
    <col min="8486" max="8486" width="2.5" style="30" customWidth="1"/>
    <col min="8487" max="8704" width="2.625" style="30"/>
    <col min="8705" max="8718" width="2.625" style="30" customWidth="1"/>
    <col min="8719" max="8720" width="2.5" style="30" customWidth="1"/>
    <col min="8721" max="8721" width="2.625" style="30" customWidth="1"/>
    <col min="8722" max="8722" width="6" style="30" customWidth="1"/>
    <col min="8723" max="8724" width="2.5" style="30" customWidth="1"/>
    <col min="8725" max="8726" width="2.125" style="30" customWidth="1"/>
    <col min="8727" max="8729" width="2.5" style="30" customWidth="1"/>
    <col min="8730" max="8730" width="1.875" style="30" customWidth="1"/>
    <col min="8731" max="8733" width="2.5" style="30" customWidth="1"/>
    <col min="8734" max="8734" width="1.875" style="30" customWidth="1"/>
    <col min="8735" max="8737" width="2.5" style="30" customWidth="1"/>
    <col min="8738" max="8738" width="1.375" style="30" customWidth="1"/>
    <col min="8739" max="8739" width="2.5" style="30" customWidth="1"/>
    <col min="8740" max="8740" width="2.125" style="30" customWidth="1"/>
    <col min="8741" max="8741" width="1.625" style="30" customWidth="1"/>
    <col min="8742" max="8742" width="2.5" style="30" customWidth="1"/>
    <col min="8743" max="8960" width="2.625" style="30"/>
    <col min="8961" max="8974" width="2.625" style="30" customWidth="1"/>
    <col min="8975" max="8976" width="2.5" style="30" customWidth="1"/>
    <col min="8977" max="8977" width="2.625" style="30" customWidth="1"/>
    <col min="8978" max="8978" width="6" style="30" customWidth="1"/>
    <col min="8979" max="8980" width="2.5" style="30" customWidth="1"/>
    <col min="8981" max="8982" width="2.125" style="30" customWidth="1"/>
    <col min="8983" max="8985" width="2.5" style="30" customWidth="1"/>
    <col min="8986" max="8986" width="1.875" style="30" customWidth="1"/>
    <col min="8987" max="8989" width="2.5" style="30" customWidth="1"/>
    <col min="8990" max="8990" width="1.875" style="30" customWidth="1"/>
    <col min="8991" max="8993" width="2.5" style="30" customWidth="1"/>
    <col min="8994" max="8994" width="1.375" style="30" customWidth="1"/>
    <col min="8995" max="8995" width="2.5" style="30" customWidth="1"/>
    <col min="8996" max="8996" width="2.125" style="30" customWidth="1"/>
    <col min="8997" max="8997" width="1.625" style="30" customWidth="1"/>
    <col min="8998" max="8998" width="2.5" style="30" customWidth="1"/>
    <col min="8999" max="9216" width="2.625" style="30"/>
    <col min="9217" max="9230" width="2.625" style="30" customWidth="1"/>
    <col min="9231" max="9232" width="2.5" style="30" customWidth="1"/>
    <col min="9233" max="9233" width="2.625" style="30" customWidth="1"/>
    <col min="9234" max="9234" width="6" style="30" customWidth="1"/>
    <col min="9235" max="9236" width="2.5" style="30" customWidth="1"/>
    <col min="9237" max="9238" width="2.125" style="30" customWidth="1"/>
    <col min="9239" max="9241" width="2.5" style="30" customWidth="1"/>
    <col min="9242" max="9242" width="1.875" style="30" customWidth="1"/>
    <col min="9243" max="9245" width="2.5" style="30" customWidth="1"/>
    <col min="9246" max="9246" width="1.875" style="30" customWidth="1"/>
    <col min="9247" max="9249" width="2.5" style="30" customWidth="1"/>
    <col min="9250" max="9250" width="1.375" style="30" customWidth="1"/>
    <col min="9251" max="9251" width="2.5" style="30" customWidth="1"/>
    <col min="9252" max="9252" width="2.125" style="30" customWidth="1"/>
    <col min="9253" max="9253" width="1.625" style="30" customWidth="1"/>
    <col min="9254" max="9254" width="2.5" style="30" customWidth="1"/>
    <col min="9255" max="9472" width="2.625" style="30"/>
    <col min="9473" max="9486" width="2.625" style="30" customWidth="1"/>
    <col min="9487" max="9488" width="2.5" style="30" customWidth="1"/>
    <col min="9489" max="9489" width="2.625" style="30" customWidth="1"/>
    <col min="9490" max="9490" width="6" style="30" customWidth="1"/>
    <col min="9491" max="9492" width="2.5" style="30" customWidth="1"/>
    <col min="9493" max="9494" width="2.125" style="30" customWidth="1"/>
    <col min="9495" max="9497" width="2.5" style="30" customWidth="1"/>
    <col min="9498" max="9498" width="1.875" style="30" customWidth="1"/>
    <col min="9499" max="9501" width="2.5" style="30" customWidth="1"/>
    <col min="9502" max="9502" width="1.875" style="30" customWidth="1"/>
    <col min="9503" max="9505" width="2.5" style="30" customWidth="1"/>
    <col min="9506" max="9506" width="1.375" style="30" customWidth="1"/>
    <col min="9507" max="9507" width="2.5" style="30" customWidth="1"/>
    <col min="9508" max="9508" width="2.125" style="30" customWidth="1"/>
    <col min="9509" max="9509" width="1.625" style="30" customWidth="1"/>
    <col min="9510" max="9510" width="2.5" style="30" customWidth="1"/>
    <col min="9511" max="9728" width="2.625" style="30"/>
    <col min="9729" max="9742" width="2.625" style="30" customWidth="1"/>
    <col min="9743" max="9744" width="2.5" style="30" customWidth="1"/>
    <col min="9745" max="9745" width="2.625" style="30" customWidth="1"/>
    <col min="9746" max="9746" width="6" style="30" customWidth="1"/>
    <col min="9747" max="9748" width="2.5" style="30" customWidth="1"/>
    <col min="9749" max="9750" width="2.125" style="30" customWidth="1"/>
    <col min="9751" max="9753" width="2.5" style="30" customWidth="1"/>
    <col min="9754" max="9754" width="1.875" style="30" customWidth="1"/>
    <col min="9755" max="9757" width="2.5" style="30" customWidth="1"/>
    <col min="9758" max="9758" width="1.875" style="30" customWidth="1"/>
    <col min="9759" max="9761" width="2.5" style="30" customWidth="1"/>
    <col min="9762" max="9762" width="1.375" style="30" customWidth="1"/>
    <col min="9763" max="9763" width="2.5" style="30" customWidth="1"/>
    <col min="9764" max="9764" width="2.125" style="30" customWidth="1"/>
    <col min="9765" max="9765" width="1.625" style="30" customWidth="1"/>
    <col min="9766" max="9766" width="2.5" style="30" customWidth="1"/>
    <col min="9767" max="9984" width="2.625" style="30"/>
    <col min="9985" max="9998" width="2.625" style="30" customWidth="1"/>
    <col min="9999" max="10000" width="2.5" style="30" customWidth="1"/>
    <col min="10001" max="10001" width="2.625" style="30" customWidth="1"/>
    <col min="10002" max="10002" width="6" style="30" customWidth="1"/>
    <col min="10003" max="10004" width="2.5" style="30" customWidth="1"/>
    <col min="10005" max="10006" width="2.125" style="30" customWidth="1"/>
    <col min="10007" max="10009" width="2.5" style="30" customWidth="1"/>
    <col min="10010" max="10010" width="1.875" style="30" customWidth="1"/>
    <col min="10011" max="10013" width="2.5" style="30" customWidth="1"/>
    <col min="10014" max="10014" width="1.875" style="30" customWidth="1"/>
    <col min="10015" max="10017" width="2.5" style="30" customWidth="1"/>
    <col min="10018" max="10018" width="1.375" style="30" customWidth="1"/>
    <col min="10019" max="10019" width="2.5" style="30" customWidth="1"/>
    <col min="10020" max="10020" width="2.125" style="30" customWidth="1"/>
    <col min="10021" max="10021" width="1.625" style="30" customWidth="1"/>
    <col min="10022" max="10022" width="2.5" style="30" customWidth="1"/>
    <col min="10023" max="10240" width="2.625" style="30"/>
    <col min="10241" max="10254" width="2.625" style="30" customWidth="1"/>
    <col min="10255" max="10256" width="2.5" style="30" customWidth="1"/>
    <col min="10257" max="10257" width="2.625" style="30" customWidth="1"/>
    <col min="10258" max="10258" width="6" style="30" customWidth="1"/>
    <col min="10259" max="10260" width="2.5" style="30" customWidth="1"/>
    <col min="10261" max="10262" width="2.125" style="30" customWidth="1"/>
    <col min="10263" max="10265" width="2.5" style="30" customWidth="1"/>
    <col min="10266" max="10266" width="1.875" style="30" customWidth="1"/>
    <col min="10267" max="10269" width="2.5" style="30" customWidth="1"/>
    <col min="10270" max="10270" width="1.875" style="30" customWidth="1"/>
    <col min="10271" max="10273" width="2.5" style="30" customWidth="1"/>
    <col min="10274" max="10274" width="1.375" style="30" customWidth="1"/>
    <col min="10275" max="10275" width="2.5" style="30" customWidth="1"/>
    <col min="10276" max="10276" width="2.125" style="30" customWidth="1"/>
    <col min="10277" max="10277" width="1.625" style="30" customWidth="1"/>
    <col min="10278" max="10278" width="2.5" style="30" customWidth="1"/>
    <col min="10279" max="10496" width="2.625" style="30"/>
    <col min="10497" max="10510" width="2.625" style="30" customWidth="1"/>
    <col min="10511" max="10512" width="2.5" style="30" customWidth="1"/>
    <col min="10513" max="10513" width="2.625" style="30" customWidth="1"/>
    <col min="10514" max="10514" width="6" style="30" customWidth="1"/>
    <col min="10515" max="10516" width="2.5" style="30" customWidth="1"/>
    <col min="10517" max="10518" width="2.125" style="30" customWidth="1"/>
    <col min="10519" max="10521" width="2.5" style="30" customWidth="1"/>
    <col min="10522" max="10522" width="1.875" style="30" customWidth="1"/>
    <col min="10523" max="10525" width="2.5" style="30" customWidth="1"/>
    <col min="10526" max="10526" width="1.875" style="30" customWidth="1"/>
    <col min="10527" max="10529" width="2.5" style="30" customWidth="1"/>
    <col min="10530" max="10530" width="1.375" style="30" customWidth="1"/>
    <col min="10531" max="10531" width="2.5" style="30" customWidth="1"/>
    <col min="10532" max="10532" width="2.125" style="30" customWidth="1"/>
    <col min="10533" max="10533" width="1.625" style="30" customWidth="1"/>
    <col min="10534" max="10534" width="2.5" style="30" customWidth="1"/>
    <col min="10535" max="10752" width="2.625" style="30"/>
    <col min="10753" max="10766" width="2.625" style="30" customWidth="1"/>
    <col min="10767" max="10768" width="2.5" style="30" customWidth="1"/>
    <col min="10769" max="10769" width="2.625" style="30" customWidth="1"/>
    <col min="10770" max="10770" width="6" style="30" customWidth="1"/>
    <col min="10771" max="10772" width="2.5" style="30" customWidth="1"/>
    <col min="10773" max="10774" width="2.125" style="30" customWidth="1"/>
    <col min="10775" max="10777" width="2.5" style="30" customWidth="1"/>
    <col min="10778" max="10778" width="1.875" style="30" customWidth="1"/>
    <col min="10779" max="10781" width="2.5" style="30" customWidth="1"/>
    <col min="10782" max="10782" width="1.875" style="30" customWidth="1"/>
    <col min="10783" max="10785" width="2.5" style="30" customWidth="1"/>
    <col min="10786" max="10786" width="1.375" style="30" customWidth="1"/>
    <col min="10787" max="10787" width="2.5" style="30" customWidth="1"/>
    <col min="10788" max="10788" width="2.125" style="30" customWidth="1"/>
    <col min="10789" max="10789" width="1.625" style="30" customWidth="1"/>
    <col min="10790" max="10790" width="2.5" style="30" customWidth="1"/>
    <col min="10791" max="11008" width="2.625" style="30"/>
    <col min="11009" max="11022" width="2.625" style="30" customWidth="1"/>
    <col min="11023" max="11024" width="2.5" style="30" customWidth="1"/>
    <col min="11025" max="11025" width="2.625" style="30" customWidth="1"/>
    <col min="11026" max="11026" width="6" style="30" customWidth="1"/>
    <col min="11027" max="11028" width="2.5" style="30" customWidth="1"/>
    <col min="11029" max="11030" width="2.125" style="30" customWidth="1"/>
    <col min="11031" max="11033" width="2.5" style="30" customWidth="1"/>
    <col min="11034" max="11034" width="1.875" style="30" customWidth="1"/>
    <col min="11035" max="11037" width="2.5" style="30" customWidth="1"/>
    <col min="11038" max="11038" width="1.875" style="30" customWidth="1"/>
    <col min="11039" max="11041" width="2.5" style="30" customWidth="1"/>
    <col min="11042" max="11042" width="1.375" style="30" customWidth="1"/>
    <col min="11043" max="11043" width="2.5" style="30" customWidth="1"/>
    <col min="11044" max="11044" width="2.125" style="30" customWidth="1"/>
    <col min="11045" max="11045" width="1.625" style="30" customWidth="1"/>
    <col min="11046" max="11046" width="2.5" style="30" customWidth="1"/>
    <col min="11047" max="11264" width="2.625" style="30"/>
    <col min="11265" max="11278" width="2.625" style="30" customWidth="1"/>
    <col min="11279" max="11280" width="2.5" style="30" customWidth="1"/>
    <col min="11281" max="11281" width="2.625" style="30" customWidth="1"/>
    <col min="11282" max="11282" width="6" style="30" customWidth="1"/>
    <col min="11283" max="11284" width="2.5" style="30" customWidth="1"/>
    <col min="11285" max="11286" width="2.125" style="30" customWidth="1"/>
    <col min="11287" max="11289" width="2.5" style="30" customWidth="1"/>
    <col min="11290" max="11290" width="1.875" style="30" customWidth="1"/>
    <col min="11291" max="11293" width="2.5" style="30" customWidth="1"/>
    <col min="11294" max="11294" width="1.875" style="30" customWidth="1"/>
    <col min="11295" max="11297" width="2.5" style="30" customWidth="1"/>
    <col min="11298" max="11298" width="1.375" style="30" customWidth="1"/>
    <col min="11299" max="11299" width="2.5" style="30" customWidth="1"/>
    <col min="11300" max="11300" width="2.125" style="30" customWidth="1"/>
    <col min="11301" max="11301" width="1.625" style="30" customWidth="1"/>
    <col min="11302" max="11302" width="2.5" style="30" customWidth="1"/>
    <col min="11303" max="11520" width="2.625" style="30"/>
    <col min="11521" max="11534" width="2.625" style="30" customWidth="1"/>
    <col min="11535" max="11536" width="2.5" style="30" customWidth="1"/>
    <col min="11537" max="11537" width="2.625" style="30" customWidth="1"/>
    <col min="11538" max="11538" width="6" style="30" customWidth="1"/>
    <col min="11539" max="11540" width="2.5" style="30" customWidth="1"/>
    <col min="11541" max="11542" width="2.125" style="30" customWidth="1"/>
    <col min="11543" max="11545" width="2.5" style="30" customWidth="1"/>
    <col min="11546" max="11546" width="1.875" style="30" customWidth="1"/>
    <col min="11547" max="11549" width="2.5" style="30" customWidth="1"/>
    <col min="11550" max="11550" width="1.875" style="30" customWidth="1"/>
    <col min="11551" max="11553" width="2.5" style="30" customWidth="1"/>
    <col min="11554" max="11554" width="1.375" style="30" customWidth="1"/>
    <col min="11555" max="11555" width="2.5" style="30" customWidth="1"/>
    <col min="11556" max="11556" width="2.125" style="30" customWidth="1"/>
    <col min="11557" max="11557" width="1.625" style="30" customWidth="1"/>
    <col min="11558" max="11558" width="2.5" style="30" customWidth="1"/>
    <col min="11559" max="11776" width="2.625" style="30"/>
    <col min="11777" max="11790" width="2.625" style="30" customWidth="1"/>
    <col min="11791" max="11792" width="2.5" style="30" customWidth="1"/>
    <col min="11793" max="11793" width="2.625" style="30" customWidth="1"/>
    <col min="11794" max="11794" width="6" style="30" customWidth="1"/>
    <col min="11795" max="11796" width="2.5" style="30" customWidth="1"/>
    <col min="11797" max="11798" width="2.125" style="30" customWidth="1"/>
    <col min="11799" max="11801" width="2.5" style="30" customWidth="1"/>
    <col min="11802" max="11802" width="1.875" style="30" customWidth="1"/>
    <col min="11803" max="11805" width="2.5" style="30" customWidth="1"/>
    <col min="11806" max="11806" width="1.875" style="30" customWidth="1"/>
    <col min="11807" max="11809" width="2.5" style="30" customWidth="1"/>
    <col min="11810" max="11810" width="1.375" style="30" customWidth="1"/>
    <col min="11811" max="11811" width="2.5" style="30" customWidth="1"/>
    <col min="11812" max="11812" width="2.125" style="30" customWidth="1"/>
    <col min="11813" max="11813" width="1.625" style="30" customWidth="1"/>
    <col min="11814" max="11814" width="2.5" style="30" customWidth="1"/>
    <col min="11815" max="12032" width="2.625" style="30"/>
    <col min="12033" max="12046" width="2.625" style="30" customWidth="1"/>
    <col min="12047" max="12048" width="2.5" style="30" customWidth="1"/>
    <col min="12049" max="12049" width="2.625" style="30" customWidth="1"/>
    <col min="12050" max="12050" width="6" style="30" customWidth="1"/>
    <col min="12051" max="12052" width="2.5" style="30" customWidth="1"/>
    <col min="12053" max="12054" width="2.125" style="30" customWidth="1"/>
    <col min="12055" max="12057" width="2.5" style="30" customWidth="1"/>
    <col min="12058" max="12058" width="1.875" style="30" customWidth="1"/>
    <col min="12059" max="12061" width="2.5" style="30" customWidth="1"/>
    <col min="12062" max="12062" width="1.875" style="30" customWidth="1"/>
    <col min="12063" max="12065" width="2.5" style="30" customWidth="1"/>
    <col min="12066" max="12066" width="1.375" style="30" customWidth="1"/>
    <col min="12067" max="12067" width="2.5" style="30" customWidth="1"/>
    <col min="12068" max="12068" width="2.125" style="30" customWidth="1"/>
    <col min="12069" max="12069" width="1.625" style="30" customWidth="1"/>
    <col min="12070" max="12070" width="2.5" style="30" customWidth="1"/>
    <col min="12071" max="12288" width="2.625" style="30"/>
    <col min="12289" max="12302" width="2.625" style="30" customWidth="1"/>
    <col min="12303" max="12304" width="2.5" style="30" customWidth="1"/>
    <col min="12305" max="12305" width="2.625" style="30" customWidth="1"/>
    <col min="12306" max="12306" width="6" style="30" customWidth="1"/>
    <col min="12307" max="12308" width="2.5" style="30" customWidth="1"/>
    <col min="12309" max="12310" width="2.125" style="30" customWidth="1"/>
    <col min="12311" max="12313" width="2.5" style="30" customWidth="1"/>
    <col min="12314" max="12314" width="1.875" style="30" customWidth="1"/>
    <col min="12315" max="12317" width="2.5" style="30" customWidth="1"/>
    <col min="12318" max="12318" width="1.875" style="30" customWidth="1"/>
    <col min="12319" max="12321" width="2.5" style="30" customWidth="1"/>
    <col min="12322" max="12322" width="1.375" style="30" customWidth="1"/>
    <col min="12323" max="12323" width="2.5" style="30" customWidth="1"/>
    <col min="12324" max="12324" width="2.125" style="30" customWidth="1"/>
    <col min="12325" max="12325" width="1.625" style="30" customWidth="1"/>
    <col min="12326" max="12326" width="2.5" style="30" customWidth="1"/>
    <col min="12327" max="12544" width="2.625" style="30"/>
    <col min="12545" max="12558" width="2.625" style="30" customWidth="1"/>
    <col min="12559" max="12560" width="2.5" style="30" customWidth="1"/>
    <col min="12561" max="12561" width="2.625" style="30" customWidth="1"/>
    <col min="12562" max="12562" width="6" style="30" customWidth="1"/>
    <col min="12563" max="12564" width="2.5" style="30" customWidth="1"/>
    <col min="12565" max="12566" width="2.125" style="30" customWidth="1"/>
    <col min="12567" max="12569" width="2.5" style="30" customWidth="1"/>
    <col min="12570" max="12570" width="1.875" style="30" customWidth="1"/>
    <col min="12571" max="12573" width="2.5" style="30" customWidth="1"/>
    <col min="12574" max="12574" width="1.875" style="30" customWidth="1"/>
    <col min="12575" max="12577" width="2.5" style="30" customWidth="1"/>
    <col min="12578" max="12578" width="1.375" style="30" customWidth="1"/>
    <col min="12579" max="12579" width="2.5" style="30" customWidth="1"/>
    <col min="12580" max="12580" width="2.125" style="30" customWidth="1"/>
    <col min="12581" max="12581" width="1.625" style="30" customWidth="1"/>
    <col min="12582" max="12582" width="2.5" style="30" customWidth="1"/>
    <col min="12583" max="12800" width="2.625" style="30"/>
    <col min="12801" max="12814" width="2.625" style="30" customWidth="1"/>
    <col min="12815" max="12816" width="2.5" style="30" customWidth="1"/>
    <col min="12817" max="12817" width="2.625" style="30" customWidth="1"/>
    <col min="12818" max="12818" width="6" style="30" customWidth="1"/>
    <col min="12819" max="12820" width="2.5" style="30" customWidth="1"/>
    <col min="12821" max="12822" width="2.125" style="30" customWidth="1"/>
    <col min="12823" max="12825" width="2.5" style="30" customWidth="1"/>
    <col min="12826" max="12826" width="1.875" style="30" customWidth="1"/>
    <col min="12827" max="12829" width="2.5" style="30" customWidth="1"/>
    <col min="12830" max="12830" width="1.875" style="30" customWidth="1"/>
    <col min="12831" max="12833" width="2.5" style="30" customWidth="1"/>
    <col min="12834" max="12834" width="1.375" style="30" customWidth="1"/>
    <col min="12835" max="12835" width="2.5" style="30" customWidth="1"/>
    <col min="12836" max="12836" width="2.125" style="30" customWidth="1"/>
    <col min="12837" max="12837" width="1.625" style="30" customWidth="1"/>
    <col min="12838" max="12838" width="2.5" style="30" customWidth="1"/>
    <col min="12839" max="13056" width="2.625" style="30"/>
    <col min="13057" max="13070" width="2.625" style="30" customWidth="1"/>
    <col min="13071" max="13072" width="2.5" style="30" customWidth="1"/>
    <col min="13073" max="13073" width="2.625" style="30" customWidth="1"/>
    <col min="13074" max="13074" width="6" style="30" customWidth="1"/>
    <col min="13075" max="13076" width="2.5" style="30" customWidth="1"/>
    <col min="13077" max="13078" width="2.125" style="30" customWidth="1"/>
    <col min="13079" max="13081" width="2.5" style="30" customWidth="1"/>
    <col min="13082" max="13082" width="1.875" style="30" customWidth="1"/>
    <col min="13083" max="13085" width="2.5" style="30" customWidth="1"/>
    <col min="13086" max="13086" width="1.875" style="30" customWidth="1"/>
    <col min="13087" max="13089" width="2.5" style="30" customWidth="1"/>
    <col min="13090" max="13090" width="1.375" style="30" customWidth="1"/>
    <col min="13091" max="13091" width="2.5" style="30" customWidth="1"/>
    <col min="13092" max="13092" width="2.125" style="30" customWidth="1"/>
    <col min="13093" max="13093" width="1.625" style="30" customWidth="1"/>
    <col min="13094" max="13094" width="2.5" style="30" customWidth="1"/>
    <col min="13095" max="13312" width="2.625" style="30"/>
    <col min="13313" max="13326" width="2.625" style="30" customWidth="1"/>
    <col min="13327" max="13328" width="2.5" style="30" customWidth="1"/>
    <col min="13329" max="13329" width="2.625" style="30" customWidth="1"/>
    <col min="13330" max="13330" width="6" style="30" customWidth="1"/>
    <col min="13331" max="13332" width="2.5" style="30" customWidth="1"/>
    <col min="13333" max="13334" width="2.125" style="30" customWidth="1"/>
    <col min="13335" max="13337" width="2.5" style="30" customWidth="1"/>
    <col min="13338" max="13338" width="1.875" style="30" customWidth="1"/>
    <col min="13339" max="13341" width="2.5" style="30" customWidth="1"/>
    <col min="13342" max="13342" width="1.875" style="30" customWidth="1"/>
    <col min="13343" max="13345" width="2.5" style="30" customWidth="1"/>
    <col min="13346" max="13346" width="1.375" style="30" customWidth="1"/>
    <col min="13347" max="13347" width="2.5" style="30" customWidth="1"/>
    <col min="13348" max="13348" width="2.125" style="30" customWidth="1"/>
    <col min="13349" max="13349" width="1.625" style="30" customWidth="1"/>
    <col min="13350" max="13350" width="2.5" style="30" customWidth="1"/>
    <col min="13351" max="13568" width="2.625" style="30"/>
    <col min="13569" max="13582" width="2.625" style="30" customWidth="1"/>
    <col min="13583" max="13584" width="2.5" style="30" customWidth="1"/>
    <col min="13585" max="13585" width="2.625" style="30" customWidth="1"/>
    <col min="13586" max="13586" width="6" style="30" customWidth="1"/>
    <col min="13587" max="13588" width="2.5" style="30" customWidth="1"/>
    <col min="13589" max="13590" width="2.125" style="30" customWidth="1"/>
    <col min="13591" max="13593" width="2.5" style="30" customWidth="1"/>
    <col min="13594" max="13594" width="1.875" style="30" customWidth="1"/>
    <col min="13595" max="13597" width="2.5" style="30" customWidth="1"/>
    <col min="13598" max="13598" width="1.875" style="30" customWidth="1"/>
    <col min="13599" max="13601" width="2.5" style="30" customWidth="1"/>
    <col min="13602" max="13602" width="1.375" style="30" customWidth="1"/>
    <col min="13603" max="13603" width="2.5" style="30" customWidth="1"/>
    <col min="13604" max="13604" width="2.125" style="30" customWidth="1"/>
    <col min="13605" max="13605" width="1.625" style="30" customWidth="1"/>
    <col min="13606" max="13606" width="2.5" style="30" customWidth="1"/>
    <col min="13607" max="13824" width="2.625" style="30"/>
    <col min="13825" max="13838" width="2.625" style="30" customWidth="1"/>
    <col min="13839" max="13840" width="2.5" style="30" customWidth="1"/>
    <col min="13841" max="13841" width="2.625" style="30" customWidth="1"/>
    <col min="13842" max="13842" width="6" style="30" customWidth="1"/>
    <col min="13843" max="13844" width="2.5" style="30" customWidth="1"/>
    <col min="13845" max="13846" width="2.125" style="30" customWidth="1"/>
    <col min="13847" max="13849" width="2.5" style="30" customWidth="1"/>
    <col min="13850" max="13850" width="1.875" style="30" customWidth="1"/>
    <col min="13851" max="13853" width="2.5" style="30" customWidth="1"/>
    <col min="13854" max="13854" width="1.875" style="30" customWidth="1"/>
    <col min="13855" max="13857" width="2.5" style="30" customWidth="1"/>
    <col min="13858" max="13858" width="1.375" style="30" customWidth="1"/>
    <col min="13859" max="13859" width="2.5" style="30" customWidth="1"/>
    <col min="13860" max="13860" width="2.125" style="30" customWidth="1"/>
    <col min="13861" max="13861" width="1.625" style="30" customWidth="1"/>
    <col min="13862" max="13862" width="2.5" style="30" customWidth="1"/>
    <col min="13863" max="14080" width="2.625" style="30"/>
    <col min="14081" max="14094" width="2.625" style="30" customWidth="1"/>
    <col min="14095" max="14096" width="2.5" style="30" customWidth="1"/>
    <col min="14097" max="14097" width="2.625" style="30" customWidth="1"/>
    <col min="14098" max="14098" width="6" style="30" customWidth="1"/>
    <col min="14099" max="14100" width="2.5" style="30" customWidth="1"/>
    <col min="14101" max="14102" width="2.125" style="30" customWidth="1"/>
    <col min="14103" max="14105" width="2.5" style="30" customWidth="1"/>
    <col min="14106" max="14106" width="1.875" style="30" customWidth="1"/>
    <col min="14107" max="14109" width="2.5" style="30" customWidth="1"/>
    <col min="14110" max="14110" width="1.875" style="30" customWidth="1"/>
    <col min="14111" max="14113" width="2.5" style="30" customWidth="1"/>
    <col min="14114" max="14114" width="1.375" style="30" customWidth="1"/>
    <col min="14115" max="14115" width="2.5" style="30" customWidth="1"/>
    <col min="14116" max="14116" width="2.125" style="30" customWidth="1"/>
    <col min="14117" max="14117" width="1.625" style="30" customWidth="1"/>
    <col min="14118" max="14118" width="2.5" style="30" customWidth="1"/>
    <col min="14119" max="14336" width="2.625" style="30"/>
    <col min="14337" max="14350" width="2.625" style="30" customWidth="1"/>
    <col min="14351" max="14352" width="2.5" style="30" customWidth="1"/>
    <col min="14353" max="14353" width="2.625" style="30" customWidth="1"/>
    <col min="14354" max="14354" width="6" style="30" customWidth="1"/>
    <col min="14355" max="14356" width="2.5" style="30" customWidth="1"/>
    <col min="14357" max="14358" width="2.125" style="30" customWidth="1"/>
    <col min="14359" max="14361" width="2.5" style="30" customWidth="1"/>
    <col min="14362" max="14362" width="1.875" style="30" customWidth="1"/>
    <col min="14363" max="14365" width="2.5" style="30" customWidth="1"/>
    <col min="14366" max="14366" width="1.875" style="30" customWidth="1"/>
    <col min="14367" max="14369" width="2.5" style="30" customWidth="1"/>
    <col min="14370" max="14370" width="1.375" style="30" customWidth="1"/>
    <col min="14371" max="14371" width="2.5" style="30" customWidth="1"/>
    <col min="14372" max="14372" width="2.125" style="30" customWidth="1"/>
    <col min="14373" max="14373" width="1.625" style="30" customWidth="1"/>
    <col min="14374" max="14374" width="2.5" style="30" customWidth="1"/>
    <col min="14375" max="14592" width="2.625" style="30"/>
    <col min="14593" max="14606" width="2.625" style="30" customWidth="1"/>
    <col min="14607" max="14608" width="2.5" style="30" customWidth="1"/>
    <col min="14609" max="14609" width="2.625" style="30" customWidth="1"/>
    <col min="14610" max="14610" width="6" style="30" customWidth="1"/>
    <col min="14611" max="14612" width="2.5" style="30" customWidth="1"/>
    <col min="14613" max="14614" width="2.125" style="30" customWidth="1"/>
    <col min="14615" max="14617" width="2.5" style="30" customWidth="1"/>
    <col min="14618" max="14618" width="1.875" style="30" customWidth="1"/>
    <col min="14619" max="14621" width="2.5" style="30" customWidth="1"/>
    <col min="14622" max="14622" width="1.875" style="30" customWidth="1"/>
    <col min="14623" max="14625" width="2.5" style="30" customWidth="1"/>
    <col min="14626" max="14626" width="1.375" style="30" customWidth="1"/>
    <col min="14627" max="14627" width="2.5" style="30" customWidth="1"/>
    <col min="14628" max="14628" width="2.125" style="30" customWidth="1"/>
    <col min="14629" max="14629" width="1.625" style="30" customWidth="1"/>
    <col min="14630" max="14630" width="2.5" style="30" customWidth="1"/>
    <col min="14631" max="14848" width="2.625" style="30"/>
    <col min="14849" max="14862" width="2.625" style="30" customWidth="1"/>
    <col min="14863" max="14864" width="2.5" style="30" customWidth="1"/>
    <col min="14865" max="14865" width="2.625" style="30" customWidth="1"/>
    <col min="14866" max="14866" width="6" style="30" customWidth="1"/>
    <col min="14867" max="14868" width="2.5" style="30" customWidth="1"/>
    <col min="14869" max="14870" width="2.125" style="30" customWidth="1"/>
    <col min="14871" max="14873" width="2.5" style="30" customWidth="1"/>
    <col min="14874" max="14874" width="1.875" style="30" customWidth="1"/>
    <col min="14875" max="14877" width="2.5" style="30" customWidth="1"/>
    <col min="14878" max="14878" width="1.875" style="30" customWidth="1"/>
    <col min="14879" max="14881" width="2.5" style="30" customWidth="1"/>
    <col min="14882" max="14882" width="1.375" style="30" customWidth="1"/>
    <col min="14883" max="14883" width="2.5" style="30" customWidth="1"/>
    <col min="14884" max="14884" width="2.125" style="30" customWidth="1"/>
    <col min="14885" max="14885" width="1.625" style="30" customWidth="1"/>
    <col min="14886" max="14886" width="2.5" style="30" customWidth="1"/>
    <col min="14887" max="15104" width="2.625" style="30"/>
    <col min="15105" max="15118" width="2.625" style="30" customWidth="1"/>
    <col min="15119" max="15120" width="2.5" style="30" customWidth="1"/>
    <col min="15121" max="15121" width="2.625" style="30" customWidth="1"/>
    <col min="15122" max="15122" width="6" style="30" customWidth="1"/>
    <col min="15123" max="15124" width="2.5" style="30" customWidth="1"/>
    <col min="15125" max="15126" width="2.125" style="30" customWidth="1"/>
    <col min="15127" max="15129" width="2.5" style="30" customWidth="1"/>
    <col min="15130" max="15130" width="1.875" style="30" customWidth="1"/>
    <col min="15131" max="15133" width="2.5" style="30" customWidth="1"/>
    <col min="15134" max="15134" width="1.875" style="30" customWidth="1"/>
    <col min="15135" max="15137" width="2.5" style="30" customWidth="1"/>
    <col min="15138" max="15138" width="1.375" style="30" customWidth="1"/>
    <col min="15139" max="15139" width="2.5" style="30" customWidth="1"/>
    <col min="15140" max="15140" width="2.125" style="30" customWidth="1"/>
    <col min="15141" max="15141" width="1.625" style="30" customWidth="1"/>
    <col min="15142" max="15142" width="2.5" style="30" customWidth="1"/>
    <col min="15143" max="15360" width="2.625" style="30"/>
    <col min="15361" max="15374" width="2.625" style="30" customWidth="1"/>
    <col min="15375" max="15376" width="2.5" style="30" customWidth="1"/>
    <col min="15377" max="15377" width="2.625" style="30" customWidth="1"/>
    <col min="15378" max="15378" width="6" style="30" customWidth="1"/>
    <col min="15379" max="15380" width="2.5" style="30" customWidth="1"/>
    <col min="15381" max="15382" width="2.125" style="30" customWidth="1"/>
    <col min="15383" max="15385" width="2.5" style="30" customWidth="1"/>
    <col min="15386" max="15386" width="1.875" style="30" customWidth="1"/>
    <col min="15387" max="15389" width="2.5" style="30" customWidth="1"/>
    <col min="15390" max="15390" width="1.875" style="30" customWidth="1"/>
    <col min="15391" max="15393" width="2.5" style="30" customWidth="1"/>
    <col min="15394" max="15394" width="1.375" style="30" customWidth="1"/>
    <col min="15395" max="15395" width="2.5" style="30" customWidth="1"/>
    <col min="15396" max="15396" width="2.125" style="30" customWidth="1"/>
    <col min="15397" max="15397" width="1.625" style="30" customWidth="1"/>
    <col min="15398" max="15398" width="2.5" style="30" customWidth="1"/>
    <col min="15399" max="15616" width="2.625" style="30"/>
    <col min="15617" max="15630" width="2.625" style="30" customWidth="1"/>
    <col min="15631" max="15632" width="2.5" style="30" customWidth="1"/>
    <col min="15633" max="15633" width="2.625" style="30" customWidth="1"/>
    <col min="15634" max="15634" width="6" style="30" customWidth="1"/>
    <col min="15635" max="15636" width="2.5" style="30" customWidth="1"/>
    <col min="15637" max="15638" width="2.125" style="30" customWidth="1"/>
    <col min="15639" max="15641" width="2.5" style="30" customWidth="1"/>
    <col min="15642" max="15642" width="1.875" style="30" customWidth="1"/>
    <col min="15643" max="15645" width="2.5" style="30" customWidth="1"/>
    <col min="15646" max="15646" width="1.875" style="30" customWidth="1"/>
    <col min="15647" max="15649" width="2.5" style="30" customWidth="1"/>
    <col min="15650" max="15650" width="1.375" style="30" customWidth="1"/>
    <col min="15651" max="15651" width="2.5" style="30" customWidth="1"/>
    <col min="15652" max="15652" width="2.125" style="30" customWidth="1"/>
    <col min="15653" max="15653" width="1.625" style="30" customWidth="1"/>
    <col min="15654" max="15654" width="2.5" style="30" customWidth="1"/>
    <col min="15655" max="15872" width="2.625" style="30"/>
    <col min="15873" max="15886" width="2.625" style="30" customWidth="1"/>
    <col min="15887" max="15888" width="2.5" style="30" customWidth="1"/>
    <col min="15889" max="15889" width="2.625" style="30" customWidth="1"/>
    <col min="15890" max="15890" width="6" style="30" customWidth="1"/>
    <col min="15891" max="15892" width="2.5" style="30" customWidth="1"/>
    <col min="15893" max="15894" width="2.125" style="30" customWidth="1"/>
    <col min="15895" max="15897" width="2.5" style="30" customWidth="1"/>
    <col min="15898" max="15898" width="1.875" style="30" customWidth="1"/>
    <col min="15899" max="15901" width="2.5" style="30" customWidth="1"/>
    <col min="15902" max="15902" width="1.875" style="30" customWidth="1"/>
    <col min="15903" max="15905" width="2.5" style="30" customWidth="1"/>
    <col min="15906" max="15906" width="1.375" style="30" customWidth="1"/>
    <col min="15907" max="15907" width="2.5" style="30" customWidth="1"/>
    <col min="15908" max="15908" width="2.125" style="30" customWidth="1"/>
    <col min="15909" max="15909" width="1.625" style="30" customWidth="1"/>
    <col min="15910" max="15910" width="2.5" style="30" customWidth="1"/>
    <col min="15911" max="16128" width="2.625" style="30"/>
    <col min="16129" max="16142" width="2.625" style="30" customWidth="1"/>
    <col min="16143" max="16144" width="2.5" style="30" customWidth="1"/>
    <col min="16145" max="16145" width="2.625" style="30" customWidth="1"/>
    <col min="16146" max="16146" width="6" style="30" customWidth="1"/>
    <col min="16147" max="16148" width="2.5" style="30" customWidth="1"/>
    <col min="16149" max="16150" width="2.125" style="30" customWidth="1"/>
    <col min="16151" max="16153" width="2.5" style="30" customWidth="1"/>
    <col min="16154" max="16154" width="1.875" style="30" customWidth="1"/>
    <col min="16155" max="16157" width="2.5" style="30" customWidth="1"/>
    <col min="16158" max="16158" width="1.875" style="30" customWidth="1"/>
    <col min="16159" max="16161" width="2.5" style="30" customWidth="1"/>
    <col min="16162" max="16162" width="1.375" style="30" customWidth="1"/>
    <col min="16163" max="16163" width="2.5" style="30" customWidth="1"/>
    <col min="16164" max="16164" width="2.125" style="30" customWidth="1"/>
    <col min="16165" max="16165" width="1.625" style="30" customWidth="1"/>
    <col min="16166" max="16166" width="2.5" style="30" customWidth="1"/>
    <col min="16167" max="16384" width="2.625" style="30"/>
  </cols>
  <sheetData>
    <row r="1" spans="1:43" customFormat="1" ht="15.75">
      <c r="A1" s="276" t="s">
        <v>85</v>
      </c>
      <c r="B1" s="276"/>
      <c r="C1" s="276"/>
      <c r="D1" s="276"/>
      <c r="E1" s="276"/>
      <c r="F1" s="276"/>
      <c r="G1" s="276"/>
      <c r="H1" s="276"/>
      <c r="I1" s="276"/>
      <c r="J1" s="276"/>
      <c r="K1" s="276"/>
      <c r="L1" s="276"/>
      <c r="M1" s="276"/>
      <c r="N1" s="276"/>
      <c r="O1" s="276"/>
      <c r="P1" s="276"/>
      <c r="Q1" s="276"/>
      <c r="R1" s="276"/>
      <c r="S1" s="276"/>
      <c r="T1" s="276"/>
      <c r="U1" s="276"/>
      <c r="V1" s="276"/>
      <c r="W1" s="276"/>
      <c r="X1" s="276"/>
      <c r="Y1" s="276"/>
      <c r="Z1" s="276"/>
      <c r="AA1" s="276"/>
      <c r="AB1" s="276"/>
      <c r="AC1" s="276"/>
      <c r="AD1" s="276"/>
      <c r="AE1" s="276"/>
      <c r="AF1" s="276"/>
      <c r="AG1" s="276"/>
      <c r="AH1" s="276"/>
      <c r="AI1" s="276"/>
      <c r="AJ1" s="276"/>
      <c r="AK1" s="276"/>
      <c r="AL1" s="276"/>
    </row>
    <row r="2" spans="1:43" customFormat="1" ht="15.75">
      <c r="A2" s="276" t="s">
        <v>86</v>
      </c>
      <c r="B2" s="276"/>
      <c r="C2" s="276"/>
      <c r="D2" s="276"/>
      <c r="E2" s="276"/>
      <c r="F2" s="276"/>
      <c r="G2" s="276"/>
      <c r="H2" s="276"/>
      <c r="I2" s="276"/>
      <c r="J2" s="276"/>
      <c r="K2" s="276"/>
      <c r="L2" s="276"/>
      <c r="M2" s="276"/>
      <c r="N2" s="276"/>
      <c r="O2" s="276"/>
      <c r="P2" s="276"/>
      <c r="Q2" s="276"/>
      <c r="R2" s="276"/>
      <c r="S2" s="276"/>
      <c r="T2" s="276"/>
      <c r="U2" s="276"/>
      <c r="V2" s="276"/>
      <c r="W2" s="276"/>
      <c r="X2" s="276"/>
      <c r="Y2" s="276"/>
      <c r="Z2" s="276"/>
      <c r="AA2" s="276"/>
      <c r="AB2" s="276"/>
      <c r="AC2" s="276"/>
      <c r="AD2" s="276"/>
      <c r="AE2" s="276"/>
      <c r="AF2" s="276"/>
      <c r="AG2" s="276"/>
      <c r="AH2" s="276"/>
      <c r="AI2" s="276"/>
      <c r="AJ2" s="276"/>
      <c r="AK2" s="276"/>
      <c r="AL2" s="276"/>
    </row>
    <row r="3" spans="1:43" customFormat="1" ht="15.75">
      <c r="A3" s="276" t="s">
        <v>87</v>
      </c>
      <c r="B3" s="276"/>
      <c r="C3" s="276"/>
      <c r="D3" s="276"/>
      <c r="E3" s="276"/>
      <c r="F3" s="276"/>
      <c r="G3" s="276"/>
      <c r="H3" s="276"/>
      <c r="I3" s="276"/>
      <c r="J3" s="276"/>
      <c r="K3" s="276"/>
      <c r="L3" s="276"/>
      <c r="M3" s="276"/>
      <c r="N3" s="276"/>
      <c r="O3" s="276"/>
      <c r="P3" s="276"/>
      <c r="Q3" s="276"/>
      <c r="R3" s="276"/>
      <c r="S3" s="276"/>
      <c r="T3" s="276"/>
      <c r="U3" s="276"/>
      <c r="V3" s="276"/>
      <c r="W3" s="276"/>
      <c r="X3" s="276"/>
      <c r="Y3" s="276"/>
      <c r="Z3" s="276"/>
      <c r="AA3" s="276"/>
      <c r="AB3" s="276"/>
      <c r="AC3" s="276"/>
      <c r="AD3" s="276"/>
      <c r="AE3" s="276"/>
      <c r="AF3" s="276"/>
      <c r="AG3" s="276"/>
      <c r="AH3" s="276"/>
      <c r="AI3" s="276"/>
      <c r="AJ3" s="276"/>
      <c r="AK3" s="276"/>
      <c r="AL3" s="276"/>
    </row>
    <row r="4" spans="1:43" customFormat="1" ht="15.75">
      <c r="A4" s="276" t="s">
        <v>88</v>
      </c>
      <c r="B4" s="276"/>
      <c r="C4" s="276"/>
      <c r="D4" s="276"/>
      <c r="E4" s="276"/>
      <c r="F4" s="276"/>
      <c r="G4" s="276"/>
      <c r="H4" s="276"/>
      <c r="I4" s="276"/>
      <c r="J4" s="276"/>
      <c r="K4" s="276"/>
      <c r="L4" s="276"/>
      <c r="M4" s="276"/>
      <c r="N4" s="276"/>
      <c r="O4" s="276"/>
      <c r="P4" s="276"/>
      <c r="Q4" s="276"/>
      <c r="R4" s="276"/>
      <c r="S4" s="276"/>
      <c r="T4" s="276"/>
      <c r="U4" s="276"/>
      <c r="V4" s="276"/>
      <c r="W4" s="276"/>
      <c r="X4" s="276"/>
      <c r="Y4" s="276"/>
      <c r="Z4" s="276"/>
      <c r="AA4" s="276"/>
      <c r="AB4" s="276"/>
      <c r="AC4" s="276"/>
      <c r="AD4" s="276"/>
      <c r="AE4" s="276"/>
      <c r="AF4" s="276"/>
      <c r="AG4" s="276"/>
      <c r="AH4" s="276"/>
      <c r="AI4" s="276"/>
      <c r="AJ4" s="276"/>
      <c r="AK4" s="276"/>
      <c r="AL4" s="276"/>
    </row>
    <row r="5" spans="1:43" customFormat="1" ht="15.75">
      <c r="A5" s="137"/>
    </row>
    <row r="6" spans="1:43" customFormat="1" ht="15.75">
      <c r="A6" s="277" t="str">
        <f>+Control!D3</f>
        <v>AAAMOP ENTERTAINMENT LIMITED</v>
      </c>
      <c r="B6" s="277"/>
      <c r="C6" s="277"/>
      <c r="D6" s="277"/>
      <c r="E6" s="277"/>
      <c r="F6" s="277"/>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77"/>
      <c r="AI6" s="277"/>
      <c r="AJ6" s="277"/>
      <c r="AK6" s="277"/>
      <c r="AL6" s="277"/>
      <c r="AQ6" t="s">
        <v>1</v>
      </c>
    </row>
    <row r="7" spans="1:43" customFormat="1" ht="15.75">
      <c r="A7" s="278" t="str">
        <f>+CONCATENATE(AQ6,Control!F8,AQ8,'D emol (6)'!AQ7,Control!D7)</f>
        <v xml:space="preserve">FOR THE  ENDED </v>
      </c>
      <c r="B7" s="278"/>
      <c r="C7" s="278"/>
      <c r="D7" s="278"/>
      <c r="E7" s="278"/>
      <c r="F7" s="278"/>
      <c r="G7" s="278"/>
      <c r="H7" s="278"/>
      <c r="I7" s="278"/>
      <c r="J7" s="278"/>
      <c r="K7" s="278"/>
      <c r="L7" s="278"/>
      <c r="M7" s="278"/>
      <c r="N7" s="278"/>
      <c r="O7" s="278"/>
      <c r="P7" s="278"/>
      <c r="Q7" s="278"/>
      <c r="R7" s="278"/>
      <c r="S7" s="278"/>
      <c r="T7" s="278"/>
      <c r="U7" s="278"/>
      <c r="V7" s="278"/>
      <c r="W7" s="278"/>
      <c r="X7" s="278"/>
      <c r="Y7" s="278"/>
      <c r="Z7" s="278"/>
      <c r="AA7" s="278"/>
      <c r="AB7" s="278"/>
      <c r="AC7" s="278"/>
      <c r="AD7" s="278"/>
      <c r="AE7" s="278"/>
      <c r="AF7" s="278"/>
      <c r="AG7" s="278"/>
      <c r="AH7" s="278"/>
      <c r="AI7" s="278"/>
      <c r="AJ7" s="278"/>
      <c r="AK7" s="278"/>
      <c r="AL7" s="278"/>
      <c r="AQ7" t="s">
        <v>89</v>
      </c>
    </row>
    <row r="8" spans="1:43" customFormat="1" ht="15.75">
      <c r="AQ8" t="s">
        <v>90</v>
      </c>
    </row>
    <row r="9" spans="1:43" s="35" customFormat="1">
      <c r="C9" s="35" t="s">
        <v>91</v>
      </c>
    </row>
    <row r="10" spans="1:43" s="35" customFormat="1"/>
    <row r="11" spans="1:43" s="35" customFormat="1">
      <c r="A11" s="35" t="s">
        <v>92</v>
      </c>
      <c r="C11" s="279" t="s">
        <v>93</v>
      </c>
      <c r="D11" s="279"/>
      <c r="E11" s="279"/>
      <c r="F11" s="279"/>
      <c r="G11" s="279"/>
      <c r="H11" s="279"/>
      <c r="I11" s="279"/>
      <c r="J11" s="279"/>
      <c r="K11" s="279"/>
      <c r="L11" s="279"/>
      <c r="M11" s="279"/>
      <c r="N11" s="279"/>
      <c r="O11" s="279"/>
      <c r="P11" s="279"/>
      <c r="Q11" s="279"/>
      <c r="R11" s="279"/>
      <c r="S11" s="279"/>
      <c r="T11" s="279"/>
      <c r="U11" s="279"/>
      <c r="V11" s="279"/>
      <c r="W11" s="279"/>
      <c r="X11" s="279"/>
      <c r="Y11" s="279"/>
      <c r="Z11" s="279"/>
      <c r="AA11" s="279"/>
      <c r="AB11" s="279"/>
      <c r="AC11" s="279"/>
      <c r="AD11" s="279"/>
      <c r="AE11" s="279"/>
      <c r="AF11" s="279"/>
      <c r="AG11" s="279"/>
      <c r="AH11" s="279"/>
      <c r="AI11" s="279"/>
      <c r="AJ11" s="279"/>
      <c r="AK11" s="279"/>
      <c r="AL11" s="279"/>
    </row>
    <row r="12" spans="1:43" s="35" customFormat="1">
      <c r="C12" s="279" t="s">
        <v>94</v>
      </c>
      <c r="D12" s="279"/>
      <c r="E12" s="279"/>
      <c r="F12" s="279"/>
      <c r="G12" s="279"/>
      <c r="H12" s="279"/>
      <c r="I12" s="279"/>
      <c r="J12" s="279"/>
      <c r="K12" s="279"/>
      <c r="L12" s="279"/>
      <c r="M12" s="279"/>
      <c r="N12" s="279"/>
      <c r="O12" s="279"/>
      <c r="P12" s="279"/>
      <c r="Q12" s="279"/>
      <c r="R12" s="279"/>
      <c r="S12" s="279"/>
      <c r="T12" s="279"/>
      <c r="U12" s="279"/>
      <c r="V12" s="279"/>
      <c r="W12" s="279"/>
      <c r="X12" s="279"/>
      <c r="Y12" s="279"/>
      <c r="Z12" s="279"/>
      <c r="AA12" s="279"/>
      <c r="AB12" s="279"/>
      <c r="AC12" s="279"/>
      <c r="AD12" s="279"/>
      <c r="AE12" s="279"/>
      <c r="AF12" s="279"/>
      <c r="AG12" s="279"/>
      <c r="AH12" s="279"/>
      <c r="AI12" s="279"/>
      <c r="AJ12" s="279"/>
      <c r="AK12" s="279"/>
      <c r="AL12" s="279"/>
    </row>
    <row r="13" spans="1:43" s="35" customFormat="1">
      <c r="C13" s="279" t="s">
        <v>95</v>
      </c>
      <c r="D13" s="279"/>
      <c r="E13" s="279"/>
      <c r="F13" s="279"/>
      <c r="G13" s="279"/>
      <c r="H13" s="279"/>
      <c r="I13" s="279"/>
      <c r="J13" s="279"/>
      <c r="K13" s="279"/>
      <c r="L13" s="279"/>
      <c r="M13" s="279"/>
      <c r="N13" s="279"/>
      <c r="O13" s="279"/>
      <c r="P13" s="279"/>
      <c r="Q13" s="279"/>
      <c r="R13" s="279"/>
      <c r="S13" s="279"/>
      <c r="T13" s="279"/>
      <c r="U13" s="279"/>
      <c r="V13" s="279"/>
      <c r="W13" s="279"/>
      <c r="X13" s="279"/>
      <c r="Y13" s="279"/>
      <c r="Z13" s="279"/>
      <c r="AA13" s="279"/>
      <c r="AB13" s="279"/>
      <c r="AC13" s="279"/>
      <c r="AD13" s="279"/>
      <c r="AE13" s="279"/>
      <c r="AF13" s="279"/>
      <c r="AG13" s="279"/>
      <c r="AH13" s="279"/>
      <c r="AI13" s="279"/>
      <c r="AJ13" s="279"/>
      <c r="AK13" s="279"/>
      <c r="AL13" s="279"/>
    </row>
    <row r="14" spans="1:43" s="35" customFormat="1">
      <c r="C14" s="35" t="str">
        <f>+CONCATENATE(B68,B69,B70)</f>
        <v>to be disclosed under Section 161 of the Companies Ordinance;</v>
      </c>
      <c r="AQ14" s="35">
        <v>383</v>
      </c>
    </row>
    <row r="15" spans="1:43" s="35" customFormat="1">
      <c r="A15" s="35" t="s">
        <v>96</v>
      </c>
      <c r="C15" s="279" t="s">
        <v>97</v>
      </c>
      <c r="D15" s="279"/>
      <c r="E15" s="279"/>
      <c r="F15" s="279"/>
      <c r="G15" s="279"/>
      <c r="H15" s="279"/>
      <c r="I15" s="279"/>
      <c r="J15" s="279"/>
      <c r="K15" s="279"/>
      <c r="L15" s="279"/>
      <c r="M15" s="279"/>
      <c r="N15" s="279"/>
      <c r="O15" s="279"/>
      <c r="P15" s="279"/>
      <c r="Q15" s="279"/>
      <c r="R15" s="279"/>
      <c r="S15" s="279"/>
      <c r="T15" s="279"/>
      <c r="U15" s="279"/>
      <c r="V15" s="279"/>
      <c r="W15" s="279"/>
      <c r="X15" s="279"/>
      <c r="Y15" s="279"/>
      <c r="Z15" s="279"/>
      <c r="AA15" s="279"/>
      <c r="AB15" s="279"/>
      <c r="AC15" s="279"/>
      <c r="AD15" s="279"/>
      <c r="AE15" s="279"/>
      <c r="AF15" s="279"/>
      <c r="AG15" s="279"/>
      <c r="AH15" s="279"/>
      <c r="AI15" s="279"/>
      <c r="AJ15" s="279"/>
      <c r="AK15" s="279"/>
      <c r="AL15" s="279"/>
    </row>
    <row r="16" spans="1:43" s="35" customFormat="1">
      <c r="C16" s="35" t="str">
        <f>+CONCATENATE(B76,B77,B78)</f>
        <v>which were outstanding at the expiration thereof as required to be disclosed under Section 161B of the Companies Ordinance.</v>
      </c>
      <c r="AQ16" s="35">
        <v>383</v>
      </c>
    </row>
    <row r="17" spans="1:38" customFormat="1" ht="15.75"/>
    <row r="18" spans="1:38" ht="12.75">
      <c r="A18" s="26" t="s">
        <v>98</v>
      </c>
      <c r="B18" s="27"/>
      <c r="C18" s="27"/>
      <c r="D18" s="280">
        <f>+'Dir info'!C8</f>
        <v>0</v>
      </c>
      <c r="E18" s="280"/>
      <c r="F18" s="280"/>
      <c r="G18" s="280"/>
      <c r="H18" s="280"/>
      <c r="I18" s="280"/>
      <c r="J18" s="280"/>
      <c r="K18" s="280"/>
      <c r="L18" s="280"/>
      <c r="M18" s="280"/>
      <c r="N18" s="27"/>
      <c r="O18" s="281" t="s">
        <v>99</v>
      </c>
      <c r="P18" s="282"/>
      <c r="Q18" s="282"/>
      <c r="R18" s="282"/>
      <c r="S18" s="282"/>
      <c r="T18" s="282"/>
      <c r="U18" s="282"/>
      <c r="V18" s="283"/>
      <c r="W18" s="28"/>
      <c r="X18" s="287" t="s">
        <v>100</v>
      </c>
      <c r="Y18" s="287"/>
      <c r="Z18" s="287"/>
      <c r="AA18" s="287"/>
      <c r="AB18" s="287"/>
      <c r="AC18" s="287"/>
      <c r="AD18" s="29"/>
      <c r="AE18" s="289" t="s">
        <v>101</v>
      </c>
      <c r="AF18" s="287"/>
      <c r="AG18" s="287"/>
      <c r="AH18" s="287"/>
      <c r="AI18" s="287"/>
      <c r="AJ18" s="287"/>
      <c r="AK18" s="287"/>
      <c r="AL18" s="290"/>
    </row>
    <row r="19" spans="1:38" ht="27" customHeight="1">
      <c r="A19" s="26" t="s">
        <v>102</v>
      </c>
      <c r="C19" s="27"/>
      <c r="D19" s="293" t="s">
        <v>103</v>
      </c>
      <c r="E19" s="293"/>
      <c r="F19" s="293"/>
      <c r="G19" s="293"/>
      <c r="H19" s="293"/>
      <c r="I19" s="293"/>
      <c r="J19" s="293"/>
      <c r="K19" s="293"/>
      <c r="L19" s="293"/>
      <c r="M19" s="293"/>
      <c r="N19" s="27"/>
      <c r="O19" s="284"/>
      <c r="P19" s="285"/>
      <c r="Q19" s="285"/>
      <c r="R19" s="285"/>
      <c r="S19" s="285"/>
      <c r="T19" s="285"/>
      <c r="U19" s="285"/>
      <c r="V19" s="286"/>
      <c r="W19" s="31"/>
      <c r="X19" s="288"/>
      <c r="Y19" s="288"/>
      <c r="Z19" s="288"/>
      <c r="AA19" s="288"/>
      <c r="AB19" s="288"/>
      <c r="AC19" s="288"/>
      <c r="AD19" s="32"/>
      <c r="AE19" s="291"/>
      <c r="AF19" s="288"/>
      <c r="AG19" s="288"/>
      <c r="AH19" s="288"/>
      <c r="AI19" s="288"/>
      <c r="AJ19" s="288"/>
      <c r="AK19" s="288"/>
      <c r="AL19" s="292"/>
    </row>
    <row r="20" spans="1:38" ht="14.25" customHeight="1">
      <c r="O20" s="297" t="s">
        <v>104</v>
      </c>
      <c r="P20" s="297"/>
      <c r="Q20" s="297"/>
      <c r="R20" s="297"/>
      <c r="S20" s="297" t="s">
        <v>105</v>
      </c>
      <c r="T20" s="297"/>
      <c r="U20" s="297"/>
      <c r="V20" s="297"/>
      <c r="W20" s="297" t="s">
        <v>104</v>
      </c>
      <c r="X20" s="297"/>
      <c r="Y20" s="297"/>
      <c r="Z20" s="297"/>
      <c r="AA20" s="297" t="s">
        <v>105</v>
      </c>
      <c r="AB20" s="297"/>
      <c r="AC20" s="297"/>
      <c r="AD20" s="297"/>
      <c r="AE20" s="297" t="s">
        <v>104</v>
      </c>
      <c r="AF20" s="297"/>
      <c r="AG20" s="297"/>
      <c r="AH20" s="297"/>
      <c r="AI20" s="297" t="s">
        <v>105</v>
      </c>
      <c r="AJ20" s="297"/>
      <c r="AK20" s="297"/>
      <c r="AL20" s="297"/>
    </row>
    <row r="21" spans="1:38">
      <c r="O21" s="294" t="str">
        <f>+Control!D68</f>
        <v>HK$</v>
      </c>
      <c r="P21" s="295"/>
      <c r="Q21" s="295"/>
      <c r="R21" s="296"/>
      <c r="S21" s="294" t="str">
        <f>+Control!D68</f>
        <v>HK$</v>
      </c>
      <c r="T21" s="295"/>
      <c r="U21" s="295"/>
      <c r="V21" s="296"/>
      <c r="W21" s="294" t="str">
        <f>+Control!D68</f>
        <v>HK$</v>
      </c>
      <c r="X21" s="295"/>
      <c r="Y21" s="295"/>
      <c r="Z21" s="296"/>
      <c r="AA21" s="294" t="str">
        <f>+Control!D68</f>
        <v>HK$</v>
      </c>
      <c r="AB21" s="295"/>
      <c r="AC21" s="295"/>
      <c r="AD21" s="296"/>
      <c r="AE21" s="294" t="str">
        <f>+Control!D68</f>
        <v>HK$</v>
      </c>
      <c r="AF21" s="295"/>
      <c r="AG21" s="295"/>
      <c r="AH21" s="296"/>
      <c r="AI21" s="294" t="str">
        <f>+Control!D68</f>
        <v>HK$</v>
      </c>
      <c r="AJ21" s="295"/>
      <c r="AK21" s="295"/>
      <c r="AL21" s="296"/>
    </row>
    <row r="22" spans="1:38">
      <c r="A22" s="30" t="s">
        <v>106</v>
      </c>
      <c r="B22" s="33" t="s">
        <v>107</v>
      </c>
      <c r="C22" s="30" t="s">
        <v>108</v>
      </c>
      <c r="O22" s="299"/>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row>
    <row r="23" spans="1:38">
      <c r="C23" s="30" t="s">
        <v>109</v>
      </c>
      <c r="O23" s="297"/>
      <c r="P23" s="297"/>
      <c r="Q23" s="297"/>
      <c r="R23" s="297"/>
      <c r="S23" s="297"/>
      <c r="T23" s="297"/>
      <c r="U23" s="297"/>
      <c r="V23" s="297"/>
      <c r="W23" s="297"/>
      <c r="X23" s="297"/>
      <c r="Y23" s="297"/>
      <c r="Z23" s="297"/>
      <c r="AA23" s="297"/>
      <c r="AB23" s="297"/>
      <c r="AC23" s="297"/>
      <c r="AD23" s="297"/>
      <c r="AE23" s="297"/>
      <c r="AF23" s="297"/>
      <c r="AG23" s="297"/>
      <c r="AH23" s="297"/>
      <c r="AI23" s="297"/>
      <c r="AJ23" s="297"/>
      <c r="AK23" s="297"/>
      <c r="AL23" s="297"/>
    </row>
    <row r="24" spans="1:38">
      <c r="C24" s="30" t="s">
        <v>110</v>
      </c>
      <c r="O24" s="298">
        <f>+'Dir info'!O8</f>
        <v>0</v>
      </c>
      <c r="P24" s="298"/>
      <c r="Q24" s="298"/>
      <c r="R24" s="298"/>
      <c r="S24" s="297"/>
      <c r="T24" s="297"/>
      <c r="U24" s="297"/>
      <c r="V24" s="297"/>
      <c r="W24" s="297"/>
      <c r="X24" s="297"/>
      <c r="Y24" s="297"/>
      <c r="Z24" s="297"/>
      <c r="AA24" s="297"/>
      <c r="AB24" s="297"/>
      <c r="AC24" s="297"/>
      <c r="AD24" s="297"/>
      <c r="AE24" s="297"/>
      <c r="AF24" s="297"/>
      <c r="AG24" s="297"/>
      <c r="AH24" s="297"/>
      <c r="AI24" s="297"/>
      <c r="AJ24" s="297"/>
      <c r="AK24" s="297"/>
      <c r="AL24" s="297"/>
    </row>
    <row r="25" spans="1:38">
      <c r="C25" s="30" t="s">
        <v>111</v>
      </c>
      <c r="O25" s="297"/>
      <c r="P25" s="297"/>
      <c r="Q25" s="297"/>
      <c r="R25" s="297"/>
      <c r="S25" s="297"/>
      <c r="T25" s="297"/>
      <c r="U25" s="297"/>
      <c r="V25" s="297"/>
      <c r="W25" s="297"/>
      <c r="X25" s="297"/>
      <c r="Y25" s="297"/>
      <c r="Z25" s="297"/>
      <c r="AA25" s="297"/>
      <c r="AB25" s="297"/>
      <c r="AC25" s="297"/>
      <c r="AD25" s="297"/>
      <c r="AE25" s="297"/>
      <c r="AF25" s="297"/>
      <c r="AG25" s="297"/>
      <c r="AH25" s="297"/>
      <c r="AI25" s="297"/>
      <c r="AJ25" s="297"/>
      <c r="AK25" s="297"/>
      <c r="AL25" s="297"/>
    </row>
    <row r="26" spans="1:38">
      <c r="C26" s="30" t="s">
        <v>112</v>
      </c>
      <c r="O26" s="297"/>
      <c r="P26" s="297"/>
      <c r="Q26" s="297"/>
      <c r="R26" s="297"/>
      <c r="S26" s="297"/>
      <c r="T26" s="297"/>
      <c r="U26" s="297"/>
      <c r="V26" s="297"/>
      <c r="W26" s="297"/>
      <c r="X26" s="297"/>
      <c r="Y26" s="297"/>
      <c r="Z26" s="297"/>
      <c r="AA26" s="297"/>
      <c r="AB26" s="297"/>
      <c r="AC26" s="297"/>
      <c r="AD26" s="297"/>
      <c r="AE26" s="297"/>
      <c r="AF26" s="297"/>
      <c r="AG26" s="297"/>
      <c r="AH26" s="297"/>
      <c r="AI26" s="297"/>
      <c r="AJ26" s="297"/>
      <c r="AK26" s="297"/>
      <c r="AL26" s="297"/>
    </row>
    <row r="27" spans="1:38">
      <c r="C27" s="30" t="s">
        <v>113</v>
      </c>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row>
    <row r="28" spans="1:38">
      <c r="D28" s="30" t="s">
        <v>114</v>
      </c>
      <c r="O28" s="297"/>
      <c r="P28" s="297"/>
      <c r="Q28" s="297"/>
      <c r="R28" s="297"/>
      <c r="S28" s="297"/>
      <c r="T28" s="297"/>
      <c r="U28" s="297"/>
      <c r="V28" s="297"/>
      <c r="W28" s="297"/>
      <c r="X28" s="297"/>
      <c r="Y28" s="297"/>
      <c r="Z28" s="297"/>
      <c r="AA28" s="297"/>
      <c r="AB28" s="297"/>
      <c r="AC28" s="297"/>
      <c r="AD28" s="297"/>
      <c r="AE28" s="297"/>
      <c r="AF28" s="297"/>
      <c r="AG28" s="297"/>
      <c r="AH28" s="297"/>
      <c r="AI28" s="297"/>
      <c r="AJ28" s="297"/>
      <c r="AK28" s="297"/>
      <c r="AL28" s="297"/>
    </row>
    <row r="29" spans="1:38">
      <c r="C29" s="30" t="s">
        <v>115</v>
      </c>
      <c r="O29" s="297"/>
      <c r="P29" s="297"/>
      <c r="Q29" s="297"/>
      <c r="R29" s="297"/>
      <c r="S29" s="297"/>
      <c r="T29" s="297"/>
      <c r="U29" s="297"/>
      <c r="V29" s="297"/>
      <c r="W29" s="297"/>
      <c r="X29" s="297"/>
      <c r="Y29" s="297"/>
      <c r="Z29" s="297"/>
      <c r="AA29" s="297"/>
      <c r="AB29" s="297"/>
      <c r="AC29" s="297"/>
      <c r="AD29" s="297"/>
      <c r="AE29" s="297"/>
      <c r="AF29" s="297"/>
      <c r="AG29" s="297"/>
      <c r="AH29" s="297"/>
      <c r="AI29" s="297"/>
      <c r="AJ29" s="297"/>
      <c r="AK29" s="297"/>
      <c r="AL29" s="297"/>
    </row>
    <row r="30" spans="1:38">
      <c r="C30" s="30" t="s">
        <v>116</v>
      </c>
      <c r="O30" s="301"/>
      <c r="P30" s="302"/>
      <c r="Q30" s="302"/>
      <c r="R30" s="303"/>
      <c r="S30" s="297"/>
      <c r="T30" s="297"/>
      <c r="U30" s="297"/>
      <c r="V30" s="297"/>
      <c r="W30" s="297"/>
      <c r="X30" s="297"/>
      <c r="Y30" s="297"/>
      <c r="Z30" s="297"/>
      <c r="AA30" s="297"/>
      <c r="AB30" s="297"/>
      <c r="AC30" s="297"/>
      <c r="AD30" s="297"/>
      <c r="AE30" s="297"/>
      <c r="AF30" s="297"/>
      <c r="AG30" s="297"/>
      <c r="AH30" s="297"/>
      <c r="AI30" s="297"/>
      <c r="AJ30" s="297"/>
      <c r="AK30" s="297"/>
      <c r="AL30" s="297"/>
    </row>
    <row r="31" spans="1:38">
      <c r="D31" s="30" t="s">
        <v>117</v>
      </c>
      <c r="O31" s="304"/>
      <c r="P31" s="305"/>
      <c r="Q31" s="305"/>
      <c r="R31" s="306"/>
      <c r="S31" s="297"/>
      <c r="T31" s="297"/>
      <c r="U31" s="297"/>
      <c r="V31" s="297"/>
      <c r="W31" s="297"/>
      <c r="X31" s="297"/>
      <c r="Y31" s="297"/>
      <c r="Z31" s="297"/>
      <c r="AA31" s="297"/>
      <c r="AB31" s="297"/>
      <c r="AC31" s="297"/>
      <c r="AD31" s="297"/>
      <c r="AE31" s="297"/>
      <c r="AF31" s="297"/>
      <c r="AG31" s="297"/>
      <c r="AH31" s="297"/>
      <c r="AI31" s="297"/>
      <c r="AJ31" s="297"/>
      <c r="AK31" s="297"/>
      <c r="AL31" s="297"/>
    </row>
    <row r="32" spans="1:38">
      <c r="D32" s="30" t="s">
        <v>118</v>
      </c>
      <c r="E32" s="30" t="s">
        <v>119</v>
      </c>
      <c r="O32" s="307"/>
      <c r="P32" s="308"/>
      <c r="Q32" s="308"/>
      <c r="R32" s="309"/>
      <c r="S32" s="297"/>
      <c r="T32" s="297"/>
      <c r="U32" s="297"/>
      <c r="V32" s="297"/>
      <c r="W32" s="297"/>
      <c r="X32" s="297"/>
      <c r="Y32" s="297"/>
      <c r="Z32" s="297"/>
      <c r="AA32" s="297"/>
      <c r="AB32" s="297"/>
      <c r="AC32" s="297"/>
      <c r="AD32" s="297"/>
      <c r="AE32" s="297"/>
      <c r="AF32" s="297"/>
      <c r="AG32" s="297"/>
      <c r="AH32" s="297"/>
      <c r="AI32" s="297"/>
      <c r="AJ32" s="297"/>
      <c r="AK32" s="297"/>
      <c r="AL32" s="297"/>
    </row>
    <row r="33" spans="2:43">
      <c r="O33" s="300"/>
      <c r="P33" s="300"/>
      <c r="Q33" s="300"/>
      <c r="R33" s="300"/>
      <c r="S33" s="297"/>
      <c r="T33" s="297"/>
      <c r="U33" s="297"/>
      <c r="V33" s="297"/>
      <c r="W33" s="297"/>
      <c r="X33" s="297"/>
      <c r="Y33" s="297"/>
      <c r="Z33" s="297"/>
      <c r="AA33" s="297"/>
      <c r="AB33" s="297"/>
      <c r="AC33" s="297"/>
      <c r="AD33" s="297"/>
      <c r="AE33" s="297"/>
      <c r="AF33" s="297"/>
      <c r="AG33" s="297"/>
      <c r="AH33" s="297"/>
      <c r="AI33" s="297"/>
      <c r="AJ33" s="297"/>
      <c r="AK33" s="297"/>
      <c r="AL33" s="297"/>
    </row>
    <row r="34" spans="2:43">
      <c r="O34" s="297"/>
      <c r="P34" s="297"/>
      <c r="Q34" s="297"/>
      <c r="R34" s="297"/>
      <c r="S34" s="297"/>
      <c r="T34" s="297"/>
      <c r="U34" s="297"/>
      <c r="V34" s="297"/>
      <c r="W34" s="297"/>
      <c r="X34" s="297"/>
      <c r="Y34" s="297"/>
      <c r="Z34" s="297"/>
      <c r="AA34" s="297"/>
      <c r="AB34" s="297"/>
      <c r="AC34" s="297"/>
      <c r="AD34" s="297"/>
      <c r="AE34" s="297"/>
      <c r="AF34" s="297"/>
      <c r="AG34" s="297"/>
      <c r="AH34" s="297"/>
      <c r="AI34" s="297"/>
      <c r="AJ34" s="297"/>
      <c r="AK34" s="297"/>
      <c r="AL34" s="297"/>
    </row>
    <row r="35" spans="2:43">
      <c r="B35" s="33" t="s">
        <v>120</v>
      </c>
      <c r="C35" s="30" t="s">
        <v>121</v>
      </c>
      <c r="O35" s="297"/>
      <c r="P35" s="297"/>
      <c r="Q35" s="297"/>
      <c r="R35" s="297"/>
      <c r="S35" s="297"/>
      <c r="T35" s="297"/>
      <c r="U35" s="297"/>
      <c r="V35" s="297"/>
      <c r="W35" s="297"/>
      <c r="X35" s="297"/>
      <c r="Y35" s="297"/>
      <c r="Z35" s="297"/>
      <c r="AA35" s="297"/>
      <c r="AB35" s="297"/>
      <c r="AC35" s="297"/>
      <c r="AD35" s="297"/>
      <c r="AE35" s="297"/>
      <c r="AF35" s="297"/>
      <c r="AG35" s="297"/>
      <c r="AH35" s="297"/>
      <c r="AI35" s="297"/>
      <c r="AJ35" s="297"/>
      <c r="AK35" s="297"/>
      <c r="AL35" s="297"/>
    </row>
    <row r="36" spans="2:43">
      <c r="C36" s="30" t="s">
        <v>122</v>
      </c>
      <c r="O36" s="297"/>
      <c r="P36" s="297"/>
      <c r="Q36" s="297"/>
      <c r="R36" s="297"/>
      <c r="S36" s="297"/>
      <c r="T36" s="297"/>
      <c r="U36" s="297"/>
      <c r="V36" s="297"/>
      <c r="W36" s="297"/>
      <c r="X36" s="297"/>
      <c r="Y36" s="297"/>
      <c r="Z36" s="297"/>
      <c r="AA36" s="297"/>
      <c r="AB36" s="297"/>
      <c r="AC36" s="297"/>
      <c r="AD36" s="297"/>
      <c r="AE36" s="297"/>
      <c r="AF36" s="297"/>
      <c r="AG36" s="297"/>
      <c r="AH36" s="297"/>
      <c r="AI36" s="297"/>
      <c r="AJ36" s="297"/>
      <c r="AK36" s="297"/>
      <c r="AL36" s="297"/>
    </row>
    <row r="37" spans="2:43">
      <c r="D37" s="30" t="s">
        <v>123</v>
      </c>
      <c r="O37" s="297"/>
      <c r="P37" s="297"/>
      <c r="Q37" s="297"/>
      <c r="R37" s="297"/>
      <c r="S37" s="297"/>
      <c r="T37" s="297"/>
      <c r="U37" s="297"/>
      <c r="V37" s="297"/>
      <c r="W37" s="297"/>
      <c r="X37" s="297"/>
      <c r="Y37" s="297"/>
      <c r="Z37" s="297"/>
      <c r="AA37" s="297"/>
      <c r="AB37" s="297"/>
      <c r="AC37" s="297"/>
      <c r="AD37" s="297"/>
      <c r="AE37" s="297"/>
      <c r="AF37" s="297"/>
      <c r="AG37" s="297"/>
      <c r="AH37" s="297"/>
      <c r="AI37" s="297"/>
      <c r="AJ37" s="297"/>
      <c r="AK37" s="297"/>
      <c r="AL37" s="297"/>
    </row>
    <row r="38" spans="2:43">
      <c r="D38" s="30" t="s">
        <v>124</v>
      </c>
      <c r="O38" s="297"/>
      <c r="P38" s="297"/>
      <c r="Q38" s="297"/>
      <c r="R38" s="297"/>
      <c r="S38" s="297"/>
      <c r="T38" s="297"/>
      <c r="U38" s="297"/>
      <c r="V38" s="297"/>
      <c r="W38" s="297"/>
      <c r="X38" s="297"/>
      <c r="Y38" s="297"/>
      <c r="Z38" s="297"/>
      <c r="AA38" s="297"/>
      <c r="AB38" s="297"/>
      <c r="AC38" s="297"/>
      <c r="AD38" s="297"/>
      <c r="AE38" s="297"/>
      <c r="AF38" s="297"/>
      <c r="AG38" s="297"/>
      <c r="AH38" s="297"/>
      <c r="AI38" s="297"/>
      <c r="AJ38" s="297"/>
      <c r="AK38" s="297"/>
      <c r="AL38" s="297"/>
    </row>
    <row r="39" spans="2:43">
      <c r="D39" s="30" t="s">
        <v>125</v>
      </c>
      <c r="O39" s="297"/>
      <c r="P39" s="297"/>
      <c r="Q39" s="297"/>
      <c r="R39" s="297"/>
      <c r="S39" s="297"/>
      <c r="T39" s="297"/>
      <c r="U39" s="297"/>
      <c r="V39" s="297"/>
      <c r="W39" s="297"/>
      <c r="X39" s="297"/>
      <c r="Y39" s="297"/>
      <c r="Z39" s="297"/>
      <c r="AA39" s="297"/>
      <c r="AB39" s="297"/>
      <c r="AC39" s="297"/>
      <c r="AD39" s="297"/>
      <c r="AE39" s="297"/>
      <c r="AF39" s="297"/>
      <c r="AG39" s="297"/>
      <c r="AH39" s="297"/>
      <c r="AI39" s="297"/>
      <c r="AJ39" s="297"/>
      <c r="AK39" s="297"/>
      <c r="AL39" s="297"/>
    </row>
    <row r="40" spans="2:43">
      <c r="C40" s="30" t="s">
        <v>126</v>
      </c>
      <c r="O40" s="297"/>
      <c r="P40" s="297"/>
      <c r="Q40" s="297"/>
      <c r="R40" s="297"/>
      <c r="S40" s="297"/>
      <c r="T40" s="297"/>
      <c r="U40" s="297"/>
      <c r="V40" s="297"/>
      <c r="W40" s="297"/>
      <c r="X40" s="297"/>
      <c r="Y40" s="297"/>
      <c r="Z40" s="297"/>
      <c r="AA40" s="297"/>
      <c r="AB40" s="297"/>
      <c r="AC40" s="297"/>
      <c r="AD40" s="297"/>
      <c r="AE40" s="297"/>
      <c r="AF40" s="297"/>
      <c r="AG40" s="297"/>
      <c r="AH40" s="297"/>
      <c r="AI40" s="297"/>
      <c r="AJ40" s="297"/>
      <c r="AK40" s="297"/>
      <c r="AL40" s="297"/>
    </row>
    <row r="41" spans="2:43">
      <c r="C41" s="30" t="s">
        <v>127</v>
      </c>
      <c r="O41" s="297"/>
      <c r="P41" s="297"/>
      <c r="Q41" s="297"/>
      <c r="R41" s="297"/>
      <c r="S41" s="297"/>
      <c r="T41" s="297"/>
      <c r="U41" s="297"/>
      <c r="V41" s="297"/>
      <c r="W41" s="297"/>
      <c r="X41" s="297"/>
      <c r="Y41" s="297"/>
      <c r="Z41" s="297"/>
      <c r="AA41" s="297"/>
      <c r="AB41" s="297"/>
      <c r="AC41" s="297"/>
      <c r="AD41" s="297"/>
      <c r="AE41" s="297"/>
      <c r="AF41" s="297"/>
      <c r="AG41" s="297"/>
      <c r="AH41" s="297"/>
      <c r="AI41" s="297"/>
      <c r="AJ41" s="297"/>
      <c r="AK41" s="297"/>
      <c r="AL41" s="297"/>
    </row>
    <row r="42" spans="2:43">
      <c r="B42" s="33" t="s">
        <v>128</v>
      </c>
      <c r="C42" s="30" t="s">
        <v>129</v>
      </c>
      <c r="O42" s="297"/>
      <c r="P42" s="297"/>
      <c r="Q42" s="297"/>
      <c r="R42" s="297"/>
      <c r="S42" s="297"/>
      <c r="T42" s="297"/>
      <c r="U42" s="297"/>
      <c r="V42" s="297"/>
      <c r="W42" s="297"/>
      <c r="X42" s="297"/>
      <c r="Y42" s="297"/>
      <c r="Z42" s="297"/>
      <c r="AA42" s="297"/>
      <c r="AB42" s="297"/>
      <c r="AC42" s="297"/>
      <c r="AD42" s="297"/>
      <c r="AE42" s="297"/>
      <c r="AF42" s="297"/>
      <c r="AG42" s="297"/>
      <c r="AH42" s="297"/>
      <c r="AI42" s="297"/>
      <c r="AJ42" s="297"/>
      <c r="AK42" s="297"/>
      <c r="AL42" s="297"/>
    </row>
    <row r="43" spans="2:43">
      <c r="C43" s="30" t="s">
        <v>126</v>
      </c>
      <c r="O43" s="297"/>
      <c r="P43" s="297"/>
      <c r="Q43" s="297"/>
      <c r="R43" s="297"/>
      <c r="S43" s="297"/>
      <c r="T43" s="297"/>
      <c r="U43" s="297"/>
      <c r="V43" s="297"/>
      <c r="W43" s="297"/>
      <c r="X43" s="297"/>
      <c r="Y43" s="297"/>
      <c r="Z43" s="297"/>
      <c r="AA43" s="297"/>
      <c r="AB43" s="297"/>
      <c r="AC43" s="297"/>
      <c r="AD43" s="297"/>
      <c r="AE43" s="297"/>
      <c r="AF43" s="297"/>
      <c r="AG43" s="297"/>
      <c r="AH43" s="297"/>
      <c r="AI43" s="297"/>
      <c r="AJ43" s="297"/>
      <c r="AK43" s="297"/>
      <c r="AL43" s="297"/>
    </row>
    <row r="44" spans="2:43">
      <c r="C44" s="30" t="s">
        <v>127</v>
      </c>
      <c r="O44" s="297"/>
      <c r="P44" s="297"/>
      <c r="Q44" s="297"/>
      <c r="R44" s="297"/>
      <c r="S44" s="297"/>
      <c r="T44" s="297"/>
      <c r="U44" s="297"/>
      <c r="V44" s="297"/>
      <c r="W44" s="297"/>
      <c r="X44" s="297"/>
      <c r="Y44" s="297"/>
      <c r="Z44" s="297"/>
      <c r="AA44" s="297"/>
      <c r="AB44" s="297"/>
      <c r="AC44" s="297"/>
      <c r="AD44" s="297"/>
      <c r="AE44" s="297"/>
      <c r="AF44" s="297"/>
      <c r="AG44" s="297"/>
      <c r="AH44" s="297"/>
      <c r="AI44" s="297"/>
      <c r="AJ44" s="297"/>
      <c r="AK44" s="297"/>
      <c r="AL44" s="297"/>
    </row>
    <row r="45" spans="2:43">
      <c r="B45" s="30" t="e">
        <f>+#REF!</f>
        <v>#REF!</v>
      </c>
      <c r="O45" s="313" t="str">
        <f>IF(SUM(O23:O44)&gt;0,SUM(O23:O44),"NIL")</f>
        <v>NIL</v>
      </c>
      <c r="P45" s="314"/>
      <c r="Q45" s="314"/>
      <c r="R45" s="314"/>
      <c r="S45" s="314"/>
      <c r="T45" s="314"/>
      <c r="U45" s="314"/>
      <c r="V45" s="315"/>
      <c r="W45" s="294" t="s">
        <v>130</v>
      </c>
      <c r="X45" s="295"/>
      <c r="Y45" s="295"/>
      <c r="Z45" s="295"/>
      <c r="AA45" s="295"/>
      <c r="AB45" s="295"/>
      <c r="AC45" s="295"/>
      <c r="AD45" s="296"/>
      <c r="AE45" s="294" t="s">
        <v>130</v>
      </c>
      <c r="AF45" s="295"/>
      <c r="AG45" s="295"/>
      <c r="AH45" s="295"/>
      <c r="AI45" s="295"/>
      <c r="AJ45" s="295"/>
      <c r="AK45" s="295"/>
      <c r="AL45" s="296"/>
      <c r="AQ45" s="34"/>
    </row>
    <row r="47" spans="2:43">
      <c r="O47" s="281" t="s">
        <v>131</v>
      </c>
      <c r="P47" s="282"/>
      <c r="Q47" s="282"/>
      <c r="R47" s="282"/>
      <c r="S47" s="282"/>
      <c r="T47" s="282"/>
      <c r="U47" s="282"/>
      <c r="V47" s="282"/>
      <c r="W47" s="282"/>
      <c r="X47" s="282"/>
      <c r="Y47" s="282"/>
      <c r="Z47" s="283"/>
      <c r="AA47" s="289" t="s">
        <v>132</v>
      </c>
      <c r="AB47" s="287"/>
      <c r="AC47" s="287"/>
      <c r="AD47" s="287"/>
      <c r="AE47" s="287"/>
      <c r="AF47" s="287"/>
      <c r="AG47" s="287"/>
      <c r="AH47" s="287"/>
      <c r="AI47" s="287"/>
      <c r="AJ47" s="287"/>
      <c r="AK47" s="287"/>
      <c r="AL47" s="290"/>
    </row>
    <row r="48" spans="2:43">
      <c r="O48" s="284"/>
      <c r="P48" s="285"/>
      <c r="Q48" s="285"/>
      <c r="R48" s="285"/>
      <c r="S48" s="285"/>
      <c r="T48" s="285"/>
      <c r="U48" s="285"/>
      <c r="V48" s="285"/>
      <c r="W48" s="285"/>
      <c r="X48" s="285"/>
      <c r="Y48" s="285"/>
      <c r="Z48" s="286"/>
      <c r="AA48" s="291"/>
      <c r="AB48" s="288"/>
      <c r="AC48" s="288"/>
      <c r="AD48" s="288"/>
      <c r="AE48" s="288"/>
      <c r="AF48" s="288"/>
      <c r="AG48" s="288"/>
      <c r="AH48" s="288"/>
      <c r="AI48" s="288"/>
      <c r="AJ48" s="288"/>
      <c r="AK48" s="288"/>
      <c r="AL48" s="292"/>
    </row>
    <row r="49" spans="1:38">
      <c r="O49" s="281" t="str">
        <f>+Control!D68</f>
        <v>HK$</v>
      </c>
      <c r="P49" s="282"/>
      <c r="Q49" s="282"/>
      <c r="R49" s="282"/>
      <c r="S49" s="282"/>
      <c r="T49" s="282"/>
      <c r="U49" s="282"/>
      <c r="V49" s="282"/>
      <c r="W49" s="282"/>
      <c r="X49" s="282"/>
      <c r="Y49" s="282"/>
      <c r="Z49" s="283"/>
      <c r="AA49" s="281" t="str">
        <f>+Control!D68</f>
        <v>HK$</v>
      </c>
      <c r="AB49" s="282"/>
      <c r="AC49" s="282"/>
      <c r="AD49" s="282"/>
      <c r="AE49" s="282"/>
      <c r="AF49" s="282"/>
      <c r="AG49" s="282"/>
      <c r="AH49" s="282"/>
      <c r="AI49" s="282"/>
      <c r="AJ49" s="282"/>
      <c r="AK49" s="282"/>
      <c r="AL49" s="283"/>
    </row>
    <row r="50" spans="1:38">
      <c r="A50" s="30" t="s">
        <v>133</v>
      </c>
      <c r="B50" s="30" t="s">
        <v>134</v>
      </c>
      <c r="O50" s="310"/>
      <c r="P50" s="311"/>
      <c r="Q50" s="311"/>
      <c r="R50" s="311"/>
      <c r="S50" s="311"/>
      <c r="T50" s="311"/>
      <c r="U50" s="311"/>
      <c r="V50" s="311"/>
      <c r="W50" s="311"/>
      <c r="X50" s="311"/>
      <c r="Y50" s="311"/>
      <c r="Z50" s="312"/>
      <c r="AA50" s="310"/>
      <c r="AB50" s="311"/>
      <c r="AC50" s="311"/>
      <c r="AD50" s="311"/>
      <c r="AE50" s="311"/>
      <c r="AF50" s="311"/>
      <c r="AG50" s="311"/>
      <c r="AH50" s="311"/>
      <c r="AI50" s="311"/>
      <c r="AJ50" s="311"/>
      <c r="AK50" s="311"/>
      <c r="AL50" s="312"/>
    </row>
    <row r="51" spans="1:38">
      <c r="B51" s="30" t="s">
        <v>135</v>
      </c>
      <c r="O51" s="284"/>
      <c r="P51" s="285"/>
      <c r="Q51" s="285"/>
      <c r="R51" s="285"/>
      <c r="S51" s="285"/>
      <c r="T51" s="285"/>
      <c r="U51" s="285"/>
      <c r="V51" s="285"/>
      <c r="W51" s="285"/>
      <c r="X51" s="285"/>
      <c r="Y51" s="285"/>
      <c r="Z51" s="286"/>
      <c r="AA51" s="284"/>
      <c r="AB51" s="285"/>
      <c r="AC51" s="285"/>
      <c r="AD51" s="285"/>
      <c r="AE51" s="285"/>
      <c r="AF51" s="285"/>
      <c r="AG51" s="285"/>
      <c r="AH51" s="285"/>
      <c r="AI51" s="285"/>
      <c r="AJ51" s="285"/>
      <c r="AK51" s="285"/>
      <c r="AL51" s="286"/>
    </row>
    <row r="52" spans="1:38">
      <c r="B52" s="30" t="s">
        <v>136</v>
      </c>
      <c r="O52" s="294"/>
      <c r="P52" s="295"/>
      <c r="Q52" s="295"/>
      <c r="R52" s="295"/>
      <c r="S52" s="295"/>
      <c r="T52" s="295"/>
      <c r="U52" s="295"/>
      <c r="V52" s="295"/>
      <c r="W52" s="295"/>
      <c r="X52" s="295"/>
      <c r="Y52" s="295"/>
      <c r="Z52" s="296"/>
      <c r="AA52" s="294"/>
      <c r="AB52" s="295"/>
      <c r="AC52" s="295"/>
      <c r="AD52" s="295"/>
      <c r="AE52" s="295"/>
      <c r="AF52" s="295"/>
      <c r="AG52" s="295"/>
      <c r="AH52" s="295"/>
      <c r="AI52" s="295"/>
      <c r="AJ52" s="295"/>
      <c r="AK52" s="295"/>
      <c r="AL52" s="296"/>
    </row>
    <row r="53" spans="1:38">
      <c r="B53" s="30" t="s">
        <v>137</v>
      </c>
      <c r="O53" s="281"/>
      <c r="P53" s="282"/>
      <c r="Q53" s="282"/>
      <c r="R53" s="282"/>
      <c r="S53" s="282"/>
      <c r="T53" s="282"/>
      <c r="U53" s="282"/>
      <c r="V53" s="282"/>
      <c r="W53" s="282"/>
      <c r="X53" s="282"/>
      <c r="Y53" s="282"/>
      <c r="Z53" s="283"/>
      <c r="AA53" s="281"/>
      <c r="AB53" s="282"/>
      <c r="AC53" s="282"/>
      <c r="AD53" s="282"/>
      <c r="AE53" s="282"/>
      <c r="AF53" s="282"/>
      <c r="AG53" s="282"/>
      <c r="AH53" s="282"/>
      <c r="AI53" s="282"/>
      <c r="AJ53" s="282"/>
      <c r="AK53" s="282"/>
      <c r="AL53" s="283"/>
    </row>
    <row r="54" spans="1:38">
      <c r="D54" s="30" t="s">
        <v>138</v>
      </c>
      <c r="O54" s="284"/>
      <c r="P54" s="285"/>
      <c r="Q54" s="285"/>
      <c r="R54" s="285"/>
      <c r="S54" s="285"/>
      <c r="T54" s="285"/>
      <c r="U54" s="285"/>
      <c r="V54" s="285"/>
      <c r="W54" s="285"/>
      <c r="X54" s="285"/>
      <c r="Y54" s="285"/>
      <c r="Z54" s="286"/>
      <c r="AA54" s="284"/>
      <c r="AB54" s="285"/>
      <c r="AC54" s="285"/>
      <c r="AD54" s="285"/>
      <c r="AE54" s="285"/>
      <c r="AF54" s="285"/>
      <c r="AG54" s="285"/>
      <c r="AH54" s="285"/>
      <c r="AI54" s="285"/>
      <c r="AJ54" s="285"/>
      <c r="AK54" s="285"/>
      <c r="AL54" s="286"/>
    </row>
    <row r="55" spans="1:38">
      <c r="B55" s="30" t="e">
        <f>+#REF!</f>
        <v>#REF!</v>
      </c>
      <c r="O55" s="294" t="s">
        <v>130</v>
      </c>
      <c r="P55" s="295"/>
      <c r="Q55" s="295"/>
      <c r="R55" s="295"/>
      <c r="S55" s="295"/>
      <c r="T55" s="295"/>
      <c r="U55" s="295"/>
      <c r="V55" s="295"/>
      <c r="W55" s="295"/>
      <c r="X55" s="295"/>
      <c r="Y55" s="295"/>
      <c r="Z55" s="296"/>
      <c r="AA55" s="294" t="s">
        <v>130</v>
      </c>
      <c r="AB55" s="295"/>
      <c r="AC55" s="295"/>
      <c r="AD55" s="295"/>
      <c r="AE55" s="295"/>
      <c r="AF55" s="295"/>
      <c r="AG55" s="295"/>
      <c r="AH55" s="295"/>
      <c r="AI55" s="295"/>
      <c r="AJ55" s="295"/>
      <c r="AK55" s="295"/>
      <c r="AL55" s="296"/>
    </row>
    <row r="60" spans="1:38">
      <c r="O60" s="30" t="s">
        <v>139</v>
      </c>
      <c r="Q60" s="36"/>
      <c r="R60" s="36"/>
      <c r="S60" s="36"/>
      <c r="T60" s="36"/>
      <c r="U60" s="36"/>
      <c r="V60" s="36"/>
      <c r="W60" s="36"/>
      <c r="X60" s="36"/>
      <c r="Y60" s="36"/>
      <c r="Z60" s="36"/>
      <c r="AA60" s="36"/>
      <c r="AB60" s="36"/>
      <c r="AC60" s="36"/>
      <c r="AD60" s="36"/>
      <c r="AE60" s="36"/>
      <c r="AF60" s="36"/>
      <c r="AG60" s="36"/>
      <c r="AH60" s="36"/>
      <c r="AI60" s="36"/>
      <c r="AJ60" s="36"/>
      <c r="AK60" s="36"/>
      <c r="AL60" s="36"/>
    </row>
    <row r="62" spans="1:38">
      <c r="O62" s="30" t="s">
        <v>140</v>
      </c>
      <c r="Q62" s="36"/>
      <c r="R62" s="36"/>
      <c r="S62" s="36"/>
      <c r="T62" s="36"/>
      <c r="U62" s="36"/>
      <c r="V62" s="36"/>
      <c r="W62" s="36"/>
      <c r="X62" s="36"/>
      <c r="Y62" s="36"/>
      <c r="Z62" s="36"/>
      <c r="AA62" s="36"/>
      <c r="AB62" s="36"/>
      <c r="AC62" s="36"/>
      <c r="AD62" s="36"/>
      <c r="AE62" s="36"/>
      <c r="AF62" s="36"/>
      <c r="AG62" s="36"/>
      <c r="AH62" s="36"/>
      <c r="AI62" s="36"/>
      <c r="AJ62" s="36"/>
      <c r="AK62" s="36"/>
      <c r="AL62" s="36"/>
    </row>
    <row r="68" spans="2:4">
      <c r="B68" s="30" t="s">
        <v>141</v>
      </c>
    </row>
    <row r="69" spans="2:4">
      <c r="B69" s="30" t="str">
        <f>+IF(D72&lt;0,"161","383")</f>
        <v>161</v>
      </c>
    </row>
    <row r="70" spans="2:4">
      <c r="B70" s="30" t="s">
        <v>142</v>
      </c>
    </row>
    <row r="72" spans="2:4">
      <c r="B72" s="92">
        <v>41701</v>
      </c>
      <c r="D72" s="93">
        <f>+Control!D11-B72</f>
        <v>-75</v>
      </c>
    </row>
    <row r="76" spans="2:4">
      <c r="B76" s="30" t="s">
        <v>143</v>
      </c>
    </row>
    <row r="77" spans="2:4">
      <c r="B77" s="30" t="str">
        <f>+IF(D72&lt;0,"161B","383")</f>
        <v>161B</v>
      </c>
    </row>
    <row r="78" spans="2:4">
      <c r="B78" s="30" t="s">
        <v>144</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1" type="noConversion"/>
  <pageMargins left="0.51181102362204722" right="0.31496062992125984" top="0.74803149606299213" bottom="0.74803149606299213" header="0.31496062992125984" footer="0.31496062992125984"/>
  <pageSetup paperSize="9" scale="96"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9"/>
  <dimension ref="A1:O49"/>
  <sheetViews>
    <sheetView workbookViewId="0">
      <selection activeCell="F6" sqref="F6"/>
    </sheetView>
  </sheetViews>
  <sheetFormatPr defaultRowHeight="15.75"/>
  <cols>
    <col min="1" max="1" width="17.875" customWidth="1"/>
    <col min="2" max="2" width="21.375" customWidth="1"/>
    <col min="3" max="3" width="18.875" customWidth="1"/>
    <col min="4" max="4" width="20.875" customWidth="1"/>
    <col min="5" max="5" width="10.5" style="43" customWidth="1"/>
  </cols>
  <sheetData>
    <row r="1" spans="1:6">
      <c r="A1" s="317" t="s">
        <v>146</v>
      </c>
      <c r="B1" s="317"/>
      <c r="C1" s="317"/>
      <c r="D1" s="317"/>
      <c r="E1" s="41"/>
    </row>
    <row r="2" spans="1:6">
      <c r="A2" s="318" t="s">
        <v>147</v>
      </c>
      <c r="B2" s="318"/>
      <c r="C2" s="318"/>
      <c r="D2" s="318"/>
      <c r="E2" s="42"/>
    </row>
    <row r="3" spans="1:6">
      <c r="A3" s="1"/>
    </row>
    <row r="4" spans="1:6">
      <c r="A4" s="138" t="s">
        <v>148</v>
      </c>
      <c r="B4" s="138"/>
      <c r="C4" s="319">
        <f>+'Dir info'!C5</f>
        <v>0</v>
      </c>
      <c r="D4" s="319"/>
      <c r="E4" s="44"/>
    </row>
    <row r="5" spans="1:6">
      <c r="A5" s="1"/>
    </row>
    <row r="6" spans="1:6">
      <c r="A6" s="3" t="s">
        <v>149</v>
      </c>
      <c r="B6" s="3"/>
      <c r="C6" s="320" t="str">
        <f>+Control!D3</f>
        <v>AAAMOP ENTERTAINMENT LIMITED</v>
      </c>
      <c r="D6" s="320"/>
      <c r="E6" s="45"/>
    </row>
    <row r="7" spans="1:6">
      <c r="A7" s="3"/>
      <c r="B7" s="3"/>
      <c r="C7" s="321"/>
      <c r="D7" s="321"/>
      <c r="E7" s="45"/>
    </row>
    <row r="8" spans="1:6">
      <c r="A8" s="1"/>
    </row>
    <row r="9" spans="1:6">
      <c r="A9" s="3" t="s">
        <v>150</v>
      </c>
      <c r="B9" s="3"/>
      <c r="C9" s="319" t="s">
        <v>247</v>
      </c>
      <c r="D9" s="319"/>
      <c r="E9" s="44"/>
    </row>
    <row r="10" spans="1:6">
      <c r="A10" s="1"/>
    </row>
    <row r="11" spans="1:6">
      <c r="A11" s="316" t="str">
        <f>+CONCATENATE(F14,Control!E8,F16,'Audit conf. (3)'!F15)</f>
        <v>In the course of our regular examination of the account of the above company for the  ended</v>
      </c>
      <c r="B11" s="316"/>
      <c r="C11" s="316"/>
      <c r="D11" s="316"/>
      <c r="E11" s="46"/>
    </row>
    <row r="12" spans="1:6">
      <c r="A12" s="140">
        <f>+Control!D6</f>
        <v>0</v>
      </c>
      <c r="B12" s="3" t="s">
        <v>151</v>
      </c>
      <c r="C12" s="4"/>
      <c r="D12" s="4"/>
      <c r="E12" s="47"/>
    </row>
    <row r="13" spans="1:6">
      <c r="A13" s="1"/>
    </row>
    <row r="14" spans="1:6">
      <c r="A14" s="1">
        <v>1</v>
      </c>
      <c r="F14" t="s">
        <v>152</v>
      </c>
    </row>
    <row r="15" spans="1:6">
      <c r="A15" s="5"/>
      <c r="B15" s="11"/>
      <c r="C15" s="5"/>
      <c r="D15" s="5" t="s">
        <v>153</v>
      </c>
      <c r="E15" s="48"/>
      <c r="F15" t="s">
        <v>154</v>
      </c>
    </row>
    <row r="16" spans="1:6">
      <c r="A16" s="6"/>
      <c r="B16" s="12" t="s">
        <v>155</v>
      </c>
      <c r="C16" s="6" t="s">
        <v>156</v>
      </c>
      <c r="D16" s="6" t="s">
        <v>157</v>
      </c>
      <c r="E16" s="40"/>
      <c r="F16" s="40" t="s">
        <v>90</v>
      </c>
    </row>
    <row r="17" spans="1:6">
      <c r="A17" s="6" t="s">
        <v>158</v>
      </c>
      <c r="B17" s="13" t="s">
        <v>159</v>
      </c>
      <c r="C17" s="6" t="s">
        <v>160</v>
      </c>
      <c r="D17" s="6" t="s">
        <v>161</v>
      </c>
      <c r="E17" s="48"/>
    </row>
    <row r="18" spans="1:6">
      <c r="A18" s="7"/>
      <c r="B18" s="6" t="s">
        <v>162</v>
      </c>
      <c r="C18" s="19" t="str">
        <f>+IF(C22&gt;=0,F18,F20)</f>
        <v>Due from a director</v>
      </c>
      <c r="D18" s="6" t="s">
        <v>163</v>
      </c>
      <c r="E18" s="48"/>
      <c r="F18" t="s">
        <v>255</v>
      </c>
    </row>
    <row r="19" spans="1:6" ht="6" customHeight="1">
      <c r="A19" s="8"/>
      <c r="B19" s="14"/>
      <c r="C19" s="8"/>
      <c r="D19" s="14"/>
      <c r="E19" s="49"/>
    </row>
    <row r="20" spans="1:6">
      <c r="A20" s="7"/>
      <c r="B20" s="6" t="str">
        <f>+Control!D68</f>
        <v>HK$</v>
      </c>
      <c r="C20" s="16" t="str">
        <f>+Control!D68</f>
        <v>HK$</v>
      </c>
      <c r="D20" s="17"/>
      <c r="E20" s="50"/>
      <c r="F20" t="s">
        <v>256</v>
      </c>
    </row>
    <row r="21" spans="1:6">
      <c r="A21" s="9"/>
      <c r="B21" s="6"/>
      <c r="C21" s="6"/>
      <c r="D21" s="323" t="str">
        <f>+Control!D88</f>
        <v>Unsecured, interest free and repayable on demand</v>
      </c>
      <c r="E21" s="51"/>
    </row>
    <row r="22" spans="1:6">
      <c r="A22" s="7" t="s">
        <v>43</v>
      </c>
      <c r="B22" s="6" t="s">
        <v>164</v>
      </c>
      <c r="C22" s="25">
        <f>+'Dir info'!K5</f>
        <v>0</v>
      </c>
      <c r="D22" s="323"/>
      <c r="E22" s="51"/>
    </row>
    <row r="23" spans="1:6">
      <c r="A23" s="10"/>
      <c r="B23" s="15"/>
      <c r="C23" s="15"/>
      <c r="D23" s="15"/>
      <c r="E23" s="52"/>
    </row>
    <row r="24" spans="1:6">
      <c r="A24" s="1"/>
    </row>
    <row r="25" spans="1:6">
      <c r="A25" s="1">
        <v>2</v>
      </c>
    </row>
    <row r="26" spans="1:6">
      <c r="A26" s="5"/>
      <c r="B26" s="11"/>
      <c r="C26" s="5"/>
      <c r="D26" s="5" t="s">
        <v>153</v>
      </c>
      <c r="E26" s="48"/>
    </row>
    <row r="27" spans="1:6">
      <c r="A27" s="6"/>
      <c r="B27" s="12" t="s">
        <v>155</v>
      </c>
      <c r="C27" s="6" t="s">
        <v>156</v>
      </c>
      <c r="D27" s="6" t="s">
        <v>157</v>
      </c>
      <c r="E27" s="48"/>
    </row>
    <row r="28" spans="1:6">
      <c r="A28" s="6" t="s">
        <v>158</v>
      </c>
      <c r="B28" s="13" t="s">
        <v>159</v>
      </c>
      <c r="C28" s="6" t="s">
        <v>165</v>
      </c>
      <c r="D28" s="6" t="s">
        <v>161</v>
      </c>
      <c r="E28" s="48"/>
    </row>
    <row r="29" spans="1:6">
      <c r="A29" s="7"/>
      <c r="B29" s="6" t="s">
        <v>166</v>
      </c>
      <c r="C29" s="6" t="s">
        <v>167</v>
      </c>
      <c r="D29" s="22" t="s">
        <v>168</v>
      </c>
      <c r="E29" s="53"/>
    </row>
    <row r="30" spans="1:6" ht="5.25" customHeight="1">
      <c r="A30" s="8"/>
      <c r="B30" s="20"/>
      <c r="C30" s="21"/>
      <c r="D30" s="8"/>
      <c r="E30" s="54"/>
    </row>
    <row r="31" spans="1:6">
      <c r="A31" s="7"/>
      <c r="B31" s="6" t="str">
        <f>+Control!D68</f>
        <v>HK$</v>
      </c>
      <c r="C31" s="6" t="str">
        <f>+Control!D68</f>
        <v>HK$</v>
      </c>
      <c r="D31" s="9"/>
      <c r="E31" s="55"/>
    </row>
    <row r="32" spans="1:6">
      <c r="A32" s="7" t="s">
        <v>169</v>
      </c>
      <c r="B32" s="18"/>
      <c r="C32" s="18"/>
      <c r="D32" s="18"/>
      <c r="E32" s="52"/>
    </row>
    <row r="33" spans="1:15">
      <c r="A33" s="7"/>
      <c r="B33" s="18"/>
      <c r="C33" s="18"/>
      <c r="D33" s="18"/>
      <c r="E33" s="52"/>
    </row>
    <row r="34" spans="1:15">
      <c r="A34" s="10"/>
      <c r="B34" s="15"/>
      <c r="C34" s="15"/>
      <c r="D34" s="15"/>
      <c r="E34" s="52"/>
    </row>
    <row r="35" spans="1:15">
      <c r="A35" s="324" t="s">
        <v>170</v>
      </c>
      <c r="B35" s="324"/>
      <c r="C35" s="324"/>
      <c r="D35" s="324"/>
      <c r="E35" s="44"/>
    </row>
    <row r="36" spans="1:15">
      <c r="A36" s="1"/>
    </row>
    <row r="37" spans="1:15">
      <c r="A37" s="316" t="s">
        <v>171</v>
      </c>
      <c r="B37" s="316"/>
      <c r="C37" s="316"/>
      <c r="D37" s="316"/>
      <c r="E37" s="46"/>
    </row>
    <row r="38" spans="1:15">
      <c r="A38" s="322" t="s">
        <v>172</v>
      </c>
      <c r="B38" s="322"/>
      <c r="C38" s="322"/>
      <c r="D38" s="322"/>
      <c r="E38" s="56"/>
    </row>
    <row r="39" spans="1:15" ht="9" customHeight="1">
      <c r="A39" s="138"/>
      <c r="B39" s="138"/>
      <c r="C39" s="138"/>
      <c r="D39" s="138"/>
      <c r="E39" s="56"/>
    </row>
    <row r="40" spans="1:15">
      <c r="A40" s="316" t="s">
        <v>173</v>
      </c>
      <c r="B40" s="316"/>
      <c r="C40" s="316"/>
      <c r="D40" s="316"/>
      <c r="E40" s="46"/>
    </row>
    <row r="41" spans="1:15">
      <c r="A41" s="1" t="s">
        <v>174</v>
      </c>
    </row>
    <row r="42" spans="1:15" ht="9.75" customHeight="1">
      <c r="A42" s="1"/>
    </row>
    <row r="43" spans="1:15">
      <c r="A43" s="1" t="s">
        <v>175</v>
      </c>
    </row>
    <row r="44" spans="1:15">
      <c r="A44" s="1"/>
    </row>
    <row r="45" spans="1:15">
      <c r="A45" s="1"/>
    </row>
    <row r="46" spans="1:15">
      <c r="A46" s="325" t="str">
        <f>+Control!D136</f>
        <v>Eric K.H. Tang</v>
      </c>
      <c r="B46" s="325"/>
      <c r="C46" s="23" t="s">
        <v>176</v>
      </c>
      <c r="D46" s="24"/>
      <c r="E46" s="57"/>
    </row>
    <row r="47" spans="1:15">
      <c r="A47" s="322" t="str">
        <f>+Control!D137</f>
        <v>Certified Public Accountant (Practising)</v>
      </c>
      <c r="B47" s="322"/>
    </row>
    <row r="48" spans="1:15">
      <c r="C48" s="23" t="s">
        <v>140</v>
      </c>
      <c r="D48" s="24"/>
      <c r="E48" s="57"/>
      <c r="N48" s="1" t="s">
        <v>177</v>
      </c>
      <c r="O48" s="2" t="s">
        <v>178</v>
      </c>
    </row>
    <row r="49" spans="1:1">
      <c r="A49" s="139"/>
    </row>
  </sheetData>
  <mergeCells count="13">
    <mergeCell ref="A47:B47"/>
    <mergeCell ref="D21:D22"/>
    <mergeCell ref="A35:D35"/>
    <mergeCell ref="A37:D37"/>
    <mergeCell ref="A38:D38"/>
    <mergeCell ref="A40:D40"/>
    <mergeCell ref="A46:B46"/>
    <mergeCell ref="A11:D11"/>
    <mergeCell ref="A1:D1"/>
    <mergeCell ref="A2:D2"/>
    <mergeCell ref="C4:D4"/>
    <mergeCell ref="C6:D7"/>
    <mergeCell ref="C9:D9"/>
  </mergeCells>
  <phoneticPr fontId="11" type="noConversion"/>
  <pageMargins left="1.1023622047244095"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0"/>
  <dimension ref="A1:O49"/>
  <sheetViews>
    <sheetView topLeftCell="A7" workbookViewId="0">
      <selection activeCell="F6" sqref="F6"/>
    </sheetView>
  </sheetViews>
  <sheetFormatPr defaultRowHeight="15.75"/>
  <cols>
    <col min="1" max="1" width="17.875" customWidth="1"/>
    <col min="2" max="2" width="21.375" customWidth="1"/>
    <col min="3" max="3" width="18.875" customWidth="1"/>
    <col min="4" max="4" width="20.875" customWidth="1"/>
    <col min="5" max="5" width="10.5" style="43" customWidth="1"/>
  </cols>
  <sheetData>
    <row r="1" spans="1:6">
      <c r="A1" s="317" t="s">
        <v>146</v>
      </c>
      <c r="B1" s="317"/>
      <c r="C1" s="317"/>
      <c r="D1" s="317"/>
      <c r="E1" s="41"/>
    </row>
    <row r="2" spans="1:6">
      <c r="A2" s="318" t="s">
        <v>147</v>
      </c>
      <c r="B2" s="318"/>
      <c r="C2" s="318"/>
      <c r="D2" s="318"/>
      <c r="E2" s="42"/>
    </row>
    <row r="3" spans="1:6">
      <c r="A3" s="1"/>
    </row>
    <row r="4" spans="1:6">
      <c r="A4" s="138" t="s">
        <v>148</v>
      </c>
      <c r="B4" s="138"/>
      <c r="C4" s="319">
        <f>+'Dir info'!C6</f>
        <v>0</v>
      </c>
      <c r="D4" s="319"/>
      <c r="E4" s="44"/>
    </row>
    <row r="5" spans="1:6">
      <c r="A5" s="1"/>
    </row>
    <row r="6" spans="1:6">
      <c r="A6" s="3" t="s">
        <v>149</v>
      </c>
      <c r="B6" s="3"/>
      <c r="C6" s="320" t="str">
        <f>+Control!D3</f>
        <v>AAAMOP ENTERTAINMENT LIMITED</v>
      </c>
      <c r="D6" s="320"/>
      <c r="E6" s="45"/>
    </row>
    <row r="7" spans="1:6">
      <c r="A7" s="3"/>
      <c r="B7" s="3"/>
      <c r="C7" s="321"/>
      <c r="D7" s="321"/>
      <c r="E7" s="45"/>
    </row>
    <row r="8" spans="1:6">
      <c r="A8" s="1"/>
    </row>
    <row r="9" spans="1:6">
      <c r="A9" s="3" t="s">
        <v>150</v>
      </c>
      <c r="B9" s="3"/>
      <c r="C9" s="319" t="s">
        <v>247</v>
      </c>
      <c r="D9" s="319"/>
      <c r="E9" s="44"/>
    </row>
    <row r="10" spans="1:6">
      <c r="A10" s="1"/>
    </row>
    <row r="11" spans="1:6">
      <c r="A11" s="316" t="str">
        <f>+CONCATENATE(F14,Control!E8,F16,'Audit conf. (4)'!F15)</f>
        <v>In the course of our regular examination of the account of the above company for the  ended</v>
      </c>
      <c r="B11" s="316"/>
      <c r="C11" s="316"/>
      <c r="D11" s="316"/>
      <c r="E11" s="46"/>
    </row>
    <row r="12" spans="1:6">
      <c r="A12" s="140">
        <f>+Control!D6</f>
        <v>0</v>
      </c>
      <c r="B12" s="3" t="s">
        <v>151</v>
      </c>
      <c r="C12" s="4"/>
      <c r="D12" s="4"/>
      <c r="E12" s="47"/>
    </row>
    <row r="13" spans="1:6">
      <c r="A13" s="1"/>
    </row>
    <row r="14" spans="1:6">
      <c r="A14" s="1">
        <v>1</v>
      </c>
      <c r="F14" t="s">
        <v>152</v>
      </c>
    </row>
    <row r="15" spans="1:6">
      <c r="A15" s="5"/>
      <c r="B15" s="11"/>
      <c r="C15" s="5"/>
      <c r="D15" s="5" t="s">
        <v>153</v>
      </c>
      <c r="E15" s="48"/>
      <c r="F15" t="s">
        <v>154</v>
      </c>
    </row>
    <row r="16" spans="1:6">
      <c r="A16" s="6"/>
      <c r="B16" s="12" t="s">
        <v>155</v>
      </c>
      <c r="C16" s="6" t="s">
        <v>156</v>
      </c>
      <c r="D16" s="6" t="s">
        <v>157</v>
      </c>
      <c r="E16" s="40"/>
      <c r="F16" s="40" t="s">
        <v>90</v>
      </c>
    </row>
    <row r="17" spans="1:6">
      <c r="A17" s="6" t="s">
        <v>158</v>
      </c>
      <c r="B17" s="13" t="s">
        <v>159</v>
      </c>
      <c r="C17" s="6" t="s">
        <v>160</v>
      </c>
      <c r="D17" s="6" t="s">
        <v>161</v>
      </c>
      <c r="E17" s="48"/>
    </row>
    <row r="18" spans="1:6">
      <c r="A18" s="7"/>
      <c r="B18" s="6" t="s">
        <v>162</v>
      </c>
      <c r="C18" s="19" t="str">
        <f>+IF(C22&gt;=0,F18,F20)</f>
        <v>Due from a director</v>
      </c>
      <c r="D18" s="6" t="s">
        <v>163</v>
      </c>
      <c r="E18" s="48"/>
      <c r="F18" t="s">
        <v>255</v>
      </c>
    </row>
    <row r="19" spans="1:6" ht="6" customHeight="1">
      <c r="A19" s="8"/>
      <c r="B19" s="14"/>
      <c r="C19" s="8"/>
      <c r="D19" s="14"/>
      <c r="E19" s="49"/>
    </row>
    <row r="20" spans="1:6">
      <c r="A20" s="7"/>
      <c r="B20" s="6" t="str">
        <f>+Control!D68</f>
        <v>HK$</v>
      </c>
      <c r="C20" s="16" t="str">
        <f>+Control!D68</f>
        <v>HK$</v>
      </c>
      <c r="D20" s="17"/>
      <c r="E20" s="50"/>
      <c r="F20" t="s">
        <v>256</v>
      </c>
    </row>
    <row r="21" spans="1:6">
      <c r="A21" s="9"/>
      <c r="B21" s="6"/>
      <c r="C21" s="6"/>
      <c r="D21" s="323" t="str">
        <f>+Control!D88</f>
        <v>Unsecured, interest free and repayable on demand</v>
      </c>
      <c r="E21" s="51"/>
    </row>
    <row r="22" spans="1:6">
      <c r="A22" s="7" t="s">
        <v>43</v>
      </c>
      <c r="B22" s="6" t="s">
        <v>164</v>
      </c>
      <c r="C22" s="25">
        <f>+'Dir info'!K6</f>
        <v>0</v>
      </c>
      <c r="D22" s="323"/>
      <c r="E22" s="51"/>
    </row>
    <row r="23" spans="1:6">
      <c r="A23" s="10"/>
      <c r="B23" s="15"/>
      <c r="C23" s="15"/>
      <c r="D23" s="15"/>
      <c r="E23" s="52"/>
    </row>
    <row r="24" spans="1:6">
      <c r="A24" s="1"/>
    </row>
    <row r="25" spans="1:6">
      <c r="A25" s="1">
        <v>2</v>
      </c>
    </row>
    <row r="26" spans="1:6">
      <c r="A26" s="5"/>
      <c r="B26" s="11"/>
      <c r="C26" s="5"/>
      <c r="D26" s="5" t="s">
        <v>153</v>
      </c>
      <c r="E26" s="48"/>
    </row>
    <row r="27" spans="1:6">
      <c r="A27" s="6"/>
      <c r="B27" s="12" t="s">
        <v>155</v>
      </c>
      <c r="C27" s="6" t="s">
        <v>156</v>
      </c>
      <c r="D27" s="6" t="s">
        <v>157</v>
      </c>
      <c r="E27" s="48"/>
    </row>
    <row r="28" spans="1:6">
      <c r="A28" s="6" t="s">
        <v>158</v>
      </c>
      <c r="B28" s="13" t="s">
        <v>159</v>
      </c>
      <c r="C28" s="6" t="s">
        <v>165</v>
      </c>
      <c r="D28" s="6" t="s">
        <v>161</v>
      </c>
      <c r="E28" s="48"/>
    </row>
    <row r="29" spans="1:6">
      <c r="A29" s="7"/>
      <c r="B29" s="6" t="s">
        <v>166</v>
      </c>
      <c r="C29" s="6" t="s">
        <v>167</v>
      </c>
      <c r="D29" s="22" t="s">
        <v>168</v>
      </c>
      <c r="E29" s="53"/>
    </row>
    <row r="30" spans="1:6" ht="5.25" customHeight="1">
      <c r="A30" s="8"/>
      <c r="B30" s="20"/>
      <c r="C30" s="21"/>
      <c r="D30" s="8"/>
      <c r="E30" s="54"/>
    </row>
    <row r="31" spans="1:6">
      <c r="A31" s="7"/>
      <c r="B31" s="6" t="str">
        <f>+Control!D68</f>
        <v>HK$</v>
      </c>
      <c r="C31" s="6" t="str">
        <f>+Control!D68</f>
        <v>HK$</v>
      </c>
      <c r="D31" s="9"/>
      <c r="E31" s="55"/>
    </row>
    <row r="32" spans="1:6">
      <c r="A32" s="7" t="s">
        <v>169</v>
      </c>
      <c r="B32" s="18"/>
      <c r="C32" s="18"/>
      <c r="D32" s="18"/>
      <c r="E32" s="52"/>
    </row>
    <row r="33" spans="1:15">
      <c r="A33" s="7"/>
      <c r="B33" s="18"/>
      <c r="C33" s="18"/>
      <c r="D33" s="18"/>
      <c r="E33" s="52"/>
    </row>
    <row r="34" spans="1:15">
      <c r="A34" s="10"/>
      <c r="B34" s="15"/>
      <c r="C34" s="15"/>
      <c r="D34" s="15"/>
      <c r="E34" s="52"/>
    </row>
    <row r="35" spans="1:15">
      <c r="A35" s="324" t="s">
        <v>170</v>
      </c>
      <c r="B35" s="324"/>
      <c r="C35" s="324"/>
      <c r="D35" s="324"/>
      <c r="E35" s="44"/>
    </row>
    <row r="36" spans="1:15">
      <c r="A36" s="1"/>
    </row>
    <row r="37" spans="1:15">
      <c r="A37" s="316" t="s">
        <v>171</v>
      </c>
      <c r="B37" s="316"/>
      <c r="C37" s="316"/>
      <c r="D37" s="316"/>
      <c r="E37" s="46"/>
    </row>
    <row r="38" spans="1:15">
      <c r="A38" s="322" t="s">
        <v>172</v>
      </c>
      <c r="B38" s="322"/>
      <c r="C38" s="322"/>
      <c r="D38" s="322"/>
      <c r="E38" s="56"/>
    </row>
    <row r="39" spans="1:15" ht="9" customHeight="1">
      <c r="A39" s="138"/>
      <c r="B39" s="138"/>
      <c r="C39" s="138"/>
      <c r="D39" s="138"/>
      <c r="E39" s="56"/>
    </row>
    <row r="40" spans="1:15">
      <c r="A40" s="316" t="s">
        <v>173</v>
      </c>
      <c r="B40" s="316"/>
      <c r="C40" s="316"/>
      <c r="D40" s="316"/>
      <c r="E40" s="46"/>
    </row>
    <row r="41" spans="1:15">
      <c r="A41" s="1" t="s">
        <v>174</v>
      </c>
    </row>
    <row r="42" spans="1:15" ht="9.75" customHeight="1">
      <c r="A42" s="1"/>
    </row>
    <row r="43" spans="1:15">
      <c r="A43" s="1" t="s">
        <v>175</v>
      </c>
    </row>
    <row r="44" spans="1:15">
      <c r="A44" s="1"/>
    </row>
    <row r="45" spans="1:15">
      <c r="A45" s="1"/>
    </row>
    <row r="46" spans="1:15">
      <c r="A46" s="325" t="str">
        <f>+Control!D136</f>
        <v>Eric K.H. Tang</v>
      </c>
      <c r="B46" s="325"/>
      <c r="C46" s="23" t="s">
        <v>176</v>
      </c>
      <c r="D46" s="24"/>
      <c r="E46" s="57"/>
    </row>
    <row r="47" spans="1:15">
      <c r="A47" s="322" t="str">
        <f>+Control!D137</f>
        <v>Certified Public Accountant (Practising)</v>
      </c>
      <c r="B47" s="322"/>
    </row>
    <row r="48" spans="1:15">
      <c r="C48" s="23" t="s">
        <v>140</v>
      </c>
      <c r="D48" s="24"/>
      <c r="E48" s="57"/>
      <c r="N48" s="1" t="s">
        <v>177</v>
      </c>
      <c r="O48" s="2" t="s">
        <v>178</v>
      </c>
    </row>
    <row r="49" spans="1:1">
      <c r="A49" s="139"/>
    </row>
  </sheetData>
  <mergeCells count="13">
    <mergeCell ref="A47:B47"/>
    <mergeCell ref="D21:D22"/>
    <mergeCell ref="A35:D35"/>
    <mergeCell ref="A37:D37"/>
    <mergeCell ref="A38:D38"/>
    <mergeCell ref="A40:D40"/>
    <mergeCell ref="A46:B46"/>
    <mergeCell ref="A11:D11"/>
    <mergeCell ref="A1:D1"/>
    <mergeCell ref="A2:D2"/>
    <mergeCell ref="C4:D4"/>
    <mergeCell ref="C6:D7"/>
    <mergeCell ref="C9:D9"/>
  </mergeCells>
  <phoneticPr fontId="11" type="noConversion"/>
  <pageMargins left="1.1023622047244095" right="0.70866141732283472" top="0.74803149606299213" bottom="0.74803149606299213" header="0.31496062992125984" footer="0.31496062992125984"/>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1"/>
  <dimension ref="A1:O49"/>
  <sheetViews>
    <sheetView topLeftCell="A10" workbookViewId="0">
      <selection activeCell="F6" sqref="F6"/>
    </sheetView>
  </sheetViews>
  <sheetFormatPr defaultRowHeight="15.75"/>
  <cols>
    <col min="1" max="1" width="17.875" customWidth="1"/>
    <col min="2" max="2" width="21.375" customWidth="1"/>
    <col min="3" max="3" width="18.875" customWidth="1"/>
    <col min="4" max="4" width="20.875" customWidth="1"/>
    <col min="5" max="5" width="10.5" style="43" customWidth="1"/>
  </cols>
  <sheetData>
    <row r="1" spans="1:6">
      <c r="A1" s="317" t="s">
        <v>146</v>
      </c>
      <c r="B1" s="317"/>
      <c r="C1" s="317"/>
      <c r="D1" s="317"/>
      <c r="E1" s="41"/>
    </row>
    <row r="2" spans="1:6">
      <c r="A2" s="318" t="s">
        <v>147</v>
      </c>
      <c r="B2" s="318"/>
      <c r="C2" s="318"/>
      <c r="D2" s="318"/>
      <c r="E2" s="42"/>
    </row>
    <row r="3" spans="1:6">
      <c r="A3" s="1"/>
    </row>
    <row r="4" spans="1:6">
      <c r="A4" s="138" t="s">
        <v>148</v>
      </c>
      <c r="B4" s="138"/>
      <c r="C4" s="319">
        <f>+'Dir info'!C7</f>
        <v>0</v>
      </c>
      <c r="D4" s="319"/>
      <c r="E4" s="44"/>
    </row>
    <row r="5" spans="1:6">
      <c r="A5" s="1"/>
    </row>
    <row r="6" spans="1:6">
      <c r="A6" s="3" t="s">
        <v>149</v>
      </c>
      <c r="B6" s="3"/>
      <c r="C6" s="320" t="str">
        <f>+Control!D3</f>
        <v>AAAMOP ENTERTAINMENT LIMITED</v>
      </c>
      <c r="D6" s="320"/>
      <c r="E6" s="45"/>
    </row>
    <row r="7" spans="1:6">
      <c r="A7" s="3"/>
      <c r="B7" s="3"/>
      <c r="C7" s="321"/>
      <c r="D7" s="321"/>
      <c r="E7" s="45"/>
    </row>
    <row r="8" spans="1:6">
      <c r="A8" s="1"/>
    </row>
    <row r="9" spans="1:6">
      <c r="A9" s="3" t="s">
        <v>150</v>
      </c>
      <c r="B9" s="3"/>
      <c r="C9" s="319" t="s">
        <v>247</v>
      </c>
      <c r="D9" s="319"/>
      <c r="E9" s="44"/>
    </row>
    <row r="10" spans="1:6">
      <c r="A10" s="1"/>
    </row>
    <row r="11" spans="1:6">
      <c r="A11" s="316" t="str">
        <f>+CONCATENATE(F14,Control!E8,F16,'Audit conf. (5)'!F15)</f>
        <v>In the course of our regular examination of the account of the above company for the  ended</v>
      </c>
      <c r="B11" s="316"/>
      <c r="C11" s="316"/>
      <c r="D11" s="316"/>
      <c r="E11" s="46"/>
    </row>
    <row r="12" spans="1:6">
      <c r="A12" s="140">
        <f>+Control!D6</f>
        <v>0</v>
      </c>
      <c r="B12" s="3" t="s">
        <v>151</v>
      </c>
      <c r="C12" s="4"/>
      <c r="D12" s="4"/>
      <c r="E12" s="47"/>
    </row>
    <row r="13" spans="1:6">
      <c r="A13" s="1"/>
    </row>
    <row r="14" spans="1:6">
      <c r="A14" s="1">
        <v>1</v>
      </c>
      <c r="F14" t="s">
        <v>152</v>
      </c>
    </row>
    <row r="15" spans="1:6">
      <c r="A15" s="5"/>
      <c r="B15" s="11"/>
      <c r="C15" s="5"/>
      <c r="D15" s="5" t="s">
        <v>153</v>
      </c>
      <c r="E15" s="48"/>
      <c r="F15" t="s">
        <v>154</v>
      </c>
    </row>
    <row r="16" spans="1:6">
      <c r="A16" s="6"/>
      <c r="B16" s="12" t="s">
        <v>155</v>
      </c>
      <c r="C16" s="6" t="s">
        <v>156</v>
      </c>
      <c r="D16" s="6" t="s">
        <v>157</v>
      </c>
      <c r="E16" s="40"/>
      <c r="F16" s="40" t="s">
        <v>90</v>
      </c>
    </row>
    <row r="17" spans="1:6">
      <c r="A17" s="6" t="s">
        <v>158</v>
      </c>
      <c r="B17" s="13" t="s">
        <v>159</v>
      </c>
      <c r="C17" s="6" t="s">
        <v>160</v>
      </c>
      <c r="D17" s="6" t="s">
        <v>161</v>
      </c>
      <c r="E17" s="48"/>
    </row>
    <row r="18" spans="1:6">
      <c r="A18" s="7"/>
      <c r="B18" s="6" t="s">
        <v>162</v>
      </c>
      <c r="C18" s="19" t="str">
        <f>+IF(C22&gt;=0,F18,F20)</f>
        <v>Due from a director</v>
      </c>
      <c r="D18" s="6" t="s">
        <v>163</v>
      </c>
      <c r="E18" s="48"/>
      <c r="F18" t="s">
        <v>255</v>
      </c>
    </row>
    <row r="19" spans="1:6" ht="6" customHeight="1">
      <c r="A19" s="8"/>
      <c r="B19" s="14"/>
      <c r="C19" s="8"/>
      <c r="D19" s="14"/>
      <c r="E19" s="49"/>
    </row>
    <row r="20" spans="1:6">
      <c r="A20" s="7"/>
      <c r="B20" s="6" t="str">
        <f>+Control!D68</f>
        <v>HK$</v>
      </c>
      <c r="C20" s="16" t="str">
        <f>+Control!D68</f>
        <v>HK$</v>
      </c>
      <c r="D20" s="17"/>
      <c r="E20" s="50"/>
      <c r="F20" t="s">
        <v>256</v>
      </c>
    </row>
    <row r="21" spans="1:6">
      <c r="A21" s="9"/>
      <c r="B21" s="6"/>
      <c r="C21" s="6"/>
      <c r="D21" s="323" t="str">
        <f>+Control!D88</f>
        <v>Unsecured, interest free and repayable on demand</v>
      </c>
      <c r="E21" s="51"/>
    </row>
    <row r="22" spans="1:6">
      <c r="A22" s="7" t="s">
        <v>43</v>
      </c>
      <c r="B22" s="6" t="s">
        <v>164</v>
      </c>
      <c r="C22" s="25">
        <f>+'Dir info'!K7</f>
        <v>0</v>
      </c>
      <c r="D22" s="323"/>
      <c r="E22" s="51"/>
    </row>
    <row r="23" spans="1:6">
      <c r="A23" s="10"/>
      <c r="B23" s="15"/>
      <c r="C23" s="15"/>
      <c r="D23" s="15"/>
      <c r="E23" s="52"/>
    </row>
    <row r="24" spans="1:6">
      <c r="A24" s="1"/>
    </row>
    <row r="25" spans="1:6">
      <c r="A25" s="1">
        <v>2</v>
      </c>
    </row>
    <row r="26" spans="1:6">
      <c r="A26" s="5"/>
      <c r="B26" s="11"/>
      <c r="C26" s="5"/>
      <c r="D26" s="5" t="s">
        <v>153</v>
      </c>
      <c r="E26" s="48"/>
    </row>
    <row r="27" spans="1:6">
      <c r="A27" s="6"/>
      <c r="B27" s="12" t="s">
        <v>155</v>
      </c>
      <c r="C27" s="6" t="s">
        <v>156</v>
      </c>
      <c r="D27" s="6" t="s">
        <v>157</v>
      </c>
      <c r="E27" s="48"/>
    </row>
    <row r="28" spans="1:6">
      <c r="A28" s="6" t="s">
        <v>158</v>
      </c>
      <c r="B28" s="13" t="s">
        <v>159</v>
      </c>
      <c r="C28" s="6" t="s">
        <v>165</v>
      </c>
      <c r="D28" s="6" t="s">
        <v>161</v>
      </c>
      <c r="E28" s="48"/>
    </row>
    <row r="29" spans="1:6">
      <c r="A29" s="7"/>
      <c r="B29" s="6" t="s">
        <v>166</v>
      </c>
      <c r="C29" s="6" t="s">
        <v>167</v>
      </c>
      <c r="D29" s="22" t="s">
        <v>168</v>
      </c>
      <c r="E29" s="53"/>
    </row>
    <row r="30" spans="1:6" ht="5.25" customHeight="1">
      <c r="A30" s="8"/>
      <c r="B30" s="20"/>
      <c r="C30" s="21"/>
      <c r="D30" s="8"/>
      <c r="E30" s="54"/>
    </row>
    <row r="31" spans="1:6">
      <c r="A31" s="7"/>
      <c r="B31" s="6" t="str">
        <f>+Control!D68</f>
        <v>HK$</v>
      </c>
      <c r="C31" s="6" t="str">
        <f>+Control!D68</f>
        <v>HK$</v>
      </c>
      <c r="D31" s="9"/>
      <c r="E31" s="55"/>
    </row>
    <row r="32" spans="1:6">
      <c r="A32" s="7" t="s">
        <v>169</v>
      </c>
      <c r="B32" s="18"/>
      <c r="C32" s="18"/>
      <c r="D32" s="18"/>
      <c r="E32" s="52"/>
    </row>
    <row r="33" spans="1:15">
      <c r="A33" s="7"/>
      <c r="B33" s="18"/>
      <c r="C33" s="18"/>
      <c r="D33" s="18"/>
      <c r="E33" s="52"/>
    </row>
    <row r="34" spans="1:15">
      <c r="A34" s="10"/>
      <c r="B34" s="15"/>
      <c r="C34" s="15"/>
      <c r="D34" s="15"/>
      <c r="E34" s="52"/>
    </row>
    <row r="35" spans="1:15">
      <c r="A35" s="324" t="s">
        <v>170</v>
      </c>
      <c r="B35" s="324"/>
      <c r="C35" s="324"/>
      <c r="D35" s="324"/>
      <c r="E35" s="44"/>
    </row>
    <row r="36" spans="1:15">
      <c r="A36" s="1"/>
    </row>
    <row r="37" spans="1:15">
      <c r="A37" s="316" t="s">
        <v>171</v>
      </c>
      <c r="B37" s="316"/>
      <c r="C37" s="316"/>
      <c r="D37" s="316"/>
      <c r="E37" s="46"/>
    </row>
    <row r="38" spans="1:15">
      <c r="A38" s="322" t="s">
        <v>172</v>
      </c>
      <c r="B38" s="322"/>
      <c r="C38" s="322"/>
      <c r="D38" s="322"/>
      <c r="E38" s="56"/>
    </row>
    <row r="39" spans="1:15" ht="9" customHeight="1">
      <c r="A39" s="138"/>
      <c r="B39" s="138"/>
      <c r="C39" s="138"/>
      <c r="D39" s="138"/>
      <c r="E39" s="56"/>
    </row>
    <row r="40" spans="1:15">
      <c r="A40" s="316" t="s">
        <v>173</v>
      </c>
      <c r="B40" s="316"/>
      <c r="C40" s="316"/>
      <c r="D40" s="316"/>
      <c r="E40" s="46"/>
    </row>
    <row r="41" spans="1:15">
      <c r="A41" s="1" t="s">
        <v>174</v>
      </c>
    </row>
    <row r="42" spans="1:15" ht="9.75" customHeight="1">
      <c r="A42" s="1"/>
    </row>
    <row r="43" spans="1:15">
      <c r="A43" s="1" t="s">
        <v>175</v>
      </c>
    </row>
    <row r="44" spans="1:15">
      <c r="A44" s="1"/>
    </row>
    <row r="45" spans="1:15">
      <c r="A45" s="1"/>
    </row>
    <row r="46" spans="1:15">
      <c r="A46" s="325" t="str">
        <f>+Control!D136</f>
        <v>Eric K.H. Tang</v>
      </c>
      <c r="B46" s="325"/>
      <c r="C46" s="23" t="s">
        <v>176</v>
      </c>
      <c r="D46" s="24"/>
      <c r="E46" s="57"/>
    </row>
    <row r="47" spans="1:15">
      <c r="A47" s="322" t="str">
        <f>+Control!D137</f>
        <v>Certified Public Accountant (Practising)</v>
      </c>
      <c r="B47" s="322"/>
    </row>
    <row r="48" spans="1:15">
      <c r="C48" s="23" t="s">
        <v>140</v>
      </c>
      <c r="D48" s="24"/>
      <c r="E48" s="57"/>
      <c r="N48" s="1" t="s">
        <v>177</v>
      </c>
      <c r="O48" s="2" t="s">
        <v>178</v>
      </c>
    </row>
    <row r="49" spans="1:1">
      <c r="A49" s="139"/>
    </row>
  </sheetData>
  <mergeCells count="13">
    <mergeCell ref="A47:B47"/>
    <mergeCell ref="D21:D22"/>
    <mergeCell ref="A35:D35"/>
    <mergeCell ref="A37:D37"/>
    <mergeCell ref="A38:D38"/>
    <mergeCell ref="A40:D40"/>
    <mergeCell ref="A46:B46"/>
    <mergeCell ref="A11:D11"/>
    <mergeCell ref="A1:D1"/>
    <mergeCell ref="A2:D2"/>
    <mergeCell ref="C4:D4"/>
    <mergeCell ref="C6:D7"/>
    <mergeCell ref="C9:D9"/>
  </mergeCells>
  <phoneticPr fontId="11" type="noConversion"/>
  <pageMargins left="1.1023622047244095" right="0.70866141732283472" top="0.74803149606299213" bottom="0.74803149606299213" header="0.31496062992125984" footer="0.31496062992125984"/>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2"/>
  <dimension ref="A1:O49"/>
  <sheetViews>
    <sheetView topLeftCell="A7" workbookViewId="0">
      <selection activeCell="F6" sqref="F6"/>
    </sheetView>
  </sheetViews>
  <sheetFormatPr defaultRowHeight="15.75"/>
  <cols>
    <col min="1" max="1" width="17.875" customWidth="1"/>
    <col min="2" max="2" width="21.375" customWidth="1"/>
    <col min="3" max="3" width="18.875" customWidth="1"/>
    <col min="4" max="4" width="20.875" customWidth="1"/>
    <col min="5" max="5" width="10.5" style="43" customWidth="1"/>
  </cols>
  <sheetData>
    <row r="1" spans="1:6">
      <c r="A1" s="317" t="s">
        <v>146</v>
      </c>
      <c r="B1" s="317"/>
      <c r="C1" s="317"/>
      <c r="D1" s="317"/>
      <c r="E1" s="41"/>
    </row>
    <row r="2" spans="1:6">
      <c r="A2" s="318" t="s">
        <v>147</v>
      </c>
      <c r="B2" s="318"/>
      <c r="C2" s="318"/>
      <c r="D2" s="318"/>
      <c r="E2" s="42"/>
    </row>
    <row r="3" spans="1:6">
      <c r="A3" s="1"/>
    </row>
    <row r="4" spans="1:6">
      <c r="A4" s="138" t="s">
        <v>148</v>
      </c>
      <c r="B4" s="138"/>
      <c r="C4" s="319">
        <f>+'Dir info'!C8</f>
        <v>0</v>
      </c>
      <c r="D4" s="319"/>
      <c r="E4" s="44"/>
    </row>
    <row r="5" spans="1:6">
      <c r="A5" s="1"/>
    </row>
    <row r="6" spans="1:6">
      <c r="A6" s="3" t="s">
        <v>149</v>
      </c>
      <c r="B6" s="3"/>
      <c r="C6" s="320" t="str">
        <f>+Control!D3</f>
        <v>AAAMOP ENTERTAINMENT LIMITED</v>
      </c>
      <c r="D6" s="320"/>
      <c r="E6" s="45"/>
    </row>
    <row r="7" spans="1:6">
      <c r="A7" s="3"/>
      <c r="B7" s="3"/>
      <c r="C7" s="321"/>
      <c r="D7" s="321"/>
      <c r="E7" s="45"/>
    </row>
    <row r="8" spans="1:6">
      <c r="A8" s="1"/>
    </row>
    <row r="9" spans="1:6">
      <c r="A9" s="3" t="s">
        <v>150</v>
      </c>
      <c r="B9" s="3"/>
      <c r="C9" s="319" t="s">
        <v>247</v>
      </c>
      <c r="D9" s="319"/>
      <c r="E9" s="44"/>
    </row>
    <row r="10" spans="1:6">
      <c r="A10" s="1"/>
    </row>
    <row r="11" spans="1:6">
      <c r="A11" s="316" t="str">
        <f>+CONCATENATE(F14,Control!E8,F16,'Audit conf. (6)'!F15)</f>
        <v>In the course of our regular examination of the account of the above company for the  ended</v>
      </c>
      <c r="B11" s="316"/>
      <c r="C11" s="316"/>
      <c r="D11" s="316"/>
      <c r="E11" s="46"/>
    </row>
    <row r="12" spans="1:6">
      <c r="A12" s="140">
        <f>+Control!D6</f>
        <v>0</v>
      </c>
      <c r="B12" s="3" t="s">
        <v>151</v>
      </c>
      <c r="C12" s="4"/>
      <c r="D12" s="4"/>
      <c r="E12" s="47"/>
    </row>
    <row r="13" spans="1:6">
      <c r="A13" s="1"/>
    </row>
    <row r="14" spans="1:6">
      <c r="A14" s="1">
        <v>1</v>
      </c>
      <c r="F14" t="s">
        <v>152</v>
      </c>
    </row>
    <row r="15" spans="1:6">
      <c r="A15" s="5"/>
      <c r="B15" s="11"/>
      <c r="C15" s="5"/>
      <c r="D15" s="5" t="s">
        <v>153</v>
      </c>
      <c r="E15" s="48"/>
      <c r="F15" t="s">
        <v>154</v>
      </c>
    </row>
    <row r="16" spans="1:6">
      <c r="A16" s="6"/>
      <c r="B16" s="12" t="s">
        <v>155</v>
      </c>
      <c r="C16" s="6" t="s">
        <v>156</v>
      </c>
      <c r="D16" s="6" t="s">
        <v>157</v>
      </c>
      <c r="E16" s="40"/>
      <c r="F16" s="40" t="s">
        <v>90</v>
      </c>
    </row>
    <row r="17" spans="1:6">
      <c r="A17" s="6" t="s">
        <v>158</v>
      </c>
      <c r="B17" s="13" t="s">
        <v>159</v>
      </c>
      <c r="C17" s="6" t="s">
        <v>160</v>
      </c>
      <c r="D17" s="6" t="s">
        <v>161</v>
      </c>
      <c r="E17" s="48"/>
    </row>
    <row r="18" spans="1:6">
      <c r="A18" s="7"/>
      <c r="B18" s="6" t="s">
        <v>162</v>
      </c>
      <c r="C18" s="19" t="str">
        <f>+IF(C22&gt;=0,F18,F20)</f>
        <v>Due from a director</v>
      </c>
      <c r="D18" s="6" t="s">
        <v>163</v>
      </c>
      <c r="E18" s="48"/>
      <c r="F18" t="s">
        <v>255</v>
      </c>
    </row>
    <row r="19" spans="1:6" ht="6" customHeight="1">
      <c r="A19" s="8"/>
      <c r="B19" s="14"/>
      <c r="C19" s="8"/>
      <c r="D19" s="14"/>
      <c r="E19" s="49"/>
    </row>
    <row r="20" spans="1:6">
      <c r="A20" s="7"/>
      <c r="B20" s="6" t="str">
        <f>+Control!D68</f>
        <v>HK$</v>
      </c>
      <c r="C20" s="16" t="str">
        <f>+Control!D68</f>
        <v>HK$</v>
      </c>
      <c r="D20" s="17"/>
      <c r="E20" s="50"/>
      <c r="F20" t="s">
        <v>256</v>
      </c>
    </row>
    <row r="21" spans="1:6">
      <c r="A21" s="9"/>
      <c r="B21" s="6"/>
      <c r="C21" s="6"/>
      <c r="D21" s="323" t="str">
        <f>+Control!D88</f>
        <v>Unsecured, interest free and repayable on demand</v>
      </c>
      <c r="E21" s="51"/>
    </row>
    <row r="22" spans="1:6">
      <c r="A22" s="7" t="s">
        <v>43</v>
      </c>
      <c r="B22" s="6" t="s">
        <v>164</v>
      </c>
      <c r="C22" s="25">
        <f>+'Dir info'!K8</f>
        <v>0</v>
      </c>
      <c r="D22" s="323"/>
      <c r="E22" s="51"/>
    </row>
    <row r="23" spans="1:6">
      <c r="A23" s="10"/>
      <c r="B23" s="15"/>
      <c r="C23" s="15"/>
      <c r="D23" s="15"/>
      <c r="E23" s="52"/>
    </row>
    <row r="24" spans="1:6">
      <c r="A24" s="1"/>
    </row>
    <row r="25" spans="1:6">
      <c r="A25" s="1">
        <v>2</v>
      </c>
    </row>
    <row r="26" spans="1:6">
      <c r="A26" s="5"/>
      <c r="B26" s="11"/>
      <c r="C26" s="5"/>
      <c r="D26" s="5" t="s">
        <v>153</v>
      </c>
      <c r="E26" s="48"/>
    </row>
    <row r="27" spans="1:6">
      <c r="A27" s="6"/>
      <c r="B27" s="12" t="s">
        <v>155</v>
      </c>
      <c r="C27" s="6" t="s">
        <v>156</v>
      </c>
      <c r="D27" s="6" t="s">
        <v>157</v>
      </c>
      <c r="E27" s="48"/>
    </row>
    <row r="28" spans="1:6">
      <c r="A28" s="6" t="s">
        <v>158</v>
      </c>
      <c r="B28" s="13" t="s">
        <v>159</v>
      </c>
      <c r="C28" s="6" t="s">
        <v>165</v>
      </c>
      <c r="D28" s="6" t="s">
        <v>161</v>
      </c>
      <c r="E28" s="48"/>
    </row>
    <row r="29" spans="1:6">
      <c r="A29" s="7"/>
      <c r="B29" s="6" t="s">
        <v>166</v>
      </c>
      <c r="C29" s="6" t="s">
        <v>167</v>
      </c>
      <c r="D29" s="22" t="s">
        <v>168</v>
      </c>
      <c r="E29" s="53"/>
    </row>
    <row r="30" spans="1:6" ht="5.25" customHeight="1">
      <c r="A30" s="8"/>
      <c r="B30" s="20"/>
      <c r="C30" s="21"/>
      <c r="D30" s="8"/>
      <c r="E30" s="54"/>
    </row>
    <row r="31" spans="1:6">
      <c r="A31" s="7"/>
      <c r="B31" s="6" t="str">
        <f>+Control!D68</f>
        <v>HK$</v>
      </c>
      <c r="C31" s="6" t="str">
        <f>+Control!D68</f>
        <v>HK$</v>
      </c>
      <c r="D31" s="9"/>
      <c r="E31" s="55"/>
    </row>
    <row r="32" spans="1:6">
      <c r="A32" s="7" t="s">
        <v>169</v>
      </c>
      <c r="B32" s="18"/>
      <c r="C32" s="18"/>
      <c r="D32" s="18"/>
      <c r="E32" s="52"/>
    </row>
    <row r="33" spans="1:15">
      <c r="A33" s="7"/>
      <c r="B33" s="18"/>
      <c r="C33" s="18"/>
      <c r="D33" s="18"/>
      <c r="E33" s="52"/>
    </row>
    <row r="34" spans="1:15">
      <c r="A34" s="10"/>
      <c r="B34" s="15"/>
      <c r="C34" s="15"/>
      <c r="D34" s="15"/>
      <c r="E34" s="52"/>
    </row>
    <row r="35" spans="1:15">
      <c r="A35" s="324" t="s">
        <v>170</v>
      </c>
      <c r="B35" s="324"/>
      <c r="C35" s="324"/>
      <c r="D35" s="324"/>
      <c r="E35" s="44"/>
    </row>
    <row r="36" spans="1:15">
      <c r="A36" s="1"/>
    </row>
    <row r="37" spans="1:15">
      <c r="A37" s="316" t="s">
        <v>171</v>
      </c>
      <c r="B37" s="316"/>
      <c r="C37" s="316"/>
      <c r="D37" s="316"/>
      <c r="E37" s="46"/>
    </row>
    <row r="38" spans="1:15">
      <c r="A38" s="322" t="s">
        <v>172</v>
      </c>
      <c r="B38" s="322"/>
      <c r="C38" s="322"/>
      <c r="D38" s="322"/>
      <c r="E38" s="56"/>
    </row>
    <row r="39" spans="1:15" ht="9" customHeight="1">
      <c r="A39" s="138"/>
      <c r="B39" s="138"/>
      <c r="C39" s="138"/>
      <c r="D39" s="138"/>
      <c r="E39" s="56"/>
    </row>
    <row r="40" spans="1:15">
      <c r="A40" s="316" t="s">
        <v>173</v>
      </c>
      <c r="B40" s="316"/>
      <c r="C40" s="316"/>
      <c r="D40" s="316"/>
      <c r="E40" s="46"/>
    </row>
    <row r="41" spans="1:15">
      <c r="A41" s="1" t="s">
        <v>174</v>
      </c>
    </row>
    <row r="42" spans="1:15" ht="9.75" customHeight="1">
      <c r="A42" s="1"/>
    </row>
    <row r="43" spans="1:15">
      <c r="A43" s="1" t="s">
        <v>175</v>
      </c>
    </row>
    <row r="44" spans="1:15">
      <c r="A44" s="1"/>
    </row>
    <row r="45" spans="1:15">
      <c r="A45" s="1"/>
    </row>
    <row r="46" spans="1:15">
      <c r="A46" s="325" t="str">
        <f>+Control!D136</f>
        <v>Eric K.H. Tang</v>
      </c>
      <c r="B46" s="325"/>
      <c r="C46" s="23" t="s">
        <v>176</v>
      </c>
      <c r="D46" s="24"/>
      <c r="E46" s="57"/>
    </row>
    <row r="47" spans="1:15">
      <c r="A47" s="322" t="str">
        <f>+Control!D137</f>
        <v>Certified Public Accountant (Practising)</v>
      </c>
      <c r="B47" s="322"/>
    </row>
    <row r="48" spans="1:15">
      <c r="C48" s="23" t="s">
        <v>140</v>
      </c>
      <c r="D48" s="24"/>
      <c r="E48" s="57"/>
      <c r="N48" s="1" t="s">
        <v>177</v>
      </c>
      <c r="O48" s="2" t="s">
        <v>178</v>
      </c>
    </row>
    <row r="49" spans="1:1">
      <c r="A49" s="139"/>
    </row>
  </sheetData>
  <mergeCells count="13">
    <mergeCell ref="A47:B47"/>
    <mergeCell ref="D21:D22"/>
    <mergeCell ref="A35:D35"/>
    <mergeCell ref="A37:D37"/>
    <mergeCell ref="A38:D38"/>
    <mergeCell ref="A40:D40"/>
    <mergeCell ref="A46:B46"/>
    <mergeCell ref="A11:D11"/>
    <mergeCell ref="A1:D1"/>
    <mergeCell ref="A2:D2"/>
    <mergeCell ref="C4:D4"/>
    <mergeCell ref="C6:D7"/>
    <mergeCell ref="C9:D9"/>
  </mergeCells>
  <phoneticPr fontId="11" type="noConversion"/>
  <pageMargins left="1.1023622047244095" right="0.70866141732283472" top="0.74803149606299213" bottom="0.74803149606299213" header="0.31496062992125984" footer="0.31496062992125984"/>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5">
    <pageSetUpPr fitToPage="1"/>
  </sheetPr>
  <dimension ref="A1:G27"/>
  <sheetViews>
    <sheetView workbookViewId="0">
      <selection activeCell="B15" sqref="B15"/>
    </sheetView>
  </sheetViews>
  <sheetFormatPr defaultRowHeight="15.75"/>
  <cols>
    <col min="1" max="1" width="22.875" style="58" customWidth="1"/>
    <col min="2" max="2" width="45.5" style="58" customWidth="1"/>
    <col min="3" max="3" width="12.5" style="58" bestFit="1" customWidth="1"/>
    <col min="4" max="4" width="13.625" style="65" bestFit="1" customWidth="1"/>
    <col min="5" max="5" width="9" style="58"/>
    <col min="6" max="6" width="10.5" style="58" bestFit="1" customWidth="1"/>
    <col min="7" max="256" width="9" style="58"/>
    <col min="257" max="257" width="22.875" style="58" customWidth="1"/>
    <col min="258" max="258" width="45.5" style="58" customWidth="1"/>
    <col min="259" max="259" width="12.5" style="58" bestFit="1" customWidth="1"/>
    <col min="260" max="260" width="13.625" style="58" bestFit="1" customWidth="1"/>
    <col min="261" max="512" width="9" style="58"/>
    <col min="513" max="513" width="22.875" style="58" customWidth="1"/>
    <col min="514" max="514" width="45.5" style="58" customWidth="1"/>
    <col min="515" max="515" width="12.5" style="58" bestFit="1" customWidth="1"/>
    <col min="516" max="516" width="13.625" style="58" bestFit="1" customWidth="1"/>
    <col min="517" max="768" width="9" style="58"/>
    <col min="769" max="769" width="22.875" style="58" customWidth="1"/>
    <col min="770" max="770" width="45.5" style="58" customWidth="1"/>
    <col min="771" max="771" width="12.5" style="58" bestFit="1" customWidth="1"/>
    <col min="772" max="772" width="13.625" style="58" bestFit="1" customWidth="1"/>
    <col min="773" max="1024" width="9" style="58"/>
    <col min="1025" max="1025" width="22.875" style="58" customWidth="1"/>
    <col min="1026" max="1026" width="45.5" style="58" customWidth="1"/>
    <col min="1027" max="1027" width="12.5" style="58" bestFit="1" customWidth="1"/>
    <col min="1028" max="1028" width="13.625" style="58" bestFit="1" customWidth="1"/>
    <col min="1029" max="1280" width="9" style="58"/>
    <col min="1281" max="1281" width="22.875" style="58" customWidth="1"/>
    <col min="1282" max="1282" width="45.5" style="58" customWidth="1"/>
    <col min="1283" max="1283" width="12.5" style="58" bestFit="1" customWidth="1"/>
    <col min="1284" max="1284" width="13.625" style="58" bestFit="1" customWidth="1"/>
    <col min="1285" max="1536" width="9" style="58"/>
    <col min="1537" max="1537" width="22.875" style="58" customWidth="1"/>
    <col min="1538" max="1538" width="45.5" style="58" customWidth="1"/>
    <col min="1539" max="1539" width="12.5" style="58" bestFit="1" customWidth="1"/>
    <col min="1540" max="1540" width="13.625" style="58" bestFit="1" customWidth="1"/>
    <col min="1541" max="1792" width="9" style="58"/>
    <col min="1793" max="1793" width="22.875" style="58" customWidth="1"/>
    <col min="1794" max="1794" width="45.5" style="58" customWidth="1"/>
    <col min="1795" max="1795" width="12.5" style="58" bestFit="1" customWidth="1"/>
    <col min="1796" max="1796" width="13.625" style="58" bestFit="1" customWidth="1"/>
    <col min="1797" max="2048" width="9" style="58"/>
    <col min="2049" max="2049" width="22.875" style="58" customWidth="1"/>
    <col min="2050" max="2050" width="45.5" style="58" customWidth="1"/>
    <col min="2051" max="2051" width="12.5" style="58" bestFit="1" customWidth="1"/>
    <col min="2052" max="2052" width="13.625" style="58" bestFit="1" customWidth="1"/>
    <col min="2053" max="2304" width="9" style="58"/>
    <col min="2305" max="2305" width="22.875" style="58" customWidth="1"/>
    <col min="2306" max="2306" width="45.5" style="58" customWidth="1"/>
    <col min="2307" max="2307" width="12.5" style="58" bestFit="1" customWidth="1"/>
    <col min="2308" max="2308" width="13.625" style="58" bestFit="1" customWidth="1"/>
    <col min="2309" max="2560" width="9" style="58"/>
    <col min="2561" max="2561" width="22.875" style="58" customWidth="1"/>
    <col min="2562" max="2562" width="45.5" style="58" customWidth="1"/>
    <col min="2563" max="2563" width="12.5" style="58" bestFit="1" customWidth="1"/>
    <col min="2564" max="2564" width="13.625" style="58" bestFit="1" customWidth="1"/>
    <col min="2565" max="2816" width="9" style="58"/>
    <col min="2817" max="2817" width="22.875" style="58" customWidth="1"/>
    <col min="2818" max="2818" width="45.5" style="58" customWidth="1"/>
    <col min="2819" max="2819" width="12.5" style="58" bestFit="1" customWidth="1"/>
    <col min="2820" max="2820" width="13.625" style="58" bestFit="1" customWidth="1"/>
    <col min="2821" max="3072" width="9" style="58"/>
    <col min="3073" max="3073" width="22.875" style="58" customWidth="1"/>
    <col min="3074" max="3074" width="45.5" style="58" customWidth="1"/>
    <col min="3075" max="3075" width="12.5" style="58" bestFit="1" customWidth="1"/>
    <col min="3076" max="3076" width="13.625" style="58" bestFit="1" customWidth="1"/>
    <col min="3077" max="3328" width="9" style="58"/>
    <col min="3329" max="3329" width="22.875" style="58" customWidth="1"/>
    <col min="3330" max="3330" width="45.5" style="58" customWidth="1"/>
    <col min="3331" max="3331" width="12.5" style="58" bestFit="1" customWidth="1"/>
    <col min="3332" max="3332" width="13.625" style="58" bestFit="1" customWidth="1"/>
    <col min="3333" max="3584" width="9" style="58"/>
    <col min="3585" max="3585" width="22.875" style="58" customWidth="1"/>
    <col min="3586" max="3586" width="45.5" style="58" customWidth="1"/>
    <col min="3587" max="3587" width="12.5" style="58" bestFit="1" customWidth="1"/>
    <col min="3588" max="3588" width="13.625" style="58" bestFit="1" customWidth="1"/>
    <col min="3589" max="3840" width="9" style="58"/>
    <col min="3841" max="3841" width="22.875" style="58" customWidth="1"/>
    <col min="3842" max="3842" width="45.5" style="58" customWidth="1"/>
    <col min="3843" max="3843" width="12.5" style="58" bestFit="1" customWidth="1"/>
    <col min="3844" max="3844" width="13.625" style="58" bestFit="1" customWidth="1"/>
    <col min="3845" max="4096" width="9" style="58"/>
    <col min="4097" max="4097" width="22.875" style="58" customWidth="1"/>
    <col min="4098" max="4098" width="45.5" style="58" customWidth="1"/>
    <col min="4099" max="4099" width="12.5" style="58" bestFit="1" customWidth="1"/>
    <col min="4100" max="4100" width="13.625" style="58" bestFit="1" customWidth="1"/>
    <col min="4101" max="4352" width="9" style="58"/>
    <col min="4353" max="4353" width="22.875" style="58" customWidth="1"/>
    <col min="4354" max="4354" width="45.5" style="58" customWidth="1"/>
    <col min="4355" max="4355" width="12.5" style="58" bestFit="1" customWidth="1"/>
    <col min="4356" max="4356" width="13.625" style="58" bestFit="1" customWidth="1"/>
    <col min="4357" max="4608" width="9" style="58"/>
    <col min="4609" max="4609" width="22.875" style="58" customWidth="1"/>
    <col min="4610" max="4610" width="45.5" style="58" customWidth="1"/>
    <col min="4611" max="4611" width="12.5" style="58" bestFit="1" customWidth="1"/>
    <col min="4612" max="4612" width="13.625" style="58" bestFit="1" customWidth="1"/>
    <col min="4613" max="4864" width="9" style="58"/>
    <col min="4865" max="4865" width="22.875" style="58" customWidth="1"/>
    <col min="4866" max="4866" width="45.5" style="58" customWidth="1"/>
    <col min="4867" max="4867" width="12.5" style="58" bestFit="1" customWidth="1"/>
    <col min="4868" max="4868" width="13.625" style="58" bestFit="1" customWidth="1"/>
    <col min="4869" max="5120" width="9" style="58"/>
    <col min="5121" max="5121" width="22.875" style="58" customWidth="1"/>
    <col min="5122" max="5122" width="45.5" style="58" customWidth="1"/>
    <col min="5123" max="5123" width="12.5" style="58" bestFit="1" customWidth="1"/>
    <col min="5124" max="5124" width="13.625" style="58" bestFit="1" customWidth="1"/>
    <col min="5125" max="5376" width="9" style="58"/>
    <col min="5377" max="5377" width="22.875" style="58" customWidth="1"/>
    <col min="5378" max="5378" width="45.5" style="58" customWidth="1"/>
    <col min="5379" max="5379" width="12.5" style="58" bestFit="1" customWidth="1"/>
    <col min="5380" max="5380" width="13.625" style="58" bestFit="1" customWidth="1"/>
    <col min="5381" max="5632" width="9" style="58"/>
    <col min="5633" max="5633" width="22.875" style="58" customWidth="1"/>
    <col min="5634" max="5634" width="45.5" style="58" customWidth="1"/>
    <col min="5635" max="5635" width="12.5" style="58" bestFit="1" customWidth="1"/>
    <col min="5636" max="5636" width="13.625" style="58" bestFit="1" customWidth="1"/>
    <col min="5637" max="5888" width="9" style="58"/>
    <col min="5889" max="5889" width="22.875" style="58" customWidth="1"/>
    <col min="5890" max="5890" width="45.5" style="58" customWidth="1"/>
    <col min="5891" max="5891" width="12.5" style="58" bestFit="1" customWidth="1"/>
    <col min="5892" max="5892" width="13.625" style="58" bestFit="1" customWidth="1"/>
    <col min="5893" max="6144" width="9" style="58"/>
    <col min="6145" max="6145" width="22.875" style="58" customWidth="1"/>
    <col min="6146" max="6146" width="45.5" style="58" customWidth="1"/>
    <col min="6147" max="6147" width="12.5" style="58" bestFit="1" customWidth="1"/>
    <col min="6148" max="6148" width="13.625" style="58" bestFit="1" customWidth="1"/>
    <col min="6149" max="6400" width="9" style="58"/>
    <col min="6401" max="6401" width="22.875" style="58" customWidth="1"/>
    <col min="6402" max="6402" width="45.5" style="58" customWidth="1"/>
    <col min="6403" max="6403" width="12.5" style="58" bestFit="1" customWidth="1"/>
    <col min="6404" max="6404" width="13.625" style="58" bestFit="1" customWidth="1"/>
    <col min="6405" max="6656" width="9" style="58"/>
    <col min="6657" max="6657" width="22.875" style="58" customWidth="1"/>
    <col min="6658" max="6658" width="45.5" style="58" customWidth="1"/>
    <col min="6659" max="6659" width="12.5" style="58" bestFit="1" customWidth="1"/>
    <col min="6660" max="6660" width="13.625" style="58" bestFit="1" customWidth="1"/>
    <col min="6661" max="6912" width="9" style="58"/>
    <col min="6913" max="6913" width="22.875" style="58" customWidth="1"/>
    <col min="6914" max="6914" width="45.5" style="58" customWidth="1"/>
    <col min="6915" max="6915" width="12.5" style="58" bestFit="1" customWidth="1"/>
    <col min="6916" max="6916" width="13.625" style="58" bestFit="1" customWidth="1"/>
    <col min="6917" max="7168" width="9" style="58"/>
    <col min="7169" max="7169" width="22.875" style="58" customWidth="1"/>
    <col min="7170" max="7170" width="45.5" style="58" customWidth="1"/>
    <col min="7171" max="7171" width="12.5" style="58" bestFit="1" customWidth="1"/>
    <col min="7172" max="7172" width="13.625" style="58" bestFit="1" customWidth="1"/>
    <col min="7173" max="7424" width="9" style="58"/>
    <col min="7425" max="7425" width="22.875" style="58" customWidth="1"/>
    <col min="7426" max="7426" width="45.5" style="58" customWidth="1"/>
    <col min="7427" max="7427" width="12.5" style="58" bestFit="1" customWidth="1"/>
    <col min="7428" max="7428" width="13.625" style="58" bestFit="1" customWidth="1"/>
    <col min="7429" max="7680" width="9" style="58"/>
    <col min="7681" max="7681" width="22.875" style="58" customWidth="1"/>
    <col min="7682" max="7682" width="45.5" style="58" customWidth="1"/>
    <col min="7683" max="7683" width="12.5" style="58" bestFit="1" customWidth="1"/>
    <col min="7684" max="7684" width="13.625" style="58" bestFit="1" customWidth="1"/>
    <col min="7685" max="7936" width="9" style="58"/>
    <col min="7937" max="7937" width="22.875" style="58" customWidth="1"/>
    <col min="7938" max="7938" width="45.5" style="58" customWidth="1"/>
    <col min="7939" max="7939" width="12.5" style="58" bestFit="1" customWidth="1"/>
    <col min="7940" max="7940" width="13.625" style="58" bestFit="1" customWidth="1"/>
    <col min="7941" max="8192" width="9" style="58"/>
    <col min="8193" max="8193" width="22.875" style="58" customWidth="1"/>
    <col min="8194" max="8194" width="45.5" style="58" customWidth="1"/>
    <col min="8195" max="8195" width="12.5" style="58" bestFit="1" customWidth="1"/>
    <col min="8196" max="8196" width="13.625" style="58" bestFit="1" customWidth="1"/>
    <col min="8197" max="8448" width="9" style="58"/>
    <col min="8449" max="8449" width="22.875" style="58" customWidth="1"/>
    <col min="8450" max="8450" width="45.5" style="58" customWidth="1"/>
    <col min="8451" max="8451" width="12.5" style="58" bestFit="1" customWidth="1"/>
    <col min="8452" max="8452" width="13.625" style="58" bestFit="1" customWidth="1"/>
    <col min="8453" max="8704" width="9" style="58"/>
    <col min="8705" max="8705" width="22.875" style="58" customWidth="1"/>
    <col min="8706" max="8706" width="45.5" style="58" customWidth="1"/>
    <col min="8707" max="8707" width="12.5" style="58" bestFit="1" customWidth="1"/>
    <col min="8708" max="8708" width="13.625" style="58" bestFit="1" customWidth="1"/>
    <col min="8709" max="8960" width="9" style="58"/>
    <col min="8961" max="8961" width="22.875" style="58" customWidth="1"/>
    <col min="8962" max="8962" width="45.5" style="58" customWidth="1"/>
    <col min="8963" max="8963" width="12.5" style="58" bestFit="1" customWidth="1"/>
    <col min="8964" max="8964" width="13.625" style="58" bestFit="1" customWidth="1"/>
    <col min="8965" max="9216" width="9" style="58"/>
    <col min="9217" max="9217" width="22.875" style="58" customWidth="1"/>
    <col min="9218" max="9218" width="45.5" style="58" customWidth="1"/>
    <col min="9219" max="9219" width="12.5" style="58" bestFit="1" customWidth="1"/>
    <col min="9220" max="9220" width="13.625" style="58" bestFit="1" customWidth="1"/>
    <col min="9221" max="9472" width="9" style="58"/>
    <col min="9473" max="9473" width="22.875" style="58" customWidth="1"/>
    <col min="9474" max="9474" width="45.5" style="58" customWidth="1"/>
    <col min="9475" max="9475" width="12.5" style="58" bestFit="1" customWidth="1"/>
    <col min="9476" max="9476" width="13.625" style="58" bestFit="1" customWidth="1"/>
    <col min="9477" max="9728" width="9" style="58"/>
    <col min="9729" max="9729" width="22.875" style="58" customWidth="1"/>
    <col min="9730" max="9730" width="45.5" style="58" customWidth="1"/>
    <col min="9731" max="9731" width="12.5" style="58" bestFit="1" customWidth="1"/>
    <col min="9732" max="9732" width="13.625" style="58" bestFit="1" customWidth="1"/>
    <col min="9733" max="9984" width="9" style="58"/>
    <col min="9985" max="9985" width="22.875" style="58" customWidth="1"/>
    <col min="9986" max="9986" width="45.5" style="58" customWidth="1"/>
    <col min="9987" max="9987" width="12.5" style="58" bestFit="1" customWidth="1"/>
    <col min="9988" max="9988" width="13.625" style="58" bestFit="1" customWidth="1"/>
    <col min="9989" max="10240" width="9" style="58"/>
    <col min="10241" max="10241" width="22.875" style="58" customWidth="1"/>
    <col min="10242" max="10242" width="45.5" style="58" customWidth="1"/>
    <col min="10243" max="10243" width="12.5" style="58" bestFit="1" customWidth="1"/>
    <col min="10244" max="10244" width="13.625" style="58" bestFit="1" customWidth="1"/>
    <col min="10245" max="10496" width="9" style="58"/>
    <col min="10497" max="10497" width="22.875" style="58" customWidth="1"/>
    <col min="10498" max="10498" width="45.5" style="58" customWidth="1"/>
    <col min="10499" max="10499" width="12.5" style="58" bestFit="1" customWidth="1"/>
    <col min="10500" max="10500" width="13.625" style="58" bestFit="1" customWidth="1"/>
    <col min="10501" max="10752" width="9" style="58"/>
    <col min="10753" max="10753" width="22.875" style="58" customWidth="1"/>
    <col min="10754" max="10754" width="45.5" style="58" customWidth="1"/>
    <col min="10755" max="10755" width="12.5" style="58" bestFit="1" customWidth="1"/>
    <col min="10756" max="10756" width="13.625" style="58" bestFit="1" customWidth="1"/>
    <col min="10757" max="11008" width="9" style="58"/>
    <col min="11009" max="11009" width="22.875" style="58" customWidth="1"/>
    <col min="11010" max="11010" width="45.5" style="58" customWidth="1"/>
    <col min="11011" max="11011" width="12.5" style="58" bestFit="1" customWidth="1"/>
    <col min="11012" max="11012" width="13.625" style="58" bestFit="1" customWidth="1"/>
    <col min="11013" max="11264" width="9" style="58"/>
    <col min="11265" max="11265" width="22.875" style="58" customWidth="1"/>
    <col min="11266" max="11266" width="45.5" style="58" customWidth="1"/>
    <col min="11267" max="11267" width="12.5" style="58" bestFit="1" customWidth="1"/>
    <col min="11268" max="11268" width="13.625" style="58" bestFit="1" customWidth="1"/>
    <col min="11269" max="11520" width="9" style="58"/>
    <col min="11521" max="11521" width="22.875" style="58" customWidth="1"/>
    <col min="11522" max="11522" width="45.5" style="58" customWidth="1"/>
    <col min="11523" max="11523" width="12.5" style="58" bestFit="1" customWidth="1"/>
    <col min="11524" max="11524" width="13.625" style="58" bestFit="1" customWidth="1"/>
    <col min="11525" max="11776" width="9" style="58"/>
    <col min="11777" max="11777" width="22.875" style="58" customWidth="1"/>
    <col min="11778" max="11778" width="45.5" style="58" customWidth="1"/>
    <col min="11779" max="11779" width="12.5" style="58" bestFit="1" customWidth="1"/>
    <col min="11780" max="11780" width="13.625" style="58" bestFit="1" customWidth="1"/>
    <col min="11781" max="12032" width="9" style="58"/>
    <col min="12033" max="12033" width="22.875" style="58" customWidth="1"/>
    <col min="12034" max="12034" width="45.5" style="58" customWidth="1"/>
    <col min="12035" max="12035" width="12.5" style="58" bestFit="1" customWidth="1"/>
    <col min="12036" max="12036" width="13.625" style="58" bestFit="1" customWidth="1"/>
    <col min="12037" max="12288" width="9" style="58"/>
    <col min="12289" max="12289" width="22.875" style="58" customWidth="1"/>
    <col min="12290" max="12290" width="45.5" style="58" customWidth="1"/>
    <col min="12291" max="12291" width="12.5" style="58" bestFit="1" customWidth="1"/>
    <col min="12292" max="12292" width="13.625" style="58" bestFit="1" customWidth="1"/>
    <col min="12293" max="12544" width="9" style="58"/>
    <col min="12545" max="12545" width="22.875" style="58" customWidth="1"/>
    <col min="12546" max="12546" width="45.5" style="58" customWidth="1"/>
    <col min="12547" max="12547" width="12.5" style="58" bestFit="1" customWidth="1"/>
    <col min="12548" max="12548" width="13.625" style="58" bestFit="1" customWidth="1"/>
    <col min="12549" max="12800" width="9" style="58"/>
    <col min="12801" max="12801" width="22.875" style="58" customWidth="1"/>
    <col min="12802" max="12802" width="45.5" style="58" customWidth="1"/>
    <col min="12803" max="12803" width="12.5" style="58" bestFit="1" customWidth="1"/>
    <col min="12804" max="12804" width="13.625" style="58" bestFit="1" customWidth="1"/>
    <col min="12805" max="13056" width="9" style="58"/>
    <col min="13057" max="13057" width="22.875" style="58" customWidth="1"/>
    <col min="13058" max="13058" width="45.5" style="58" customWidth="1"/>
    <col min="13059" max="13059" width="12.5" style="58" bestFit="1" customWidth="1"/>
    <col min="13060" max="13060" width="13.625" style="58" bestFit="1" customWidth="1"/>
    <col min="13061" max="13312" width="9" style="58"/>
    <col min="13313" max="13313" width="22.875" style="58" customWidth="1"/>
    <col min="13314" max="13314" width="45.5" style="58" customWidth="1"/>
    <col min="13315" max="13315" width="12.5" style="58" bestFit="1" customWidth="1"/>
    <col min="13316" max="13316" width="13.625" style="58" bestFit="1" customWidth="1"/>
    <col min="13317" max="13568" width="9" style="58"/>
    <col min="13569" max="13569" width="22.875" style="58" customWidth="1"/>
    <col min="13570" max="13570" width="45.5" style="58" customWidth="1"/>
    <col min="13571" max="13571" width="12.5" style="58" bestFit="1" customWidth="1"/>
    <col min="13572" max="13572" width="13.625" style="58" bestFit="1" customWidth="1"/>
    <col min="13573" max="13824" width="9" style="58"/>
    <col min="13825" max="13825" width="22.875" style="58" customWidth="1"/>
    <col min="13826" max="13826" width="45.5" style="58" customWidth="1"/>
    <col min="13827" max="13827" width="12.5" style="58" bestFit="1" customWidth="1"/>
    <col min="13828" max="13828" width="13.625" style="58" bestFit="1" customWidth="1"/>
    <col min="13829" max="14080" width="9" style="58"/>
    <col min="14081" max="14081" width="22.875" style="58" customWidth="1"/>
    <col min="14082" max="14082" width="45.5" style="58" customWidth="1"/>
    <col min="14083" max="14083" width="12.5" style="58" bestFit="1" customWidth="1"/>
    <col min="14084" max="14084" width="13.625" style="58" bestFit="1" customWidth="1"/>
    <col min="14085" max="14336" width="9" style="58"/>
    <col min="14337" max="14337" width="22.875" style="58" customWidth="1"/>
    <col min="14338" max="14338" width="45.5" style="58" customWidth="1"/>
    <col min="14339" max="14339" width="12.5" style="58" bestFit="1" customWidth="1"/>
    <col min="14340" max="14340" width="13.625" style="58" bestFit="1" customWidth="1"/>
    <col min="14341" max="14592" width="9" style="58"/>
    <col min="14593" max="14593" width="22.875" style="58" customWidth="1"/>
    <col min="14594" max="14594" width="45.5" style="58" customWidth="1"/>
    <col min="14595" max="14595" width="12.5" style="58" bestFit="1" customWidth="1"/>
    <col min="14596" max="14596" width="13.625" style="58" bestFit="1" customWidth="1"/>
    <col min="14597" max="14848" width="9" style="58"/>
    <col min="14849" max="14849" width="22.875" style="58" customWidth="1"/>
    <col min="14850" max="14850" width="45.5" style="58" customWidth="1"/>
    <col min="14851" max="14851" width="12.5" style="58" bestFit="1" customWidth="1"/>
    <col min="14852" max="14852" width="13.625" style="58" bestFit="1" customWidth="1"/>
    <col min="14853" max="15104" width="9" style="58"/>
    <col min="15105" max="15105" width="22.875" style="58" customWidth="1"/>
    <col min="15106" max="15106" width="45.5" style="58" customWidth="1"/>
    <col min="15107" max="15107" width="12.5" style="58" bestFit="1" customWidth="1"/>
    <col min="15108" max="15108" width="13.625" style="58" bestFit="1" customWidth="1"/>
    <col min="15109" max="15360" width="9" style="58"/>
    <col min="15361" max="15361" width="22.875" style="58" customWidth="1"/>
    <col min="15362" max="15362" width="45.5" style="58" customWidth="1"/>
    <col min="15363" max="15363" width="12.5" style="58" bestFit="1" customWidth="1"/>
    <col min="15364" max="15364" width="13.625" style="58" bestFit="1" customWidth="1"/>
    <col min="15365" max="15616" width="9" style="58"/>
    <col min="15617" max="15617" width="22.875" style="58" customWidth="1"/>
    <col min="15618" max="15618" width="45.5" style="58" customWidth="1"/>
    <col min="15619" max="15619" width="12.5" style="58" bestFit="1" customWidth="1"/>
    <col min="15620" max="15620" width="13.625" style="58" bestFit="1" customWidth="1"/>
    <col min="15621" max="15872" width="9" style="58"/>
    <col min="15873" max="15873" width="22.875" style="58" customWidth="1"/>
    <col min="15874" max="15874" width="45.5" style="58" customWidth="1"/>
    <col min="15875" max="15875" width="12.5" style="58" bestFit="1" customWidth="1"/>
    <col min="15876" max="15876" width="13.625" style="58" bestFit="1" customWidth="1"/>
    <col min="15877" max="16128" width="9" style="58"/>
    <col min="16129" max="16129" width="22.875" style="58" customWidth="1"/>
    <col min="16130" max="16130" width="45.5" style="58" customWidth="1"/>
    <col min="16131" max="16131" width="12.5" style="58" bestFit="1" customWidth="1"/>
    <col min="16132" max="16132" width="13.625" style="58" bestFit="1" customWidth="1"/>
    <col min="16133" max="16384" width="9" style="58"/>
  </cols>
  <sheetData>
    <row r="1" spans="1:7">
      <c r="A1" s="327" t="str">
        <f>+Control!D3</f>
        <v>AAAMOP ENTERTAINMENT LIMITED</v>
      </c>
      <c r="B1" s="327"/>
      <c r="C1" s="327"/>
      <c r="D1" s="327"/>
    </row>
    <row r="2" spans="1:7">
      <c r="A2" s="62"/>
      <c r="B2" s="62"/>
      <c r="C2" s="62"/>
      <c r="D2" s="63"/>
    </row>
    <row r="3" spans="1:7">
      <c r="A3" s="327" t="str">
        <f>+CONCATENATE(E3,F3)</f>
        <v>FILE NO. : 62513946-000</v>
      </c>
      <c r="B3" s="327"/>
      <c r="C3" s="327"/>
      <c r="D3" s="327"/>
      <c r="E3" s="58" t="s">
        <v>179</v>
      </c>
      <c r="F3" s="58" t="str">
        <f>+Control!D75</f>
        <v>62513946-000</v>
      </c>
    </row>
    <row r="4" spans="1:7">
      <c r="A4" s="62"/>
      <c r="B4" s="62"/>
      <c r="C4" s="62"/>
      <c r="D4" s="63"/>
    </row>
    <row r="5" spans="1:7">
      <c r="A5" s="327" t="s">
        <v>180</v>
      </c>
      <c r="B5" s="327"/>
      <c r="C5" s="327"/>
      <c r="D5" s="327"/>
    </row>
    <row r="6" spans="1:7">
      <c r="A6" s="62"/>
      <c r="B6" s="62"/>
      <c r="C6" s="62"/>
      <c r="D6" s="63"/>
    </row>
    <row r="7" spans="1:7">
      <c r="A7" s="327" t="s">
        <v>181</v>
      </c>
      <c r="B7" s="327"/>
      <c r="C7" s="327"/>
      <c r="D7" s="327"/>
    </row>
    <row r="8" spans="1:7">
      <c r="A8" s="62"/>
      <c r="B8" s="62"/>
      <c r="C8" s="62"/>
      <c r="D8" s="63"/>
    </row>
    <row r="9" spans="1:7">
      <c r="A9" s="328" t="str">
        <f>+Control!D120</f>
        <v>2016/17</v>
      </c>
      <c r="B9" s="328"/>
      <c r="C9" s="328"/>
      <c r="D9" s="328"/>
    </row>
    <row r="10" spans="1:7">
      <c r="A10" s="326" t="str">
        <f>+CONCATENATE(E10,Control!D122,'T com dor'!E11)</f>
        <v>(Basis Period: )</v>
      </c>
      <c r="B10" s="326"/>
      <c r="C10" s="326"/>
      <c r="D10" s="326"/>
      <c r="E10" s="58" t="s">
        <v>182</v>
      </c>
    </row>
    <row r="11" spans="1:7">
      <c r="A11" s="64"/>
      <c r="B11" s="64"/>
      <c r="C11" s="64"/>
      <c r="D11" s="129"/>
      <c r="E11" s="58" t="s">
        <v>0</v>
      </c>
    </row>
    <row r="12" spans="1:7">
      <c r="D12" s="128" t="s">
        <v>183</v>
      </c>
    </row>
    <row r="14" spans="1:7">
      <c r="A14" s="58" t="str">
        <f>+IF(D14&lt;1,"LOSS:","PROFIT:")</f>
        <v>LOSS:</v>
      </c>
      <c r="B14" s="58" t="s">
        <v>184</v>
      </c>
      <c r="D14" s="66">
        <f>+Control!D114</f>
        <v>0</v>
      </c>
      <c r="E14" s="58" t="s">
        <v>185</v>
      </c>
      <c r="F14" s="123">
        <v>1</v>
      </c>
      <c r="G14" s="58" t="s">
        <v>186</v>
      </c>
    </row>
    <row r="15" spans="1:7">
      <c r="B15" s="58" t="s">
        <v>187</v>
      </c>
      <c r="C15" s="67"/>
    </row>
    <row r="16" spans="1:7">
      <c r="C16" s="67"/>
      <c r="D16" s="66"/>
    </row>
    <row r="17" spans="1:7">
      <c r="A17" s="58" t="str">
        <f>IF(F14=0,IF(Control!D124=0," ","LESS:"),"ADD:")</f>
        <v>ADD:</v>
      </c>
      <c r="B17" s="58" t="str">
        <f>IF(F14=0,IF(Control!D124=0," ","Interest income"),"Inactive loss")</f>
        <v>Inactive loss</v>
      </c>
      <c r="C17" s="67"/>
      <c r="D17" s="70">
        <f>IF(F14=0,IF(Control!D124=0," ",Control!D124),-D14)</f>
        <v>0</v>
      </c>
    </row>
    <row r="18" spans="1:7">
      <c r="C18" s="67"/>
      <c r="D18" s="66"/>
    </row>
    <row r="19" spans="1:7" ht="16.5" thickBot="1">
      <c r="A19" s="58" t="str">
        <f>+IF(D19&lt;1,"ADJUSTED LOSS:","ASSESSABLE PROFIT:")</f>
        <v>ADJUSTED LOSS:</v>
      </c>
      <c r="B19" s="58" t="str">
        <f>+CONCATENATE(E19,A9)</f>
        <v>For the Year of Assessment 2016/17</v>
      </c>
      <c r="C19" s="67"/>
      <c r="D19" s="68">
        <f>SUM(D14:D18)</f>
        <v>0</v>
      </c>
      <c r="E19" s="58" t="s">
        <v>188</v>
      </c>
    </row>
    <row r="20" spans="1:7" ht="16.5" thickTop="1"/>
    <row r="21" spans="1:7">
      <c r="A21" s="62" t="str">
        <f>+IF(F14=0,"STATEMENT OF LOSS","")</f>
        <v/>
      </c>
      <c r="E21" s="58" t="s">
        <v>189</v>
      </c>
      <c r="F21" s="58" t="str">
        <f>+LOWER(Control!D9)</f>
        <v>period</v>
      </c>
      <c r="G21" s="58" t="s">
        <v>145</v>
      </c>
    </row>
    <row r="22" spans="1:7">
      <c r="A22" s="58" t="str">
        <f>IF(F14=0,IF(Control!D127=0," ","Tax loss b/f"),CONCATENATE(E21,F21,G21))</f>
        <v>Note: The Company was inactive during the period.</v>
      </c>
      <c r="D22" s="66" t="str">
        <f>IF(F14=0,IF(Control!D127=0," ",Control!D127),"")</f>
        <v/>
      </c>
    </row>
    <row r="23" spans="1:7">
      <c r="A23" s="58" t="str">
        <f>IF(F14=0,CONCATENATE(E23,F23,A9),"")</f>
        <v/>
      </c>
      <c r="D23" s="69" t="str">
        <f>IF(F14=0,D19,"")</f>
        <v/>
      </c>
      <c r="E23" s="58" t="str">
        <f>+IF(D19&lt;0,"Adjusted loss ","Assessable profit ")</f>
        <v xml:space="preserve">Assessable profit </v>
      </c>
      <c r="F23" s="58" t="s">
        <v>190</v>
      </c>
    </row>
    <row r="24" spans="1:7">
      <c r="A24" s="58" t="str">
        <f>+IF(F14=0,"Tax loss c/f","")</f>
        <v/>
      </c>
      <c r="D24" s="70" t="str">
        <f>IF(F14=0,SUM(D22:D23),"")</f>
        <v/>
      </c>
    </row>
    <row r="25" spans="1:7">
      <c r="E25" s="58" t="s">
        <v>261</v>
      </c>
    </row>
    <row r="26" spans="1:7" ht="15.75" customHeight="1">
      <c r="D26" s="124"/>
    </row>
    <row r="27" spans="1:7">
      <c r="D27" s="125"/>
    </row>
  </sheetData>
  <mergeCells count="6">
    <mergeCell ref="A10:D10"/>
    <mergeCell ref="A1:D1"/>
    <mergeCell ref="A3:D3"/>
    <mergeCell ref="A5:D5"/>
    <mergeCell ref="A7:D7"/>
    <mergeCell ref="A9:D9"/>
  </mergeCells>
  <phoneticPr fontId="11" type="noConversion"/>
  <pageMargins left="0.7" right="0.7" top="0.75" bottom="0.75" header="0.3" footer="0.3"/>
  <pageSetup paperSize="9" scale="92"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pageSetUpPr fitToPage="1"/>
  </sheetPr>
  <dimension ref="A1:G34"/>
  <sheetViews>
    <sheetView workbookViewId="0">
      <selection activeCell="H10" sqref="H10"/>
    </sheetView>
  </sheetViews>
  <sheetFormatPr defaultRowHeight="15.75"/>
  <cols>
    <col min="1" max="1" width="22.875" style="58" customWidth="1"/>
    <col min="2" max="2" width="45.5" style="58" customWidth="1"/>
    <col min="3" max="3" width="12.5" style="58" bestFit="1" customWidth="1"/>
    <col min="4" max="4" width="13.625" style="65" bestFit="1" customWidth="1"/>
    <col min="5" max="5" width="9" style="58"/>
    <col min="6" max="6" width="10.5" style="58" bestFit="1" customWidth="1"/>
    <col min="7" max="256" width="9" style="58"/>
    <col min="257" max="257" width="22.875" style="58" customWidth="1"/>
    <col min="258" max="258" width="45.5" style="58" customWidth="1"/>
    <col min="259" max="259" width="12.5" style="58" bestFit="1" customWidth="1"/>
    <col min="260" max="260" width="13.625" style="58" bestFit="1" customWidth="1"/>
    <col min="261" max="512" width="9" style="58"/>
    <col min="513" max="513" width="22.875" style="58" customWidth="1"/>
    <col min="514" max="514" width="45.5" style="58" customWidth="1"/>
    <col min="515" max="515" width="12.5" style="58" bestFit="1" customWidth="1"/>
    <col min="516" max="516" width="13.625" style="58" bestFit="1" customWidth="1"/>
    <col min="517" max="768" width="9" style="58"/>
    <col min="769" max="769" width="22.875" style="58" customWidth="1"/>
    <col min="770" max="770" width="45.5" style="58" customWidth="1"/>
    <col min="771" max="771" width="12.5" style="58" bestFit="1" customWidth="1"/>
    <col min="772" max="772" width="13.625" style="58" bestFit="1" customWidth="1"/>
    <col min="773" max="1024" width="9" style="58"/>
    <col min="1025" max="1025" width="22.875" style="58" customWidth="1"/>
    <col min="1026" max="1026" width="45.5" style="58" customWidth="1"/>
    <col min="1027" max="1027" width="12.5" style="58" bestFit="1" customWidth="1"/>
    <col min="1028" max="1028" width="13.625" style="58" bestFit="1" customWidth="1"/>
    <col min="1029" max="1280" width="9" style="58"/>
    <col min="1281" max="1281" width="22.875" style="58" customWidth="1"/>
    <col min="1282" max="1282" width="45.5" style="58" customWidth="1"/>
    <col min="1283" max="1283" width="12.5" style="58" bestFit="1" customWidth="1"/>
    <col min="1284" max="1284" width="13.625" style="58" bestFit="1" customWidth="1"/>
    <col min="1285" max="1536" width="9" style="58"/>
    <col min="1537" max="1537" width="22.875" style="58" customWidth="1"/>
    <col min="1538" max="1538" width="45.5" style="58" customWidth="1"/>
    <col min="1539" max="1539" width="12.5" style="58" bestFit="1" customWidth="1"/>
    <col min="1540" max="1540" width="13.625" style="58" bestFit="1" customWidth="1"/>
    <col min="1541" max="1792" width="9" style="58"/>
    <col min="1793" max="1793" width="22.875" style="58" customWidth="1"/>
    <col min="1794" max="1794" width="45.5" style="58" customWidth="1"/>
    <col min="1795" max="1795" width="12.5" style="58" bestFit="1" customWidth="1"/>
    <col min="1796" max="1796" width="13.625" style="58" bestFit="1" customWidth="1"/>
    <col min="1797" max="2048" width="9" style="58"/>
    <col min="2049" max="2049" width="22.875" style="58" customWidth="1"/>
    <col min="2050" max="2050" width="45.5" style="58" customWidth="1"/>
    <col min="2051" max="2051" width="12.5" style="58" bestFit="1" customWidth="1"/>
    <col min="2052" max="2052" width="13.625" style="58" bestFit="1" customWidth="1"/>
    <col min="2053" max="2304" width="9" style="58"/>
    <col min="2305" max="2305" width="22.875" style="58" customWidth="1"/>
    <col min="2306" max="2306" width="45.5" style="58" customWidth="1"/>
    <col min="2307" max="2307" width="12.5" style="58" bestFit="1" customWidth="1"/>
    <col min="2308" max="2308" width="13.625" style="58" bestFit="1" customWidth="1"/>
    <col min="2309" max="2560" width="9" style="58"/>
    <col min="2561" max="2561" width="22.875" style="58" customWidth="1"/>
    <col min="2562" max="2562" width="45.5" style="58" customWidth="1"/>
    <col min="2563" max="2563" width="12.5" style="58" bestFit="1" customWidth="1"/>
    <col min="2564" max="2564" width="13.625" style="58" bestFit="1" customWidth="1"/>
    <col min="2565" max="2816" width="9" style="58"/>
    <col min="2817" max="2817" width="22.875" style="58" customWidth="1"/>
    <col min="2818" max="2818" width="45.5" style="58" customWidth="1"/>
    <col min="2819" max="2819" width="12.5" style="58" bestFit="1" customWidth="1"/>
    <col min="2820" max="2820" width="13.625" style="58" bestFit="1" customWidth="1"/>
    <col min="2821" max="3072" width="9" style="58"/>
    <col min="3073" max="3073" width="22.875" style="58" customWidth="1"/>
    <col min="3074" max="3074" width="45.5" style="58" customWidth="1"/>
    <col min="3075" max="3075" width="12.5" style="58" bestFit="1" customWidth="1"/>
    <col min="3076" max="3076" width="13.625" style="58" bestFit="1" customWidth="1"/>
    <col min="3077" max="3328" width="9" style="58"/>
    <col min="3329" max="3329" width="22.875" style="58" customWidth="1"/>
    <col min="3330" max="3330" width="45.5" style="58" customWidth="1"/>
    <col min="3331" max="3331" width="12.5" style="58" bestFit="1" customWidth="1"/>
    <col min="3332" max="3332" width="13.625" style="58" bestFit="1" customWidth="1"/>
    <col min="3333" max="3584" width="9" style="58"/>
    <col min="3585" max="3585" width="22.875" style="58" customWidth="1"/>
    <col min="3586" max="3586" width="45.5" style="58" customWidth="1"/>
    <col min="3587" max="3587" width="12.5" style="58" bestFit="1" customWidth="1"/>
    <col min="3588" max="3588" width="13.625" style="58" bestFit="1" customWidth="1"/>
    <col min="3589" max="3840" width="9" style="58"/>
    <col min="3841" max="3841" width="22.875" style="58" customWidth="1"/>
    <col min="3842" max="3842" width="45.5" style="58" customWidth="1"/>
    <col min="3843" max="3843" width="12.5" style="58" bestFit="1" customWidth="1"/>
    <col min="3844" max="3844" width="13.625" style="58" bestFit="1" customWidth="1"/>
    <col min="3845" max="4096" width="9" style="58"/>
    <col min="4097" max="4097" width="22.875" style="58" customWidth="1"/>
    <col min="4098" max="4098" width="45.5" style="58" customWidth="1"/>
    <col min="4099" max="4099" width="12.5" style="58" bestFit="1" customWidth="1"/>
    <col min="4100" max="4100" width="13.625" style="58" bestFit="1" customWidth="1"/>
    <col min="4101" max="4352" width="9" style="58"/>
    <col min="4353" max="4353" width="22.875" style="58" customWidth="1"/>
    <col min="4354" max="4354" width="45.5" style="58" customWidth="1"/>
    <col min="4355" max="4355" width="12.5" style="58" bestFit="1" customWidth="1"/>
    <col min="4356" max="4356" width="13.625" style="58" bestFit="1" customWidth="1"/>
    <col min="4357" max="4608" width="9" style="58"/>
    <col min="4609" max="4609" width="22.875" style="58" customWidth="1"/>
    <col min="4610" max="4610" width="45.5" style="58" customWidth="1"/>
    <col min="4611" max="4611" width="12.5" style="58" bestFit="1" customWidth="1"/>
    <col min="4612" max="4612" width="13.625" style="58" bestFit="1" customWidth="1"/>
    <col min="4613" max="4864" width="9" style="58"/>
    <col min="4865" max="4865" width="22.875" style="58" customWidth="1"/>
    <col min="4866" max="4866" width="45.5" style="58" customWidth="1"/>
    <col min="4867" max="4867" width="12.5" style="58" bestFit="1" customWidth="1"/>
    <col min="4868" max="4868" width="13.625" style="58" bestFit="1" customWidth="1"/>
    <col min="4869" max="5120" width="9" style="58"/>
    <col min="5121" max="5121" width="22.875" style="58" customWidth="1"/>
    <col min="5122" max="5122" width="45.5" style="58" customWidth="1"/>
    <col min="5123" max="5123" width="12.5" style="58" bestFit="1" customWidth="1"/>
    <col min="5124" max="5124" width="13.625" style="58" bestFit="1" customWidth="1"/>
    <col min="5125" max="5376" width="9" style="58"/>
    <col min="5377" max="5377" width="22.875" style="58" customWidth="1"/>
    <col min="5378" max="5378" width="45.5" style="58" customWidth="1"/>
    <col min="5379" max="5379" width="12.5" style="58" bestFit="1" customWidth="1"/>
    <col min="5380" max="5380" width="13.625" style="58" bestFit="1" customWidth="1"/>
    <col min="5381" max="5632" width="9" style="58"/>
    <col min="5633" max="5633" width="22.875" style="58" customWidth="1"/>
    <col min="5634" max="5634" width="45.5" style="58" customWidth="1"/>
    <col min="5635" max="5635" width="12.5" style="58" bestFit="1" customWidth="1"/>
    <col min="5636" max="5636" width="13.625" style="58" bestFit="1" customWidth="1"/>
    <col min="5637" max="5888" width="9" style="58"/>
    <col min="5889" max="5889" width="22.875" style="58" customWidth="1"/>
    <col min="5890" max="5890" width="45.5" style="58" customWidth="1"/>
    <col min="5891" max="5891" width="12.5" style="58" bestFit="1" customWidth="1"/>
    <col min="5892" max="5892" width="13.625" style="58" bestFit="1" customWidth="1"/>
    <col min="5893" max="6144" width="9" style="58"/>
    <col min="6145" max="6145" width="22.875" style="58" customWidth="1"/>
    <col min="6146" max="6146" width="45.5" style="58" customWidth="1"/>
    <col min="6147" max="6147" width="12.5" style="58" bestFit="1" customWidth="1"/>
    <col min="6148" max="6148" width="13.625" style="58" bestFit="1" customWidth="1"/>
    <col min="6149" max="6400" width="9" style="58"/>
    <col min="6401" max="6401" width="22.875" style="58" customWidth="1"/>
    <col min="6402" max="6402" width="45.5" style="58" customWidth="1"/>
    <col min="6403" max="6403" width="12.5" style="58" bestFit="1" customWidth="1"/>
    <col min="6404" max="6404" width="13.625" style="58" bestFit="1" customWidth="1"/>
    <col min="6405" max="6656" width="9" style="58"/>
    <col min="6657" max="6657" width="22.875" style="58" customWidth="1"/>
    <col min="6658" max="6658" width="45.5" style="58" customWidth="1"/>
    <col min="6659" max="6659" width="12.5" style="58" bestFit="1" customWidth="1"/>
    <col min="6660" max="6660" width="13.625" style="58" bestFit="1" customWidth="1"/>
    <col min="6661" max="6912" width="9" style="58"/>
    <col min="6913" max="6913" width="22.875" style="58" customWidth="1"/>
    <col min="6914" max="6914" width="45.5" style="58" customWidth="1"/>
    <col min="6915" max="6915" width="12.5" style="58" bestFit="1" customWidth="1"/>
    <col min="6916" max="6916" width="13.625" style="58" bestFit="1" customWidth="1"/>
    <col min="6917" max="7168" width="9" style="58"/>
    <col min="7169" max="7169" width="22.875" style="58" customWidth="1"/>
    <col min="7170" max="7170" width="45.5" style="58" customWidth="1"/>
    <col min="7171" max="7171" width="12.5" style="58" bestFit="1" customWidth="1"/>
    <col min="7172" max="7172" width="13.625" style="58" bestFit="1" customWidth="1"/>
    <col min="7173" max="7424" width="9" style="58"/>
    <col min="7425" max="7425" width="22.875" style="58" customWidth="1"/>
    <col min="7426" max="7426" width="45.5" style="58" customWidth="1"/>
    <col min="7427" max="7427" width="12.5" style="58" bestFit="1" customWidth="1"/>
    <col min="7428" max="7428" width="13.625" style="58" bestFit="1" customWidth="1"/>
    <col min="7429" max="7680" width="9" style="58"/>
    <col min="7681" max="7681" width="22.875" style="58" customWidth="1"/>
    <col min="7682" max="7682" width="45.5" style="58" customWidth="1"/>
    <col min="7683" max="7683" width="12.5" style="58" bestFit="1" customWidth="1"/>
    <col min="7684" max="7684" width="13.625" style="58" bestFit="1" customWidth="1"/>
    <col min="7685" max="7936" width="9" style="58"/>
    <col min="7937" max="7937" width="22.875" style="58" customWidth="1"/>
    <col min="7938" max="7938" width="45.5" style="58" customWidth="1"/>
    <col min="7939" max="7939" width="12.5" style="58" bestFit="1" customWidth="1"/>
    <col min="7940" max="7940" width="13.625" style="58" bestFit="1" customWidth="1"/>
    <col min="7941" max="8192" width="9" style="58"/>
    <col min="8193" max="8193" width="22.875" style="58" customWidth="1"/>
    <col min="8194" max="8194" width="45.5" style="58" customWidth="1"/>
    <col min="8195" max="8195" width="12.5" style="58" bestFit="1" customWidth="1"/>
    <col min="8196" max="8196" width="13.625" style="58" bestFit="1" customWidth="1"/>
    <col min="8197" max="8448" width="9" style="58"/>
    <col min="8449" max="8449" width="22.875" style="58" customWidth="1"/>
    <col min="8450" max="8450" width="45.5" style="58" customWidth="1"/>
    <col min="8451" max="8451" width="12.5" style="58" bestFit="1" customWidth="1"/>
    <col min="8452" max="8452" width="13.625" style="58" bestFit="1" customWidth="1"/>
    <col min="8453" max="8704" width="9" style="58"/>
    <col min="8705" max="8705" width="22.875" style="58" customWidth="1"/>
    <col min="8706" max="8706" width="45.5" style="58" customWidth="1"/>
    <col min="8707" max="8707" width="12.5" style="58" bestFit="1" customWidth="1"/>
    <col min="8708" max="8708" width="13.625" style="58" bestFit="1" customWidth="1"/>
    <col min="8709" max="8960" width="9" style="58"/>
    <col min="8961" max="8961" width="22.875" style="58" customWidth="1"/>
    <col min="8962" max="8962" width="45.5" style="58" customWidth="1"/>
    <col min="8963" max="8963" width="12.5" style="58" bestFit="1" customWidth="1"/>
    <col min="8964" max="8964" width="13.625" style="58" bestFit="1" customWidth="1"/>
    <col min="8965" max="9216" width="9" style="58"/>
    <col min="9217" max="9217" width="22.875" style="58" customWidth="1"/>
    <col min="9218" max="9218" width="45.5" style="58" customWidth="1"/>
    <col min="9219" max="9219" width="12.5" style="58" bestFit="1" customWidth="1"/>
    <col min="9220" max="9220" width="13.625" style="58" bestFit="1" customWidth="1"/>
    <col min="9221" max="9472" width="9" style="58"/>
    <col min="9473" max="9473" width="22.875" style="58" customWidth="1"/>
    <col min="9474" max="9474" width="45.5" style="58" customWidth="1"/>
    <col min="9475" max="9475" width="12.5" style="58" bestFit="1" customWidth="1"/>
    <col min="9476" max="9476" width="13.625" style="58" bestFit="1" customWidth="1"/>
    <col min="9477" max="9728" width="9" style="58"/>
    <col min="9729" max="9729" width="22.875" style="58" customWidth="1"/>
    <col min="9730" max="9730" width="45.5" style="58" customWidth="1"/>
    <col min="9731" max="9731" width="12.5" style="58" bestFit="1" customWidth="1"/>
    <col min="9732" max="9732" width="13.625" style="58" bestFit="1" customWidth="1"/>
    <col min="9733" max="9984" width="9" style="58"/>
    <col min="9985" max="9985" width="22.875" style="58" customWidth="1"/>
    <col min="9986" max="9986" width="45.5" style="58" customWidth="1"/>
    <col min="9987" max="9987" width="12.5" style="58" bestFit="1" customWidth="1"/>
    <col min="9988" max="9988" width="13.625" style="58" bestFit="1" customWidth="1"/>
    <col min="9989" max="10240" width="9" style="58"/>
    <col min="10241" max="10241" width="22.875" style="58" customWidth="1"/>
    <col min="10242" max="10242" width="45.5" style="58" customWidth="1"/>
    <col min="10243" max="10243" width="12.5" style="58" bestFit="1" customWidth="1"/>
    <col min="10244" max="10244" width="13.625" style="58" bestFit="1" customWidth="1"/>
    <col min="10245" max="10496" width="9" style="58"/>
    <col min="10497" max="10497" width="22.875" style="58" customWidth="1"/>
    <col min="10498" max="10498" width="45.5" style="58" customWidth="1"/>
    <col min="10499" max="10499" width="12.5" style="58" bestFit="1" customWidth="1"/>
    <col min="10500" max="10500" width="13.625" style="58" bestFit="1" customWidth="1"/>
    <col min="10501" max="10752" width="9" style="58"/>
    <col min="10753" max="10753" width="22.875" style="58" customWidth="1"/>
    <col min="10754" max="10754" width="45.5" style="58" customWidth="1"/>
    <col min="10755" max="10755" width="12.5" style="58" bestFit="1" customWidth="1"/>
    <col min="10756" max="10756" width="13.625" style="58" bestFit="1" customWidth="1"/>
    <col min="10757" max="11008" width="9" style="58"/>
    <col min="11009" max="11009" width="22.875" style="58" customWidth="1"/>
    <col min="11010" max="11010" width="45.5" style="58" customWidth="1"/>
    <col min="11011" max="11011" width="12.5" style="58" bestFit="1" customWidth="1"/>
    <col min="11012" max="11012" width="13.625" style="58" bestFit="1" customWidth="1"/>
    <col min="11013" max="11264" width="9" style="58"/>
    <col min="11265" max="11265" width="22.875" style="58" customWidth="1"/>
    <col min="11266" max="11266" width="45.5" style="58" customWidth="1"/>
    <col min="11267" max="11267" width="12.5" style="58" bestFit="1" customWidth="1"/>
    <col min="11268" max="11268" width="13.625" style="58" bestFit="1" customWidth="1"/>
    <col min="11269" max="11520" width="9" style="58"/>
    <col min="11521" max="11521" width="22.875" style="58" customWidth="1"/>
    <col min="11522" max="11522" width="45.5" style="58" customWidth="1"/>
    <col min="11523" max="11523" width="12.5" style="58" bestFit="1" customWidth="1"/>
    <col min="11524" max="11524" width="13.625" style="58" bestFit="1" customWidth="1"/>
    <col min="11525" max="11776" width="9" style="58"/>
    <col min="11777" max="11777" width="22.875" style="58" customWidth="1"/>
    <col min="11778" max="11778" width="45.5" style="58" customWidth="1"/>
    <col min="11779" max="11779" width="12.5" style="58" bestFit="1" customWidth="1"/>
    <col min="11780" max="11780" width="13.625" style="58" bestFit="1" customWidth="1"/>
    <col min="11781" max="12032" width="9" style="58"/>
    <col min="12033" max="12033" width="22.875" style="58" customWidth="1"/>
    <col min="12034" max="12034" width="45.5" style="58" customWidth="1"/>
    <col min="12035" max="12035" width="12.5" style="58" bestFit="1" customWidth="1"/>
    <col min="12036" max="12036" width="13.625" style="58" bestFit="1" customWidth="1"/>
    <col min="12037" max="12288" width="9" style="58"/>
    <col min="12289" max="12289" width="22.875" style="58" customWidth="1"/>
    <col min="12290" max="12290" width="45.5" style="58" customWidth="1"/>
    <col min="12291" max="12291" width="12.5" style="58" bestFit="1" customWidth="1"/>
    <col min="12292" max="12292" width="13.625" style="58" bestFit="1" customWidth="1"/>
    <col min="12293" max="12544" width="9" style="58"/>
    <col min="12545" max="12545" width="22.875" style="58" customWidth="1"/>
    <col min="12546" max="12546" width="45.5" style="58" customWidth="1"/>
    <col min="12547" max="12547" width="12.5" style="58" bestFit="1" customWidth="1"/>
    <col min="12548" max="12548" width="13.625" style="58" bestFit="1" customWidth="1"/>
    <col min="12549" max="12800" width="9" style="58"/>
    <col min="12801" max="12801" width="22.875" style="58" customWidth="1"/>
    <col min="12802" max="12802" width="45.5" style="58" customWidth="1"/>
    <col min="12803" max="12803" width="12.5" style="58" bestFit="1" customWidth="1"/>
    <col min="12804" max="12804" width="13.625" style="58" bestFit="1" customWidth="1"/>
    <col min="12805" max="13056" width="9" style="58"/>
    <col min="13057" max="13057" width="22.875" style="58" customWidth="1"/>
    <col min="13058" max="13058" width="45.5" style="58" customWidth="1"/>
    <col min="13059" max="13059" width="12.5" style="58" bestFit="1" customWidth="1"/>
    <col min="13060" max="13060" width="13.625" style="58" bestFit="1" customWidth="1"/>
    <col min="13061" max="13312" width="9" style="58"/>
    <col min="13313" max="13313" width="22.875" style="58" customWidth="1"/>
    <col min="13314" max="13314" width="45.5" style="58" customWidth="1"/>
    <col min="13315" max="13315" width="12.5" style="58" bestFit="1" customWidth="1"/>
    <col min="13316" max="13316" width="13.625" style="58" bestFit="1" customWidth="1"/>
    <col min="13317" max="13568" width="9" style="58"/>
    <col min="13569" max="13569" width="22.875" style="58" customWidth="1"/>
    <col min="13570" max="13570" width="45.5" style="58" customWidth="1"/>
    <col min="13571" max="13571" width="12.5" style="58" bestFit="1" customWidth="1"/>
    <col min="13572" max="13572" width="13.625" style="58" bestFit="1" customWidth="1"/>
    <col min="13573" max="13824" width="9" style="58"/>
    <col min="13825" max="13825" width="22.875" style="58" customWidth="1"/>
    <col min="13826" max="13826" width="45.5" style="58" customWidth="1"/>
    <col min="13827" max="13827" width="12.5" style="58" bestFit="1" customWidth="1"/>
    <col min="13828" max="13828" width="13.625" style="58" bestFit="1" customWidth="1"/>
    <col min="13829" max="14080" width="9" style="58"/>
    <col min="14081" max="14081" width="22.875" style="58" customWidth="1"/>
    <col min="14082" max="14082" width="45.5" style="58" customWidth="1"/>
    <col min="14083" max="14083" width="12.5" style="58" bestFit="1" customWidth="1"/>
    <col min="14084" max="14084" width="13.625" style="58" bestFit="1" customWidth="1"/>
    <col min="14085" max="14336" width="9" style="58"/>
    <col min="14337" max="14337" width="22.875" style="58" customWidth="1"/>
    <col min="14338" max="14338" width="45.5" style="58" customWidth="1"/>
    <col min="14339" max="14339" width="12.5" style="58" bestFit="1" customWidth="1"/>
    <col min="14340" max="14340" width="13.625" style="58" bestFit="1" customWidth="1"/>
    <col min="14341" max="14592" width="9" style="58"/>
    <col min="14593" max="14593" width="22.875" style="58" customWidth="1"/>
    <col min="14594" max="14594" width="45.5" style="58" customWidth="1"/>
    <col min="14595" max="14595" width="12.5" style="58" bestFit="1" customWidth="1"/>
    <col min="14596" max="14596" width="13.625" style="58" bestFit="1" customWidth="1"/>
    <col min="14597" max="14848" width="9" style="58"/>
    <col min="14849" max="14849" width="22.875" style="58" customWidth="1"/>
    <col min="14850" max="14850" width="45.5" style="58" customWidth="1"/>
    <col min="14851" max="14851" width="12.5" style="58" bestFit="1" customWidth="1"/>
    <col min="14852" max="14852" width="13.625" style="58" bestFit="1" customWidth="1"/>
    <col min="14853" max="15104" width="9" style="58"/>
    <col min="15105" max="15105" width="22.875" style="58" customWidth="1"/>
    <col min="15106" max="15106" width="45.5" style="58" customWidth="1"/>
    <col min="15107" max="15107" width="12.5" style="58" bestFit="1" customWidth="1"/>
    <col min="15108" max="15108" width="13.625" style="58" bestFit="1" customWidth="1"/>
    <col min="15109" max="15360" width="9" style="58"/>
    <col min="15361" max="15361" width="22.875" style="58" customWidth="1"/>
    <col min="15362" max="15362" width="45.5" style="58" customWidth="1"/>
    <col min="15363" max="15363" width="12.5" style="58" bestFit="1" customWidth="1"/>
    <col min="15364" max="15364" width="13.625" style="58" bestFit="1" customWidth="1"/>
    <col min="15365" max="15616" width="9" style="58"/>
    <col min="15617" max="15617" width="22.875" style="58" customWidth="1"/>
    <col min="15618" max="15618" width="45.5" style="58" customWidth="1"/>
    <col min="15619" max="15619" width="12.5" style="58" bestFit="1" customWidth="1"/>
    <col min="15620" max="15620" width="13.625" style="58" bestFit="1" customWidth="1"/>
    <col min="15621" max="15872" width="9" style="58"/>
    <col min="15873" max="15873" width="22.875" style="58" customWidth="1"/>
    <col min="15874" max="15874" width="45.5" style="58" customWidth="1"/>
    <col min="15875" max="15875" width="12.5" style="58" bestFit="1" customWidth="1"/>
    <col min="15876" max="15876" width="13.625" style="58" bestFit="1" customWidth="1"/>
    <col min="15877" max="16128" width="9" style="58"/>
    <col min="16129" max="16129" width="22.875" style="58" customWidth="1"/>
    <col min="16130" max="16130" width="45.5" style="58" customWidth="1"/>
    <col min="16131" max="16131" width="12.5" style="58" bestFit="1" customWidth="1"/>
    <col min="16132" max="16132" width="13.625" style="58" bestFit="1" customWidth="1"/>
    <col min="16133" max="16384" width="9" style="58"/>
  </cols>
  <sheetData>
    <row r="1" spans="1:7">
      <c r="A1" s="327" t="str">
        <f>+Control!D3</f>
        <v>AAAMOP ENTERTAINMENT LIMITED</v>
      </c>
      <c r="B1" s="327"/>
      <c r="C1" s="327"/>
      <c r="D1" s="327"/>
    </row>
    <row r="2" spans="1:7">
      <c r="A2" s="62"/>
      <c r="B2" s="62"/>
      <c r="C2" s="62"/>
      <c r="D2" s="63"/>
    </row>
    <row r="3" spans="1:7">
      <c r="A3" s="327" t="str">
        <f>+CONCATENATE(E3,F3)</f>
        <v>FILE NO. : 62513946-000</v>
      </c>
      <c r="B3" s="327"/>
      <c r="C3" s="327"/>
      <c r="D3" s="327"/>
      <c r="E3" s="58" t="s">
        <v>179</v>
      </c>
      <c r="F3" s="58" t="str">
        <f>+Control!D75</f>
        <v>62513946-000</v>
      </c>
    </row>
    <row r="4" spans="1:7">
      <c r="A4" s="62"/>
      <c r="B4" s="62"/>
      <c r="C4" s="62"/>
      <c r="D4" s="63"/>
    </row>
    <row r="5" spans="1:7">
      <c r="A5" s="327" t="s">
        <v>180</v>
      </c>
      <c r="B5" s="327"/>
      <c r="C5" s="327"/>
      <c r="D5" s="327"/>
    </row>
    <row r="6" spans="1:7">
      <c r="A6" s="62"/>
      <c r="B6" s="62"/>
      <c r="C6" s="62"/>
      <c r="D6" s="63"/>
    </row>
    <row r="7" spans="1:7">
      <c r="A7" s="327" t="s">
        <v>181</v>
      </c>
      <c r="B7" s="327"/>
      <c r="C7" s="327"/>
      <c r="D7" s="327"/>
    </row>
    <row r="8" spans="1:7">
      <c r="A8" s="62"/>
      <c r="B8" s="62"/>
      <c r="C8" s="62"/>
      <c r="D8" s="63"/>
    </row>
    <row r="9" spans="1:7">
      <c r="A9" s="328" t="str">
        <f>+Control!D120</f>
        <v>2016/17</v>
      </c>
      <c r="B9" s="328"/>
      <c r="C9" s="328"/>
      <c r="D9" s="328"/>
    </row>
    <row r="10" spans="1:7">
      <c r="A10" s="326" t="str">
        <f>+CONCATENATE(E10,Control!D122,'T com (loss)'!E11)</f>
        <v>(Basis Period: )</v>
      </c>
      <c r="B10" s="326"/>
      <c r="C10" s="326"/>
      <c r="D10" s="326"/>
      <c r="E10" s="58" t="s">
        <v>182</v>
      </c>
    </row>
    <row r="11" spans="1:7">
      <c r="A11" s="64"/>
      <c r="B11" s="64"/>
      <c r="C11" s="64"/>
      <c r="D11" s="129"/>
      <c r="E11" s="58" t="s">
        <v>0</v>
      </c>
    </row>
    <row r="12" spans="1:7">
      <c r="D12" s="128" t="s">
        <v>183</v>
      </c>
    </row>
    <row r="14" spans="1:7">
      <c r="A14" s="58" t="str">
        <f>+IF(D14&lt;1,"LOSS:","PROFIT:")</f>
        <v>LOSS:</v>
      </c>
      <c r="B14" s="58" t="s">
        <v>184</v>
      </c>
      <c r="D14" s="66">
        <f>+Control!D114</f>
        <v>0</v>
      </c>
      <c r="E14" s="58" t="s">
        <v>185</v>
      </c>
      <c r="F14" s="123">
        <v>0</v>
      </c>
      <c r="G14" s="58" t="s">
        <v>186</v>
      </c>
    </row>
    <row r="15" spans="1:7">
      <c r="B15" s="58" t="s">
        <v>187</v>
      </c>
      <c r="C15" s="67"/>
    </row>
    <row r="16" spans="1:7">
      <c r="C16" s="67"/>
      <c r="D16" s="66"/>
    </row>
    <row r="17" spans="1:7">
      <c r="A17" s="58" t="s">
        <v>317</v>
      </c>
      <c r="B17" s="58" t="s">
        <v>318</v>
      </c>
      <c r="C17" s="66">
        <v>11923</v>
      </c>
      <c r="D17" s="58"/>
    </row>
    <row r="18" spans="1:7">
      <c r="B18" s="58" t="s">
        <v>319</v>
      </c>
      <c r="C18" s="167">
        <v>1280</v>
      </c>
      <c r="D18" s="58"/>
    </row>
    <row r="19" spans="1:7">
      <c r="C19" s="66"/>
      <c r="D19" s="67">
        <f>+C17+C18</f>
        <v>13203</v>
      </c>
    </row>
    <row r="20" spans="1:7">
      <c r="C20" s="67"/>
      <c r="D20" s="66"/>
    </row>
    <row r="21" spans="1:7">
      <c r="A21" s="58" t="str">
        <f>IF(F14=0,IF(Control!D124=0," ","LESS:"),"ADD:")</f>
        <v>LESS:</v>
      </c>
      <c r="B21" s="58" t="str">
        <f>IF(F14=0,IF(Control!D124=0," ","Interest income"),"Inactive loss")</f>
        <v>Interest income</v>
      </c>
      <c r="C21" s="70">
        <f>IF(F14=0,IF(Control!D124=0," ",Control!D124),-D14)</f>
        <v>-9</v>
      </c>
      <c r="D21" s="58"/>
    </row>
    <row r="22" spans="1:7">
      <c r="B22" s="58" t="s">
        <v>337</v>
      </c>
      <c r="C22" s="70">
        <f>-FA!J11</f>
        <v>-18078</v>
      </c>
      <c r="D22" s="58"/>
    </row>
    <row r="23" spans="1:7">
      <c r="B23" s="58" t="s">
        <v>338</v>
      </c>
      <c r="C23" s="167">
        <f>-'Depn Allowances'!H14</f>
        <v>-12354</v>
      </c>
      <c r="D23" s="58"/>
    </row>
    <row r="24" spans="1:7">
      <c r="C24" s="66"/>
      <c r="D24" s="67">
        <f>+C21+C22+C23</f>
        <v>-30441</v>
      </c>
    </row>
    <row r="25" spans="1:7">
      <c r="C25" s="67"/>
      <c r="D25" s="66"/>
    </row>
    <row r="26" spans="1:7" ht="16.5" thickBot="1">
      <c r="A26" s="58" t="str">
        <f>+IF(D26&lt;1,"ADJUSTED LOSS:","ASSESSABLE PROFIT:")</f>
        <v>ADJUSTED LOSS:</v>
      </c>
      <c r="B26" s="58" t="str">
        <f>+CONCATENATE(E26,A9)</f>
        <v>For the Year of Assessment 2016/17</v>
      </c>
      <c r="C26" s="67"/>
      <c r="D26" s="68">
        <f>SUM(D14:D25)</f>
        <v>-17238</v>
      </c>
      <c r="E26" s="58" t="s">
        <v>188</v>
      </c>
    </row>
    <row r="27" spans="1:7" ht="16.5" thickTop="1"/>
    <row r="28" spans="1:7">
      <c r="A28" s="62" t="str">
        <f>+IF(F14=0,"STATEMENT OF LOSS","")</f>
        <v>STATEMENT OF LOSS</v>
      </c>
      <c r="E28" s="58" t="s">
        <v>189</v>
      </c>
      <c r="F28" s="58" t="str">
        <f>+LOWER(Control!D9)</f>
        <v>period</v>
      </c>
      <c r="G28" s="58" t="s">
        <v>145</v>
      </c>
    </row>
    <row r="29" spans="1:7">
      <c r="A29" s="58" t="str">
        <f>IF(F14=0,IF(Control!D127=0," ","Tax loss b/f"),CONCATENATE(E28,F28,G28))</f>
        <v xml:space="preserve"> </v>
      </c>
      <c r="D29" s="66" t="str">
        <f>IF(F14=0,IF(Control!D127=0," ",Control!D127),"")</f>
        <v xml:space="preserve"> </v>
      </c>
    </row>
    <row r="30" spans="1:7">
      <c r="A30" s="58" t="str">
        <f>IF(F14=0,CONCATENATE(E30,F30,A9),"")</f>
        <v>Adjusted loss for the year of assessment 2016/17</v>
      </c>
      <c r="D30" s="69">
        <f>IF(F14=0,D26,"")</f>
        <v>-17238</v>
      </c>
      <c r="E30" s="58" t="str">
        <f>+IF(D26&lt;0,"Adjusted loss ","Assessable profit ")</f>
        <v xml:space="preserve">Adjusted loss </v>
      </c>
      <c r="F30" s="58" t="s">
        <v>190</v>
      </c>
    </row>
    <row r="31" spans="1:7" ht="16.5" thickBot="1">
      <c r="A31" s="58" t="str">
        <f>+IF(F14=0,"Tax loss c/f","")</f>
        <v>Tax loss c/f</v>
      </c>
      <c r="D31" s="68">
        <f>IF(F14=0,SUM(D29:D30),"")</f>
        <v>-17238</v>
      </c>
    </row>
    <row r="32" spans="1:7" ht="16.5" thickTop="1"/>
    <row r="33" spans="4:4" ht="15.75" customHeight="1">
      <c r="D33" s="124"/>
    </row>
    <row r="34" spans="4:4">
      <c r="D34" s="125"/>
    </row>
  </sheetData>
  <mergeCells count="6">
    <mergeCell ref="A10:D10"/>
    <mergeCell ref="A1:D1"/>
    <mergeCell ref="A3:D3"/>
    <mergeCell ref="A5:D5"/>
    <mergeCell ref="A7:D7"/>
    <mergeCell ref="A9:D9"/>
  </mergeCells>
  <phoneticPr fontId="11" type="noConversion"/>
  <pageMargins left="0.7" right="0.7" top="0.75" bottom="0.75" header="0.3" footer="0.3"/>
  <pageSetup paperSize="9" scale="92"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pageSetUpPr fitToPage="1"/>
  </sheetPr>
  <dimension ref="A1:I46"/>
  <sheetViews>
    <sheetView topLeftCell="A10" workbookViewId="0">
      <selection activeCell="H10" sqref="H10"/>
    </sheetView>
  </sheetViews>
  <sheetFormatPr defaultRowHeight="15.75"/>
  <cols>
    <col min="1" max="1" width="22.875" style="58" customWidth="1"/>
    <col min="2" max="2" width="45.5" style="58" customWidth="1"/>
    <col min="3" max="3" width="12.5" style="58" bestFit="1" customWidth="1"/>
    <col min="4" max="4" width="13.625" style="65" bestFit="1" customWidth="1"/>
    <col min="5" max="5" width="10.125" style="58" bestFit="1" customWidth="1"/>
    <col min="6" max="6" width="11.375" style="58" bestFit="1" customWidth="1"/>
    <col min="7" max="7" width="9.625" style="58" bestFit="1" customWidth="1"/>
    <col min="8" max="256" width="9" style="58"/>
    <col min="257" max="257" width="22.875" style="58" customWidth="1"/>
    <col min="258" max="258" width="45.5" style="58" customWidth="1"/>
    <col min="259" max="259" width="12.5" style="58" bestFit="1" customWidth="1"/>
    <col min="260" max="260" width="13.625" style="58" bestFit="1" customWidth="1"/>
    <col min="261" max="512" width="9" style="58"/>
    <col min="513" max="513" width="22.875" style="58" customWidth="1"/>
    <col min="514" max="514" width="45.5" style="58" customWidth="1"/>
    <col min="515" max="515" width="12.5" style="58" bestFit="1" customWidth="1"/>
    <col min="516" max="516" width="13.625" style="58" bestFit="1" customWidth="1"/>
    <col min="517" max="768" width="9" style="58"/>
    <col min="769" max="769" width="22.875" style="58" customWidth="1"/>
    <col min="770" max="770" width="45.5" style="58" customWidth="1"/>
    <col min="771" max="771" width="12.5" style="58" bestFit="1" customWidth="1"/>
    <col min="772" max="772" width="13.625" style="58" bestFit="1" customWidth="1"/>
    <col min="773" max="1024" width="9" style="58"/>
    <col min="1025" max="1025" width="22.875" style="58" customWidth="1"/>
    <col min="1026" max="1026" width="45.5" style="58" customWidth="1"/>
    <col min="1027" max="1027" width="12.5" style="58" bestFit="1" customWidth="1"/>
    <col min="1028" max="1028" width="13.625" style="58" bestFit="1" customWidth="1"/>
    <col min="1029" max="1280" width="9" style="58"/>
    <col min="1281" max="1281" width="22.875" style="58" customWidth="1"/>
    <col min="1282" max="1282" width="45.5" style="58" customWidth="1"/>
    <col min="1283" max="1283" width="12.5" style="58" bestFit="1" customWidth="1"/>
    <col min="1284" max="1284" width="13.625" style="58" bestFit="1" customWidth="1"/>
    <col min="1285" max="1536" width="9" style="58"/>
    <col min="1537" max="1537" width="22.875" style="58" customWidth="1"/>
    <col min="1538" max="1538" width="45.5" style="58" customWidth="1"/>
    <col min="1539" max="1539" width="12.5" style="58" bestFit="1" customWidth="1"/>
    <col min="1540" max="1540" width="13.625" style="58" bestFit="1" customWidth="1"/>
    <col min="1541" max="1792" width="9" style="58"/>
    <col min="1793" max="1793" width="22.875" style="58" customWidth="1"/>
    <col min="1794" max="1794" width="45.5" style="58" customWidth="1"/>
    <col min="1795" max="1795" width="12.5" style="58" bestFit="1" customWidth="1"/>
    <col min="1796" max="1796" width="13.625" style="58" bestFit="1" customWidth="1"/>
    <col min="1797" max="2048" width="9" style="58"/>
    <col min="2049" max="2049" width="22.875" style="58" customWidth="1"/>
    <col min="2050" max="2050" width="45.5" style="58" customWidth="1"/>
    <col min="2051" max="2051" width="12.5" style="58" bestFit="1" customWidth="1"/>
    <col min="2052" max="2052" width="13.625" style="58" bestFit="1" customWidth="1"/>
    <col min="2053" max="2304" width="9" style="58"/>
    <col min="2305" max="2305" width="22.875" style="58" customWidth="1"/>
    <col min="2306" max="2306" width="45.5" style="58" customWidth="1"/>
    <col min="2307" max="2307" width="12.5" style="58" bestFit="1" customWidth="1"/>
    <col min="2308" max="2308" width="13.625" style="58" bestFit="1" customWidth="1"/>
    <col min="2309" max="2560" width="9" style="58"/>
    <col min="2561" max="2561" width="22.875" style="58" customWidth="1"/>
    <col min="2562" max="2562" width="45.5" style="58" customWidth="1"/>
    <col min="2563" max="2563" width="12.5" style="58" bestFit="1" customWidth="1"/>
    <col min="2564" max="2564" width="13.625" style="58" bestFit="1" customWidth="1"/>
    <col min="2565" max="2816" width="9" style="58"/>
    <col min="2817" max="2817" width="22.875" style="58" customWidth="1"/>
    <col min="2818" max="2818" width="45.5" style="58" customWidth="1"/>
    <col min="2819" max="2819" width="12.5" style="58" bestFit="1" customWidth="1"/>
    <col min="2820" max="2820" width="13.625" style="58" bestFit="1" customWidth="1"/>
    <col min="2821" max="3072" width="9" style="58"/>
    <col min="3073" max="3073" width="22.875" style="58" customWidth="1"/>
    <col min="3074" max="3074" width="45.5" style="58" customWidth="1"/>
    <col min="3075" max="3075" width="12.5" style="58" bestFit="1" customWidth="1"/>
    <col min="3076" max="3076" width="13.625" style="58" bestFit="1" customWidth="1"/>
    <col min="3077" max="3328" width="9" style="58"/>
    <col min="3329" max="3329" width="22.875" style="58" customWidth="1"/>
    <col min="3330" max="3330" width="45.5" style="58" customWidth="1"/>
    <col min="3331" max="3331" width="12.5" style="58" bestFit="1" customWidth="1"/>
    <col min="3332" max="3332" width="13.625" style="58" bestFit="1" customWidth="1"/>
    <col min="3333" max="3584" width="9" style="58"/>
    <col min="3585" max="3585" width="22.875" style="58" customWidth="1"/>
    <col min="3586" max="3586" width="45.5" style="58" customWidth="1"/>
    <col min="3587" max="3587" width="12.5" style="58" bestFit="1" customWidth="1"/>
    <col min="3588" max="3588" width="13.625" style="58" bestFit="1" customWidth="1"/>
    <col min="3589" max="3840" width="9" style="58"/>
    <col min="3841" max="3841" width="22.875" style="58" customWidth="1"/>
    <col min="3842" max="3842" width="45.5" style="58" customWidth="1"/>
    <col min="3843" max="3843" width="12.5" style="58" bestFit="1" customWidth="1"/>
    <col min="3844" max="3844" width="13.625" style="58" bestFit="1" customWidth="1"/>
    <col min="3845" max="4096" width="9" style="58"/>
    <col min="4097" max="4097" width="22.875" style="58" customWidth="1"/>
    <col min="4098" max="4098" width="45.5" style="58" customWidth="1"/>
    <col min="4099" max="4099" width="12.5" style="58" bestFit="1" customWidth="1"/>
    <col min="4100" max="4100" width="13.625" style="58" bestFit="1" customWidth="1"/>
    <col min="4101" max="4352" width="9" style="58"/>
    <col min="4353" max="4353" width="22.875" style="58" customWidth="1"/>
    <col min="4354" max="4354" width="45.5" style="58" customWidth="1"/>
    <col min="4355" max="4355" width="12.5" style="58" bestFit="1" customWidth="1"/>
    <col min="4356" max="4356" width="13.625" style="58" bestFit="1" customWidth="1"/>
    <col min="4357" max="4608" width="9" style="58"/>
    <col min="4609" max="4609" width="22.875" style="58" customWidth="1"/>
    <col min="4610" max="4610" width="45.5" style="58" customWidth="1"/>
    <col min="4611" max="4611" width="12.5" style="58" bestFit="1" customWidth="1"/>
    <col min="4612" max="4612" width="13.625" style="58" bestFit="1" customWidth="1"/>
    <col min="4613" max="4864" width="9" style="58"/>
    <col min="4865" max="4865" width="22.875" style="58" customWidth="1"/>
    <col min="4866" max="4866" width="45.5" style="58" customWidth="1"/>
    <col min="4867" max="4867" width="12.5" style="58" bestFit="1" customWidth="1"/>
    <col min="4868" max="4868" width="13.625" style="58" bestFit="1" customWidth="1"/>
    <col min="4869" max="5120" width="9" style="58"/>
    <col min="5121" max="5121" width="22.875" style="58" customWidth="1"/>
    <col min="5122" max="5122" width="45.5" style="58" customWidth="1"/>
    <col min="5123" max="5123" width="12.5" style="58" bestFit="1" customWidth="1"/>
    <col min="5124" max="5124" width="13.625" style="58" bestFit="1" customWidth="1"/>
    <col min="5125" max="5376" width="9" style="58"/>
    <col min="5377" max="5377" width="22.875" style="58" customWidth="1"/>
    <col min="5378" max="5378" width="45.5" style="58" customWidth="1"/>
    <col min="5379" max="5379" width="12.5" style="58" bestFit="1" customWidth="1"/>
    <col min="5380" max="5380" width="13.625" style="58" bestFit="1" customWidth="1"/>
    <col min="5381" max="5632" width="9" style="58"/>
    <col min="5633" max="5633" width="22.875" style="58" customWidth="1"/>
    <col min="5634" max="5634" width="45.5" style="58" customWidth="1"/>
    <col min="5635" max="5635" width="12.5" style="58" bestFit="1" customWidth="1"/>
    <col min="5636" max="5636" width="13.625" style="58" bestFit="1" customWidth="1"/>
    <col min="5637" max="5888" width="9" style="58"/>
    <col min="5889" max="5889" width="22.875" style="58" customWidth="1"/>
    <col min="5890" max="5890" width="45.5" style="58" customWidth="1"/>
    <col min="5891" max="5891" width="12.5" style="58" bestFit="1" customWidth="1"/>
    <col min="5892" max="5892" width="13.625" style="58" bestFit="1" customWidth="1"/>
    <col min="5893" max="6144" width="9" style="58"/>
    <col min="6145" max="6145" width="22.875" style="58" customWidth="1"/>
    <col min="6146" max="6146" width="45.5" style="58" customWidth="1"/>
    <col min="6147" max="6147" width="12.5" style="58" bestFit="1" customWidth="1"/>
    <col min="6148" max="6148" width="13.625" style="58" bestFit="1" customWidth="1"/>
    <col min="6149" max="6400" width="9" style="58"/>
    <col min="6401" max="6401" width="22.875" style="58" customWidth="1"/>
    <col min="6402" max="6402" width="45.5" style="58" customWidth="1"/>
    <col min="6403" max="6403" width="12.5" style="58" bestFit="1" customWidth="1"/>
    <col min="6404" max="6404" width="13.625" style="58" bestFit="1" customWidth="1"/>
    <col min="6405" max="6656" width="9" style="58"/>
    <col min="6657" max="6657" width="22.875" style="58" customWidth="1"/>
    <col min="6658" max="6658" width="45.5" style="58" customWidth="1"/>
    <col min="6659" max="6659" width="12.5" style="58" bestFit="1" customWidth="1"/>
    <col min="6660" max="6660" width="13.625" style="58" bestFit="1" customWidth="1"/>
    <col min="6661" max="6912" width="9" style="58"/>
    <col min="6913" max="6913" width="22.875" style="58" customWidth="1"/>
    <col min="6914" max="6914" width="45.5" style="58" customWidth="1"/>
    <col min="6915" max="6915" width="12.5" style="58" bestFit="1" customWidth="1"/>
    <col min="6916" max="6916" width="13.625" style="58" bestFit="1" customWidth="1"/>
    <col min="6917" max="7168" width="9" style="58"/>
    <col min="7169" max="7169" width="22.875" style="58" customWidth="1"/>
    <col min="7170" max="7170" width="45.5" style="58" customWidth="1"/>
    <col min="7171" max="7171" width="12.5" style="58" bestFit="1" customWidth="1"/>
    <col min="7172" max="7172" width="13.625" style="58" bestFit="1" customWidth="1"/>
    <col min="7173" max="7424" width="9" style="58"/>
    <col min="7425" max="7425" width="22.875" style="58" customWidth="1"/>
    <col min="7426" max="7426" width="45.5" style="58" customWidth="1"/>
    <col min="7427" max="7427" width="12.5" style="58" bestFit="1" customWidth="1"/>
    <col min="7428" max="7428" width="13.625" style="58" bestFit="1" customWidth="1"/>
    <col min="7429" max="7680" width="9" style="58"/>
    <col min="7681" max="7681" width="22.875" style="58" customWidth="1"/>
    <col min="7682" max="7682" width="45.5" style="58" customWidth="1"/>
    <col min="7683" max="7683" width="12.5" style="58" bestFit="1" customWidth="1"/>
    <col min="7684" max="7684" width="13.625" style="58" bestFit="1" customWidth="1"/>
    <col min="7685" max="7936" width="9" style="58"/>
    <col min="7937" max="7937" width="22.875" style="58" customWidth="1"/>
    <col min="7938" max="7938" width="45.5" style="58" customWidth="1"/>
    <col min="7939" max="7939" width="12.5" style="58" bestFit="1" customWidth="1"/>
    <col min="7940" max="7940" width="13.625" style="58" bestFit="1" customWidth="1"/>
    <col min="7941" max="8192" width="9" style="58"/>
    <col min="8193" max="8193" width="22.875" style="58" customWidth="1"/>
    <col min="8194" max="8194" width="45.5" style="58" customWidth="1"/>
    <col min="8195" max="8195" width="12.5" style="58" bestFit="1" customWidth="1"/>
    <col min="8196" max="8196" width="13.625" style="58" bestFit="1" customWidth="1"/>
    <col min="8197" max="8448" width="9" style="58"/>
    <col min="8449" max="8449" width="22.875" style="58" customWidth="1"/>
    <col min="8450" max="8450" width="45.5" style="58" customWidth="1"/>
    <col min="8451" max="8451" width="12.5" style="58" bestFit="1" customWidth="1"/>
    <col min="8452" max="8452" width="13.625" style="58" bestFit="1" customWidth="1"/>
    <col min="8453" max="8704" width="9" style="58"/>
    <col min="8705" max="8705" width="22.875" style="58" customWidth="1"/>
    <col min="8706" max="8706" width="45.5" style="58" customWidth="1"/>
    <col min="8707" max="8707" width="12.5" style="58" bestFit="1" customWidth="1"/>
    <col min="8708" max="8708" width="13.625" style="58" bestFit="1" customWidth="1"/>
    <col min="8709" max="8960" width="9" style="58"/>
    <col min="8961" max="8961" width="22.875" style="58" customWidth="1"/>
    <col min="8962" max="8962" width="45.5" style="58" customWidth="1"/>
    <col min="8963" max="8963" width="12.5" style="58" bestFit="1" customWidth="1"/>
    <col min="8964" max="8964" width="13.625" style="58" bestFit="1" customWidth="1"/>
    <col min="8965" max="9216" width="9" style="58"/>
    <col min="9217" max="9217" width="22.875" style="58" customWidth="1"/>
    <col min="9218" max="9218" width="45.5" style="58" customWidth="1"/>
    <col min="9219" max="9219" width="12.5" style="58" bestFit="1" customWidth="1"/>
    <col min="9220" max="9220" width="13.625" style="58" bestFit="1" customWidth="1"/>
    <col min="9221" max="9472" width="9" style="58"/>
    <col min="9473" max="9473" width="22.875" style="58" customWidth="1"/>
    <col min="9474" max="9474" width="45.5" style="58" customWidth="1"/>
    <col min="9475" max="9475" width="12.5" style="58" bestFit="1" customWidth="1"/>
    <col min="9476" max="9476" width="13.625" style="58" bestFit="1" customWidth="1"/>
    <col min="9477" max="9728" width="9" style="58"/>
    <col min="9729" max="9729" width="22.875" style="58" customWidth="1"/>
    <col min="9730" max="9730" width="45.5" style="58" customWidth="1"/>
    <col min="9731" max="9731" width="12.5" style="58" bestFit="1" customWidth="1"/>
    <col min="9732" max="9732" width="13.625" style="58" bestFit="1" customWidth="1"/>
    <col min="9733" max="9984" width="9" style="58"/>
    <col min="9985" max="9985" width="22.875" style="58" customWidth="1"/>
    <col min="9986" max="9986" width="45.5" style="58" customWidth="1"/>
    <col min="9987" max="9987" width="12.5" style="58" bestFit="1" customWidth="1"/>
    <col min="9988" max="9988" width="13.625" style="58" bestFit="1" customWidth="1"/>
    <col min="9989" max="10240" width="9" style="58"/>
    <col min="10241" max="10241" width="22.875" style="58" customWidth="1"/>
    <col min="10242" max="10242" width="45.5" style="58" customWidth="1"/>
    <col min="10243" max="10243" width="12.5" style="58" bestFit="1" customWidth="1"/>
    <col min="10244" max="10244" width="13.625" style="58" bestFit="1" customWidth="1"/>
    <col min="10245" max="10496" width="9" style="58"/>
    <col min="10497" max="10497" width="22.875" style="58" customWidth="1"/>
    <col min="10498" max="10498" width="45.5" style="58" customWidth="1"/>
    <col min="10499" max="10499" width="12.5" style="58" bestFit="1" customWidth="1"/>
    <col min="10500" max="10500" width="13.625" style="58" bestFit="1" customWidth="1"/>
    <col min="10501" max="10752" width="9" style="58"/>
    <col min="10753" max="10753" width="22.875" style="58" customWidth="1"/>
    <col min="10754" max="10754" width="45.5" style="58" customWidth="1"/>
    <col min="10755" max="10755" width="12.5" style="58" bestFit="1" customWidth="1"/>
    <col min="10756" max="10756" width="13.625" style="58" bestFit="1" customWidth="1"/>
    <col min="10757" max="11008" width="9" style="58"/>
    <col min="11009" max="11009" width="22.875" style="58" customWidth="1"/>
    <col min="11010" max="11010" width="45.5" style="58" customWidth="1"/>
    <col min="11011" max="11011" width="12.5" style="58" bestFit="1" customWidth="1"/>
    <col min="11012" max="11012" width="13.625" style="58" bestFit="1" customWidth="1"/>
    <col min="11013" max="11264" width="9" style="58"/>
    <col min="11265" max="11265" width="22.875" style="58" customWidth="1"/>
    <col min="11266" max="11266" width="45.5" style="58" customWidth="1"/>
    <col min="11267" max="11267" width="12.5" style="58" bestFit="1" customWidth="1"/>
    <col min="11268" max="11268" width="13.625" style="58" bestFit="1" customWidth="1"/>
    <col min="11269" max="11520" width="9" style="58"/>
    <col min="11521" max="11521" width="22.875" style="58" customWidth="1"/>
    <col min="11522" max="11522" width="45.5" style="58" customWidth="1"/>
    <col min="11523" max="11523" width="12.5" style="58" bestFit="1" customWidth="1"/>
    <col min="11524" max="11524" width="13.625" style="58" bestFit="1" customWidth="1"/>
    <col min="11525" max="11776" width="9" style="58"/>
    <col min="11777" max="11777" width="22.875" style="58" customWidth="1"/>
    <col min="11778" max="11778" width="45.5" style="58" customWidth="1"/>
    <col min="11779" max="11779" width="12.5" style="58" bestFit="1" customWidth="1"/>
    <col min="11780" max="11780" width="13.625" style="58" bestFit="1" customWidth="1"/>
    <col min="11781" max="12032" width="9" style="58"/>
    <col min="12033" max="12033" width="22.875" style="58" customWidth="1"/>
    <col min="12034" max="12034" width="45.5" style="58" customWidth="1"/>
    <col min="12035" max="12035" width="12.5" style="58" bestFit="1" customWidth="1"/>
    <col min="12036" max="12036" width="13.625" style="58" bestFit="1" customWidth="1"/>
    <col min="12037" max="12288" width="9" style="58"/>
    <col min="12289" max="12289" width="22.875" style="58" customWidth="1"/>
    <col min="12290" max="12290" width="45.5" style="58" customWidth="1"/>
    <col min="12291" max="12291" width="12.5" style="58" bestFit="1" customWidth="1"/>
    <col min="12292" max="12292" width="13.625" style="58" bestFit="1" customWidth="1"/>
    <col min="12293" max="12544" width="9" style="58"/>
    <col min="12545" max="12545" width="22.875" style="58" customWidth="1"/>
    <col min="12546" max="12546" width="45.5" style="58" customWidth="1"/>
    <col min="12547" max="12547" width="12.5" style="58" bestFit="1" customWidth="1"/>
    <col min="12548" max="12548" width="13.625" style="58" bestFit="1" customWidth="1"/>
    <col min="12549" max="12800" width="9" style="58"/>
    <col min="12801" max="12801" width="22.875" style="58" customWidth="1"/>
    <col min="12802" max="12802" width="45.5" style="58" customWidth="1"/>
    <col min="12803" max="12803" width="12.5" style="58" bestFit="1" customWidth="1"/>
    <col min="12804" max="12804" width="13.625" style="58" bestFit="1" customWidth="1"/>
    <col min="12805" max="13056" width="9" style="58"/>
    <col min="13057" max="13057" width="22.875" style="58" customWidth="1"/>
    <col min="13058" max="13058" width="45.5" style="58" customWidth="1"/>
    <col min="13059" max="13059" width="12.5" style="58" bestFit="1" customWidth="1"/>
    <col min="13060" max="13060" width="13.625" style="58" bestFit="1" customWidth="1"/>
    <col min="13061" max="13312" width="9" style="58"/>
    <col min="13313" max="13313" width="22.875" style="58" customWidth="1"/>
    <col min="13314" max="13314" width="45.5" style="58" customWidth="1"/>
    <col min="13315" max="13315" width="12.5" style="58" bestFit="1" customWidth="1"/>
    <col min="13316" max="13316" width="13.625" style="58" bestFit="1" customWidth="1"/>
    <col min="13317" max="13568" width="9" style="58"/>
    <col min="13569" max="13569" width="22.875" style="58" customWidth="1"/>
    <col min="13570" max="13570" width="45.5" style="58" customWidth="1"/>
    <col min="13571" max="13571" width="12.5" style="58" bestFit="1" customWidth="1"/>
    <col min="13572" max="13572" width="13.625" style="58" bestFit="1" customWidth="1"/>
    <col min="13573" max="13824" width="9" style="58"/>
    <col min="13825" max="13825" width="22.875" style="58" customWidth="1"/>
    <col min="13826" max="13826" width="45.5" style="58" customWidth="1"/>
    <col min="13827" max="13827" width="12.5" style="58" bestFit="1" customWidth="1"/>
    <col min="13828" max="13828" width="13.625" style="58" bestFit="1" customWidth="1"/>
    <col min="13829" max="14080" width="9" style="58"/>
    <col min="14081" max="14081" width="22.875" style="58" customWidth="1"/>
    <col min="14082" max="14082" width="45.5" style="58" customWidth="1"/>
    <col min="14083" max="14083" width="12.5" style="58" bestFit="1" customWidth="1"/>
    <col min="14084" max="14084" width="13.625" style="58" bestFit="1" customWidth="1"/>
    <col min="14085" max="14336" width="9" style="58"/>
    <col min="14337" max="14337" width="22.875" style="58" customWidth="1"/>
    <col min="14338" max="14338" width="45.5" style="58" customWidth="1"/>
    <col min="14339" max="14339" width="12.5" style="58" bestFit="1" customWidth="1"/>
    <col min="14340" max="14340" width="13.625" style="58" bestFit="1" customWidth="1"/>
    <col min="14341" max="14592" width="9" style="58"/>
    <col min="14593" max="14593" width="22.875" style="58" customWidth="1"/>
    <col min="14594" max="14594" width="45.5" style="58" customWidth="1"/>
    <col min="14595" max="14595" width="12.5" style="58" bestFit="1" customWidth="1"/>
    <col min="14596" max="14596" width="13.625" style="58" bestFit="1" customWidth="1"/>
    <col min="14597" max="14848" width="9" style="58"/>
    <col min="14849" max="14849" width="22.875" style="58" customWidth="1"/>
    <col min="14850" max="14850" width="45.5" style="58" customWidth="1"/>
    <col min="14851" max="14851" width="12.5" style="58" bestFit="1" customWidth="1"/>
    <col min="14852" max="14852" width="13.625" style="58" bestFit="1" customWidth="1"/>
    <col min="14853" max="15104" width="9" style="58"/>
    <col min="15105" max="15105" width="22.875" style="58" customWidth="1"/>
    <col min="15106" max="15106" width="45.5" style="58" customWidth="1"/>
    <col min="15107" max="15107" width="12.5" style="58" bestFit="1" customWidth="1"/>
    <col min="15108" max="15108" width="13.625" style="58" bestFit="1" customWidth="1"/>
    <col min="15109" max="15360" width="9" style="58"/>
    <col min="15361" max="15361" width="22.875" style="58" customWidth="1"/>
    <col min="15362" max="15362" width="45.5" style="58" customWidth="1"/>
    <col min="15363" max="15363" width="12.5" style="58" bestFit="1" customWidth="1"/>
    <col min="15364" max="15364" width="13.625" style="58" bestFit="1" customWidth="1"/>
    <col min="15365" max="15616" width="9" style="58"/>
    <col min="15617" max="15617" width="22.875" style="58" customWidth="1"/>
    <col min="15618" max="15618" width="45.5" style="58" customWidth="1"/>
    <col min="15619" max="15619" width="12.5" style="58" bestFit="1" customWidth="1"/>
    <col min="15620" max="15620" width="13.625" style="58" bestFit="1" customWidth="1"/>
    <col min="15621" max="15872" width="9" style="58"/>
    <col min="15873" max="15873" width="22.875" style="58" customWidth="1"/>
    <col min="15874" max="15874" width="45.5" style="58" customWidth="1"/>
    <col min="15875" max="15875" width="12.5" style="58" bestFit="1" customWidth="1"/>
    <col min="15876" max="15876" width="13.625" style="58" bestFit="1" customWidth="1"/>
    <col min="15877" max="16128" width="9" style="58"/>
    <col min="16129" max="16129" width="22.875" style="58" customWidth="1"/>
    <col min="16130" max="16130" width="45.5" style="58" customWidth="1"/>
    <col min="16131" max="16131" width="12.5" style="58" bestFit="1" customWidth="1"/>
    <col min="16132" max="16132" width="13.625" style="58" bestFit="1" customWidth="1"/>
    <col min="16133" max="16384" width="9" style="58"/>
  </cols>
  <sheetData>
    <row r="1" spans="1:6">
      <c r="A1" s="327" t="str">
        <f>+Control!D3</f>
        <v>AAAMOP ENTERTAINMENT LIMITED</v>
      </c>
      <c r="B1" s="327"/>
      <c r="C1" s="327"/>
      <c r="D1" s="327"/>
    </row>
    <row r="2" spans="1:6">
      <c r="A2" s="62"/>
      <c r="B2" s="62"/>
      <c r="C2" s="62"/>
      <c r="D2" s="63"/>
    </row>
    <row r="3" spans="1:6">
      <c r="A3" s="327" t="str">
        <f>+CONCATENATE(E3,F3)</f>
        <v>FILE NO. : 62513946-000</v>
      </c>
      <c r="B3" s="327"/>
      <c r="C3" s="327"/>
      <c r="D3" s="327"/>
      <c r="E3" s="58" t="s">
        <v>179</v>
      </c>
      <c r="F3" s="58" t="str">
        <f>+Control!D75</f>
        <v>62513946-000</v>
      </c>
    </row>
    <row r="4" spans="1:6">
      <c r="A4" s="62"/>
      <c r="B4" s="62"/>
      <c r="C4" s="62"/>
      <c r="D4" s="63"/>
    </row>
    <row r="5" spans="1:6">
      <c r="A5" s="327" t="s">
        <v>180</v>
      </c>
      <c r="B5" s="327"/>
      <c r="C5" s="327"/>
      <c r="D5" s="327"/>
    </row>
    <row r="6" spans="1:6">
      <c r="A6" s="62"/>
      <c r="B6" s="62"/>
      <c r="C6" s="62"/>
      <c r="D6" s="63"/>
    </row>
    <row r="7" spans="1:6">
      <c r="A7" s="327" t="s">
        <v>181</v>
      </c>
      <c r="B7" s="327"/>
      <c r="C7" s="327"/>
      <c r="D7" s="327"/>
    </row>
    <row r="8" spans="1:6">
      <c r="A8" s="62"/>
      <c r="B8" s="62"/>
      <c r="C8" s="62"/>
      <c r="D8" s="63"/>
    </row>
    <row r="9" spans="1:6">
      <c r="A9" s="329" t="str">
        <f>+Control!D120</f>
        <v>2016/17</v>
      </c>
      <c r="B9" s="329"/>
      <c r="C9" s="329"/>
      <c r="D9" s="329"/>
    </row>
    <row r="10" spans="1:6">
      <c r="A10" s="330" t="str">
        <f>+CONCATENATE(E10,Control!D122,'T com (loss)'!E11)</f>
        <v>(Basis Period: )</v>
      </c>
      <c r="B10" s="330"/>
      <c r="C10" s="330"/>
      <c r="D10" s="330"/>
      <c r="E10" s="58" t="s">
        <v>182</v>
      </c>
    </row>
    <row r="11" spans="1:6">
      <c r="A11" s="64"/>
      <c r="B11" s="64"/>
      <c r="C11" s="64"/>
      <c r="D11" s="129"/>
      <c r="E11" s="58" t="s">
        <v>0</v>
      </c>
    </row>
    <row r="12" spans="1:6">
      <c r="D12" s="128" t="s">
        <v>183</v>
      </c>
    </row>
    <row r="14" spans="1:6">
      <c r="A14" s="58" t="str">
        <f>+IF(D14&lt;1,"LOSS:","PROFIT:")</f>
        <v>LOSS:</v>
      </c>
      <c r="B14" s="58" t="s">
        <v>184</v>
      </c>
      <c r="D14" s="66">
        <f>IF(Control!D30=0,Section3!C12,Section3!E12)</f>
        <v>-1537691</v>
      </c>
    </row>
    <row r="15" spans="1:6">
      <c r="B15" s="58" t="s">
        <v>187</v>
      </c>
      <c r="C15" s="67"/>
      <c r="F15" s="58">
        <v>7900</v>
      </c>
    </row>
    <row r="16" spans="1:6">
      <c r="C16" s="67"/>
      <c r="D16" s="66"/>
    </row>
    <row r="17" spans="1:8">
      <c r="A17" s="58" t="s">
        <v>317</v>
      </c>
      <c r="B17" s="58" t="s">
        <v>339</v>
      </c>
      <c r="C17" s="67"/>
      <c r="D17" s="66">
        <f>924444</f>
        <v>924444</v>
      </c>
    </row>
    <row r="18" spans="1:8">
      <c r="B18" s="58" t="s">
        <v>340</v>
      </c>
      <c r="C18" s="67"/>
      <c r="D18" s="66">
        <v>9551</v>
      </c>
    </row>
    <row r="19" spans="1:8" hidden="1">
      <c r="B19" s="58" t="s">
        <v>319</v>
      </c>
      <c r="C19" s="67"/>
      <c r="D19" s="66">
        <v>0</v>
      </c>
    </row>
    <row r="20" spans="1:8">
      <c r="C20" s="67"/>
      <c r="D20" s="66"/>
    </row>
    <row r="21" spans="1:8">
      <c r="A21" s="58" t="str">
        <f>IF(Control!D124=0," ","LESS:")</f>
        <v>LESS:</v>
      </c>
      <c r="B21" s="58" t="str">
        <f>IF(Control!D124=0," ","Interest income")</f>
        <v>Interest income</v>
      </c>
      <c r="C21" s="67"/>
      <c r="D21" s="70">
        <f>IF(Control!D124=0," ",Control!D124)</f>
        <v>-9</v>
      </c>
      <c r="F21" s="58">
        <v>-4716</v>
      </c>
    </row>
    <row r="22" spans="1:8" hidden="1">
      <c r="B22" s="58" t="s">
        <v>337</v>
      </c>
      <c r="C22" s="67"/>
      <c r="D22" s="70">
        <v>0</v>
      </c>
    </row>
    <row r="23" spans="1:8" hidden="1">
      <c r="B23" s="58" t="s">
        <v>338</v>
      </c>
      <c r="D23" s="66">
        <v>0</v>
      </c>
    </row>
    <row r="24" spans="1:8">
      <c r="D24" s="71"/>
      <c r="F24" s="67">
        <f>+D21+F21+F15+D14</f>
        <v>-1534516</v>
      </c>
    </row>
    <row r="25" spans="1:8">
      <c r="A25" s="58" t="str">
        <f>+IF(D25&lt;1,"ADJUSTED LOSS:","ASSESSABLE PROFIT:")</f>
        <v>ADJUSTED LOSS:</v>
      </c>
      <c r="B25" s="58" t="str">
        <f>+CONCATENATE(E25,A9)</f>
        <v>For the Year of Assessment 2016/17</v>
      </c>
      <c r="D25" s="113">
        <f>SUM(D14:D24)</f>
        <v>-603705</v>
      </c>
      <c r="E25" s="58" t="s">
        <v>188</v>
      </c>
    </row>
    <row r="26" spans="1:8">
      <c r="A26" s="58" t="s">
        <v>191</v>
      </c>
      <c r="D26" s="66">
        <f>Control!D127</f>
        <v>0</v>
      </c>
    </row>
    <row r="27" spans="1:8" ht="16.5" thickBot="1">
      <c r="D27" s="72">
        <f>+D25+D26</f>
        <v>-603705</v>
      </c>
      <c r="F27" s="67">
        <f>+F24+D26</f>
        <v>-1534516</v>
      </c>
    </row>
    <row r="28" spans="1:8" ht="16.5" thickTop="1"/>
    <row r="29" spans="1:8">
      <c r="A29" s="327" t="str">
        <f>+CONCATENATE(E30,E31,E32,E37,F37,G37)</f>
        <v>FINAL ASSESSMENT 2016/17 AND PROVISIONAL PAYMENT 2017/18</v>
      </c>
      <c r="B29" s="327"/>
      <c r="C29" s="327"/>
      <c r="D29" s="327"/>
    </row>
    <row r="30" spans="1:8">
      <c r="D30" s="58"/>
      <c r="E30" s="58" t="s">
        <v>192</v>
      </c>
      <c r="H30" s="58">
        <v>11537</v>
      </c>
    </row>
    <row r="31" spans="1:8">
      <c r="A31" s="62" t="s">
        <v>193</v>
      </c>
      <c r="D31" s="58"/>
      <c r="E31" s="58" t="str">
        <f>+Control!D120</f>
        <v>2016/17</v>
      </c>
      <c r="H31" s="58">
        <v>8653</v>
      </c>
    </row>
    <row r="32" spans="1:8">
      <c r="D32" s="58"/>
      <c r="E32" s="58" t="s">
        <v>194</v>
      </c>
      <c r="H32" s="58">
        <f>+H30-H31</f>
        <v>2884</v>
      </c>
    </row>
    <row r="33" spans="1:9" ht="16.5" thickBot="1">
      <c r="A33" s="58" t="str">
        <f>+CONCATENATE(E39,A9)</f>
        <v>Assessable profit for the year of assessment 2016/17</v>
      </c>
      <c r="C33" s="73">
        <f>+D27</f>
        <v>-603705</v>
      </c>
      <c r="D33" s="67"/>
      <c r="E33" s="119">
        <v>42460</v>
      </c>
      <c r="F33" s="119">
        <f>+Control!D12</f>
        <v>42582</v>
      </c>
      <c r="G33" s="118">
        <f>+F33-E33</f>
        <v>122</v>
      </c>
    </row>
    <row r="34" spans="1:9" ht="16.5" thickTop="1">
      <c r="C34" s="67"/>
      <c r="D34" s="67"/>
      <c r="E34" s="119">
        <v>42094</v>
      </c>
      <c r="F34" s="119">
        <f>+Control!D12</f>
        <v>42582</v>
      </c>
      <c r="G34" s="118">
        <f>+F34-E34</f>
        <v>488</v>
      </c>
    </row>
    <row r="35" spans="1:9">
      <c r="A35" s="58" t="s">
        <v>262</v>
      </c>
      <c r="C35" s="67"/>
      <c r="D35" s="67">
        <f>+ROUND(C33*0.165,0)</f>
        <v>-99611</v>
      </c>
      <c r="E35" s="119">
        <v>41729</v>
      </c>
      <c r="F35" s="119">
        <f>+Control!D12</f>
        <v>42582</v>
      </c>
      <c r="G35" s="118">
        <f>+F35-E35</f>
        <v>853</v>
      </c>
    </row>
    <row r="36" spans="1:9">
      <c r="C36" s="67"/>
      <c r="D36" s="67"/>
      <c r="E36" s="118" t="str">
        <f>+LEFT(A9,4)</f>
        <v>2016</v>
      </c>
      <c r="F36" s="58" t="s">
        <v>196</v>
      </c>
      <c r="G36" s="58" t="str">
        <f>RIGHT(A9,2)</f>
        <v>17</v>
      </c>
    </row>
    <row r="37" spans="1:9">
      <c r="A37" s="58" t="str">
        <f>+IF(G33&gt;0,"",CONCATENATE(E41,F41))</f>
        <v/>
      </c>
      <c r="C37" s="67"/>
      <c r="D37" s="114" t="str">
        <f>+IF(G33&gt;0,"",MAX(-ROUND(D35*0.75,0),-Section6!#REF!))</f>
        <v/>
      </c>
      <c r="E37" s="58">
        <f>+E36+1</f>
        <v>2017</v>
      </c>
      <c r="F37" s="58" t="s">
        <v>196</v>
      </c>
      <c r="G37" s="58">
        <f>+G36+1</f>
        <v>18</v>
      </c>
    </row>
    <row r="38" spans="1:9">
      <c r="C38" s="67"/>
      <c r="D38" s="67">
        <f>+IF(G33&gt;0,D35,D35+D37)</f>
        <v>-99611</v>
      </c>
      <c r="I38" s="147"/>
    </row>
    <row r="39" spans="1:9">
      <c r="A39" s="62" t="s">
        <v>198</v>
      </c>
      <c r="C39" s="67"/>
      <c r="D39" s="67"/>
      <c r="E39" s="58" t="s">
        <v>197</v>
      </c>
    </row>
    <row r="40" spans="1:9">
      <c r="C40" s="67"/>
      <c r="D40" s="67"/>
    </row>
    <row r="41" spans="1:9" ht="16.5" thickBot="1">
      <c r="A41" s="58" t="str">
        <f>+CONCATENATE(E39,E37,F37,G37)</f>
        <v>Assessable profit for the year of assessment 2017/18</v>
      </c>
      <c r="C41" s="73">
        <f>+D25</f>
        <v>-603705</v>
      </c>
      <c r="D41" s="67"/>
      <c r="E41" s="58" t="s">
        <v>236</v>
      </c>
      <c r="F41" s="115" t="e">
        <f>+Section6!#REF!</f>
        <v>#REF!</v>
      </c>
    </row>
    <row r="42" spans="1:9" ht="16.5" thickTop="1">
      <c r="C42" s="67"/>
      <c r="D42" s="67"/>
    </row>
    <row r="43" spans="1:9">
      <c r="A43" s="58" t="s">
        <v>195</v>
      </c>
      <c r="C43" s="67"/>
      <c r="D43" s="74">
        <f>+C41*0.165</f>
        <v>-99611.325000000012</v>
      </c>
      <c r="E43" s="58" t="e">
        <f>+IF(G43&gt;=2015,"",CONCATENATE(E41,F41))</f>
        <v>#REF!</v>
      </c>
    </row>
    <row r="44" spans="1:9">
      <c r="C44" s="67"/>
      <c r="D44" s="75"/>
    </row>
    <row r="45" spans="1:9" ht="16.5" thickBot="1">
      <c r="A45" s="58" t="s">
        <v>199</v>
      </c>
      <c r="C45" s="67"/>
      <c r="D45" s="73">
        <f>+D38+D43</f>
        <v>-199222.32500000001</v>
      </c>
    </row>
    <row r="46" spans="1:9" ht="16.5" thickTop="1">
      <c r="D46" s="58"/>
    </row>
  </sheetData>
  <mergeCells count="7">
    <mergeCell ref="A29:D29"/>
    <mergeCell ref="A1:D1"/>
    <mergeCell ref="A3:D3"/>
    <mergeCell ref="A5:D5"/>
    <mergeCell ref="A7:D7"/>
    <mergeCell ref="A9:D9"/>
    <mergeCell ref="A10:D10"/>
  </mergeCells>
  <phoneticPr fontId="11" type="noConversion"/>
  <pageMargins left="0.7" right="0.7" top="0.75" bottom="0.75" header="0.3" footer="0.3"/>
  <pageSetup paperSize="9" scale="92"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5">
    <pageSetUpPr fitToPage="1"/>
  </sheetPr>
  <dimension ref="A1:H35"/>
  <sheetViews>
    <sheetView zoomScale="75" workbookViewId="0">
      <selection activeCell="J45" sqref="J45"/>
    </sheetView>
  </sheetViews>
  <sheetFormatPr defaultRowHeight="15.75"/>
  <cols>
    <col min="1" max="1" width="28.25" style="149" customWidth="1"/>
    <col min="2" max="2" width="10.125" style="149" bestFit="1" customWidth="1"/>
    <col min="3" max="3" width="4.125" style="149" customWidth="1"/>
    <col min="4" max="4" width="11.25" style="149" bestFit="1" customWidth="1"/>
    <col min="5" max="5" width="4.125" style="149" customWidth="1"/>
    <col min="6" max="6" width="11.25" style="149" customWidth="1"/>
    <col min="7" max="7" width="4" style="149" customWidth="1"/>
    <col min="8" max="8" width="12.5" style="149" bestFit="1" customWidth="1"/>
    <col min="9" max="256" width="9" style="149"/>
    <col min="257" max="257" width="28.25" style="149" customWidth="1"/>
    <col min="258" max="258" width="10.125" style="149" bestFit="1" customWidth="1"/>
    <col min="259" max="259" width="4.125" style="149" customWidth="1"/>
    <col min="260" max="260" width="11.25" style="149" bestFit="1" customWidth="1"/>
    <col min="261" max="261" width="4.125" style="149" customWidth="1"/>
    <col min="262" max="262" width="11.25" style="149" customWidth="1"/>
    <col min="263" max="263" width="4" style="149" customWidth="1"/>
    <col min="264" max="264" width="12.5" style="149" bestFit="1" customWidth="1"/>
    <col min="265" max="512" width="9" style="149"/>
    <col min="513" max="513" width="28.25" style="149" customWidth="1"/>
    <col min="514" max="514" width="10.125" style="149" bestFit="1" customWidth="1"/>
    <col min="515" max="515" width="4.125" style="149" customWidth="1"/>
    <col min="516" max="516" width="11.25" style="149" bestFit="1" customWidth="1"/>
    <col min="517" max="517" width="4.125" style="149" customWidth="1"/>
    <col min="518" max="518" width="11.25" style="149" customWidth="1"/>
    <col min="519" max="519" width="4" style="149" customWidth="1"/>
    <col min="520" max="520" width="12.5" style="149" bestFit="1" customWidth="1"/>
    <col min="521" max="768" width="9" style="149"/>
    <col min="769" max="769" width="28.25" style="149" customWidth="1"/>
    <col min="770" max="770" width="10.125" style="149" bestFit="1" customWidth="1"/>
    <col min="771" max="771" width="4.125" style="149" customWidth="1"/>
    <col min="772" max="772" width="11.25" style="149" bestFit="1" customWidth="1"/>
    <col min="773" max="773" width="4.125" style="149" customWidth="1"/>
    <col min="774" max="774" width="11.25" style="149" customWidth="1"/>
    <col min="775" max="775" width="4" style="149" customWidth="1"/>
    <col min="776" max="776" width="12.5" style="149" bestFit="1" customWidth="1"/>
    <col min="777" max="1024" width="9" style="149"/>
    <col min="1025" max="1025" width="28.25" style="149" customWidth="1"/>
    <col min="1026" max="1026" width="10.125" style="149" bestFit="1" customWidth="1"/>
    <col min="1027" max="1027" width="4.125" style="149" customWidth="1"/>
    <col min="1028" max="1028" width="11.25" style="149" bestFit="1" customWidth="1"/>
    <col min="1029" max="1029" width="4.125" style="149" customWidth="1"/>
    <col min="1030" max="1030" width="11.25" style="149" customWidth="1"/>
    <col min="1031" max="1031" width="4" style="149" customWidth="1"/>
    <col min="1032" max="1032" width="12.5" style="149" bestFit="1" customWidth="1"/>
    <col min="1033" max="1280" width="9" style="149"/>
    <col min="1281" max="1281" width="28.25" style="149" customWidth="1"/>
    <col min="1282" max="1282" width="10.125" style="149" bestFit="1" customWidth="1"/>
    <col min="1283" max="1283" width="4.125" style="149" customWidth="1"/>
    <col min="1284" max="1284" width="11.25" style="149" bestFit="1" customWidth="1"/>
    <col min="1285" max="1285" width="4.125" style="149" customWidth="1"/>
    <col min="1286" max="1286" width="11.25" style="149" customWidth="1"/>
    <col min="1287" max="1287" width="4" style="149" customWidth="1"/>
    <col min="1288" max="1288" width="12.5" style="149" bestFit="1" customWidth="1"/>
    <col min="1289" max="1536" width="9" style="149"/>
    <col min="1537" max="1537" width="28.25" style="149" customWidth="1"/>
    <col min="1538" max="1538" width="10.125" style="149" bestFit="1" customWidth="1"/>
    <col min="1539" max="1539" width="4.125" style="149" customWidth="1"/>
    <col min="1540" max="1540" width="11.25" style="149" bestFit="1" customWidth="1"/>
    <col min="1541" max="1541" width="4.125" style="149" customWidth="1"/>
    <col min="1542" max="1542" width="11.25" style="149" customWidth="1"/>
    <col min="1543" max="1543" width="4" style="149" customWidth="1"/>
    <col min="1544" max="1544" width="12.5" style="149" bestFit="1" customWidth="1"/>
    <col min="1545" max="1792" width="9" style="149"/>
    <col min="1793" max="1793" width="28.25" style="149" customWidth="1"/>
    <col min="1794" max="1794" width="10.125" style="149" bestFit="1" customWidth="1"/>
    <col min="1795" max="1795" width="4.125" style="149" customWidth="1"/>
    <col min="1796" max="1796" width="11.25" style="149" bestFit="1" customWidth="1"/>
    <col min="1797" max="1797" width="4.125" style="149" customWidth="1"/>
    <col min="1798" max="1798" width="11.25" style="149" customWidth="1"/>
    <col min="1799" max="1799" width="4" style="149" customWidth="1"/>
    <col min="1800" max="1800" width="12.5" style="149" bestFit="1" customWidth="1"/>
    <col min="1801" max="2048" width="9" style="149"/>
    <col min="2049" max="2049" width="28.25" style="149" customWidth="1"/>
    <col min="2050" max="2050" width="10.125" style="149" bestFit="1" customWidth="1"/>
    <col min="2051" max="2051" width="4.125" style="149" customWidth="1"/>
    <col min="2052" max="2052" width="11.25" style="149" bestFit="1" customWidth="1"/>
    <col min="2053" max="2053" width="4.125" style="149" customWidth="1"/>
    <col min="2054" max="2054" width="11.25" style="149" customWidth="1"/>
    <col min="2055" max="2055" width="4" style="149" customWidth="1"/>
    <col min="2056" max="2056" width="12.5" style="149" bestFit="1" customWidth="1"/>
    <col min="2057" max="2304" width="9" style="149"/>
    <col min="2305" max="2305" width="28.25" style="149" customWidth="1"/>
    <col min="2306" max="2306" width="10.125" style="149" bestFit="1" customWidth="1"/>
    <col min="2307" max="2307" width="4.125" style="149" customWidth="1"/>
    <col min="2308" max="2308" width="11.25" style="149" bestFit="1" customWidth="1"/>
    <col min="2309" max="2309" width="4.125" style="149" customWidth="1"/>
    <col min="2310" max="2310" width="11.25" style="149" customWidth="1"/>
    <col min="2311" max="2311" width="4" style="149" customWidth="1"/>
    <col min="2312" max="2312" width="12.5" style="149" bestFit="1" customWidth="1"/>
    <col min="2313" max="2560" width="9" style="149"/>
    <col min="2561" max="2561" width="28.25" style="149" customWidth="1"/>
    <col min="2562" max="2562" width="10.125" style="149" bestFit="1" customWidth="1"/>
    <col min="2563" max="2563" width="4.125" style="149" customWidth="1"/>
    <col min="2564" max="2564" width="11.25" style="149" bestFit="1" customWidth="1"/>
    <col min="2565" max="2565" width="4.125" style="149" customWidth="1"/>
    <col min="2566" max="2566" width="11.25" style="149" customWidth="1"/>
    <col min="2567" max="2567" width="4" style="149" customWidth="1"/>
    <col min="2568" max="2568" width="12.5" style="149" bestFit="1" customWidth="1"/>
    <col min="2569" max="2816" width="9" style="149"/>
    <col min="2817" max="2817" width="28.25" style="149" customWidth="1"/>
    <col min="2818" max="2818" width="10.125" style="149" bestFit="1" customWidth="1"/>
    <col min="2819" max="2819" width="4.125" style="149" customWidth="1"/>
    <col min="2820" max="2820" width="11.25" style="149" bestFit="1" customWidth="1"/>
    <col min="2821" max="2821" width="4.125" style="149" customWidth="1"/>
    <col min="2822" max="2822" width="11.25" style="149" customWidth="1"/>
    <col min="2823" max="2823" width="4" style="149" customWidth="1"/>
    <col min="2824" max="2824" width="12.5" style="149" bestFit="1" customWidth="1"/>
    <col min="2825" max="3072" width="9" style="149"/>
    <col min="3073" max="3073" width="28.25" style="149" customWidth="1"/>
    <col min="3074" max="3074" width="10.125" style="149" bestFit="1" customWidth="1"/>
    <col min="3075" max="3075" width="4.125" style="149" customWidth="1"/>
    <col min="3076" max="3076" width="11.25" style="149" bestFit="1" customWidth="1"/>
    <col min="3077" max="3077" width="4.125" style="149" customWidth="1"/>
    <col min="3078" max="3078" width="11.25" style="149" customWidth="1"/>
    <col min="3079" max="3079" width="4" style="149" customWidth="1"/>
    <col min="3080" max="3080" width="12.5" style="149" bestFit="1" customWidth="1"/>
    <col min="3081" max="3328" width="9" style="149"/>
    <col min="3329" max="3329" width="28.25" style="149" customWidth="1"/>
    <col min="3330" max="3330" width="10.125" style="149" bestFit="1" customWidth="1"/>
    <col min="3331" max="3331" width="4.125" style="149" customWidth="1"/>
    <col min="3332" max="3332" width="11.25" style="149" bestFit="1" customWidth="1"/>
    <col min="3333" max="3333" width="4.125" style="149" customWidth="1"/>
    <col min="3334" max="3334" width="11.25" style="149" customWidth="1"/>
    <col min="3335" max="3335" width="4" style="149" customWidth="1"/>
    <col min="3336" max="3336" width="12.5" style="149" bestFit="1" customWidth="1"/>
    <col min="3337" max="3584" width="9" style="149"/>
    <col min="3585" max="3585" width="28.25" style="149" customWidth="1"/>
    <col min="3586" max="3586" width="10.125" style="149" bestFit="1" customWidth="1"/>
    <col min="3587" max="3587" width="4.125" style="149" customWidth="1"/>
    <col min="3588" max="3588" width="11.25" style="149" bestFit="1" customWidth="1"/>
    <col min="3589" max="3589" width="4.125" style="149" customWidth="1"/>
    <col min="3590" max="3590" width="11.25" style="149" customWidth="1"/>
    <col min="3591" max="3591" width="4" style="149" customWidth="1"/>
    <col min="3592" max="3592" width="12.5" style="149" bestFit="1" customWidth="1"/>
    <col min="3593" max="3840" width="9" style="149"/>
    <col min="3841" max="3841" width="28.25" style="149" customWidth="1"/>
    <col min="3842" max="3842" width="10.125" style="149" bestFit="1" customWidth="1"/>
    <col min="3843" max="3843" width="4.125" style="149" customWidth="1"/>
    <col min="3844" max="3844" width="11.25" style="149" bestFit="1" customWidth="1"/>
    <col min="3845" max="3845" width="4.125" style="149" customWidth="1"/>
    <col min="3846" max="3846" width="11.25" style="149" customWidth="1"/>
    <col min="3847" max="3847" width="4" style="149" customWidth="1"/>
    <col min="3848" max="3848" width="12.5" style="149" bestFit="1" customWidth="1"/>
    <col min="3849" max="4096" width="9" style="149"/>
    <col min="4097" max="4097" width="28.25" style="149" customWidth="1"/>
    <col min="4098" max="4098" width="10.125" style="149" bestFit="1" customWidth="1"/>
    <col min="4099" max="4099" width="4.125" style="149" customWidth="1"/>
    <col min="4100" max="4100" width="11.25" style="149" bestFit="1" customWidth="1"/>
    <col min="4101" max="4101" width="4.125" style="149" customWidth="1"/>
    <col min="4102" max="4102" width="11.25" style="149" customWidth="1"/>
    <col min="4103" max="4103" width="4" style="149" customWidth="1"/>
    <col min="4104" max="4104" width="12.5" style="149" bestFit="1" customWidth="1"/>
    <col min="4105" max="4352" width="9" style="149"/>
    <col min="4353" max="4353" width="28.25" style="149" customWidth="1"/>
    <col min="4354" max="4354" width="10.125" style="149" bestFit="1" customWidth="1"/>
    <col min="4355" max="4355" width="4.125" style="149" customWidth="1"/>
    <col min="4356" max="4356" width="11.25" style="149" bestFit="1" customWidth="1"/>
    <col min="4357" max="4357" width="4.125" style="149" customWidth="1"/>
    <col min="4358" max="4358" width="11.25" style="149" customWidth="1"/>
    <col min="4359" max="4359" width="4" style="149" customWidth="1"/>
    <col min="4360" max="4360" width="12.5" style="149" bestFit="1" customWidth="1"/>
    <col min="4361" max="4608" width="9" style="149"/>
    <col min="4609" max="4609" width="28.25" style="149" customWidth="1"/>
    <col min="4610" max="4610" width="10.125" style="149" bestFit="1" customWidth="1"/>
    <col min="4611" max="4611" width="4.125" style="149" customWidth="1"/>
    <col min="4612" max="4612" width="11.25" style="149" bestFit="1" customWidth="1"/>
    <col min="4613" max="4613" width="4.125" style="149" customWidth="1"/>
    <col min="4614" max="4614" width="11.25" style="149" customWidth="1"/>
    <col min="4615" max="4615" width="4" style="149" customWidth="1"/>
    <col min="4616" max="4616" width="12.5" style="149" bestFit="1" customWidth="1"/>
    <col min="4617" max="4864" width="9" style="149"/>
    <col min="4865" max="4865" width="28.25" style="149" customWidth="1"/>
    <col min="4866" max="4866" width="10.125" style="149" bestFit="1" customWidth="1"/>
    <col min="4867" max="4867" width="4.125" style="149" customWidth="1"/>
    <col min="4868" max="4868" width="11.25" style="149" bestFit="1" customWidth="1"/>
    <col min="4869" max="4869" width="4.125" style="149" customWidth="1"/>
    <col min="4870" max="4870" width="11.25" style="149" customWidth="1"/>
    <col min="4871" max="4871" width="4" style="149" customWidth="1"/>
    <col min="4872" max="4872" width="12.5" style="149" bestFit="1" customWidth="1"/>
    <col min="4873" max="5120" width="9" style="149"/>
    <col min="5121" max="5121" width="28.25" style="149" customWidth="1"/>
    <col min="5122" max="5122" width="10.125" style="149" bestFit="1" customWidth="1"/>
    <col min="5123" max="5123" width="4.125" style="149" customWidth="1"/>
    <col min="5124" max="5124" width="11.25" style="149" bestFit="1" customWidth="1"/>
    <col min="5125" max="5125" width="4.125" style="149" customWidth="1"/>
    <col min="5126" max="5126" width="11.25" style="149" customWidth="1"/>
    <col min="5127" max="5127" width="4" style="149" customWidth="1"/>
    <col min="5128" max="5128" width="12.5" style="149" bestFit="1" customWidth="1"/>
    <col min="5129" max="5376" width="9" style="149"/>
    <col min="5377" max="5377" width="28.25" style="149" customWidth="1"/>
    <col min="5378" max="5378" width="10.125" style="149" bestFit="1" customWidth="1"/>
    <col min="5379" max="5379" width="4.125" style="149" customWidth="1"/>
    <col min="5380" max="5380" width="11.25" style="149" bestFit="1" customWidth="1"/>
    <col min="5381" max="5381" width="4.125" style="149" customWidth="1"/>
    <col min="5382" max="5382" width="11.25" style="149" customWidth="1"/>
    <col min="5383" max="5383" width="4" style="149" customWidth="1"/>
    <col min="5384" max="5384" width="12.5" style="149" bestFit="1" customWidth="1"/>
    <col min="5385" max="5632" width="9" style="149"/>
    <col min="5633" max="5633" width="28.25" style="149" customWidth="1"/>
    <col min="5634" max="5634" width="10.125" style="149" bestFit="1" customWidth="1"/>
    <col min="5635" max="5635" width="4.125" style="149" customWidth="1"/>
    <col min="5636" max="5636" width="11.25" style="149" bestFit="1" customWidth="1"/>
    <col min="5637" max="5637" width="4.125" style="149" customWidth="1"/>
    <col min="5638" max="5638" width="11.25" style="149" customWidth="1"/>
    <col min="5639" max="5639" width="4" style="149" customWidth="1"/>
    <col min="5640" max="5640" width="12.5" style="149" bestFit="1" customWidth="1"/>
    <col min="5641" max="5888" width="9" style="149"/>
    <col min="5889" max="5889" width="28.25" style="149" customWidth="1"/>
    <col min="5890" max="5890" width="10.125" style="149" bestFit="1" customWidth="1"/>
    <col min="5891" max="5891" width="4.125" style="149" customWidth="1"/>
    <col min="5892" max="5892" width="11.25" style="149" bestFit="1" customWidth="1"/>
    <col min="5893" max="5893" width="4.125" style="149" customWidth="1"/>
    <col min="5894" max="5894" width="11.25" style="149" customWidth="1"/>
    <col min="5895" max="5895" width="4" style="149" customWidth="1"/>
    <col min="5896" max="5896" width="12.5" style="149" bestFit="1" customWidth="1"/>
    <col min="5897" max="6144" width="9" style="149"/>
    <col min="6145" max="6145" width="28.25" style="149" customWidth="1"/>
    <col min="6146" max="6146" width="10.125" style="149" bestFit="1" customWidth="1"/>
    <col min="6147" max="6147" width="4.125" style="149" customWidth="1"/>
    <col min="6148" max="6148" width="11.25" style="149" bestFit="1" customWidth="1"/>
    <col min="6149" max="6149" width="4.125" style="149" customWidth="1"/>
    <col min="6150" max="6150" width="11.25" style="149" customWidth="1"/>
    <col min="6151" max="6151" width="4" style="149" customWidth="1"/>
    <col min="6152" max="6152" width="12.5" style="149" bestFit="1" customWidth="1"/>
    <col min="6153" max="6400" width="9" style="149"/>
    <col min="6401" max="6401" width="28.25" style="149" customWidth="1"/>
    <col min="6402" max="6402" width="10.125" style="149" bestFit="1" customWidth="1"/>
    <col min="6403" max="6403" width="4.125" style="149" customWidth="1"/>
    <col min="6404" max="6404" width="11.25" style="149" bestFit="1" customWidth="1"/>
    <col min="6405" max="6405" width="4.125" style="149" customWidth="1"/>
    <col min="6406" max="6406" width="11.25" style="149" customWidth="1"/>
    <col min="6407" max="6407" width="4" style="149" customWidth="1"/>
    <col min="6408" max="6408" width="12.5" style="149" bestFit="1" customWidth="1"/>
    <col min="6409" max="6656" width="9" style="149"/>
    <col min="6657" max="6657" width="28.25" style="149" customWidth="1"/>
    <col min="6658" max="6658" width="10.125" style="149" bestFit="1" customWidth="1"/>
    <col min="6659" max="6659" width="4.125" style="149" customWidth="1"/>
    <col min="6660" max="6660" width="11.25" style="149" bestFit="1" customWidth="1"/>
    <col min="6661" max="6661" width="4.125" style="149" customWidth="1"/>
    <col min="6662" max="6662" width="11.25" style="149" customWidth="1"/>
    <col min="6663" max="6663" width="4" style="149" customWidth="1"/>
    <col min="6664" max="6664" width="12.5" style="149" bestFit="1" customWidth="1"/>
    <col min="6665" max="6912" width="9" style="149"/>
    <col min="6913" max="6913" width="28.25" style="149" customWidth="1"/>
    <col min="6914" max="6914" width="10.125" style="149" bestFit="1" customWidth="1"/>
    <col min="6915" max="6915" width="4.125" style="149" customWidth="1"/>
    <col min="6916" max="6916" width="11.25" style="149" bestFit="1" customWidth="1"/>
    <col min="6917" max="6917" width="4.125" style="149" customWidth="1"/>
    <col min="6918" max="6918" width="11.25" style="149" customWidth="1"/>
    <col min="6919" max="6919" width="4" style="149" customWidth="1"/>
    <col min="6920" max="6920" width="12.5" style="149" bestFit="1" customWidth="1"/>
    <col min="6921" max="7168" width="9" style="149"/>
    <col min="7169" max="7169" width="28.25" style="149" customWidth="1"/>
    <col min="7170" max="7170" width="10.125" style="149" bestFit="1" customWidth="1"/>
    <col min="7171" max="7171" width="4.125" style="149" customWidth="1"/>
    <col min="7172" max="7172" width="11.25" style="149" bestFit="1" customWidth="1"/>
    <col min="7173" max="7173" width="4.125" style="149" customWidth="1"/>
    <col min="7174" max="7174" width="11.25" style="149" customWidth="1"/>
    <col min="7175" max="7175" width="4" style="149" customWidth="1"/>
    <col min="7176" max="7176" width="12.5" style="149" bestFit="1" customWidth="1"/>
    <col min="7177" max="7424" width="9" style="149"/>
    <col min="7425" max="7425" width="28.25" style="149" customWidth="1"/>
    <col min="7426" max="7426" width="10.125" style="149" bestFit="1" customWidth="1"/>
    <col min="7427" max="7427" width="4.125" style="149" customWidth="1"/>
    <col min="7428" max="7428" width="11.25" style="149" bestFit="1" customWidth="1"/>
    <col min="7429" max="7429" width="4.125" style="149" customWidth="1"/>
    <col min="7430" max="7430" width="11.25" style="149" customWidth="1"/>
    <col min="7431" max="7431" width="4" style="149" customWidth="1"/>
    <col min="7432" max="7432" width="12.5" style="149" bestFit="1" customWidth="1"/>
    <col min="7433" max="7680" width="9" style="149"/>
    <col min="7681" max="7681" width="28.25" style="149" customWidth="1"/>
    <col min="7682" max="7682" width="10.125" style="149" bestFit="1" customWidth="1"/>
    <col min="7683" max="7683" width="4.125" style="149" customWidth="1"/>
    <col min="7684" max="7684" width="11.25" style="149" bestFit="1" customWidth="1"/>
    <col min="7685" max="7685" width="4.125" style="149" customWidth="1"/>
    <col min="7686" max="7686" width="11.25" style="149" customWidth="1"/>
    <col min="7687" max="7687" width="4" style="149" customWidth="1"/>
    <col min="7688" max="7688" width="12.5" style="149" bestFit="1" customWidth="1"/>
    <col min="7689" max="7936" width="9" style="149"/>
    <col min="7937" max="7937" width="28.25" style="149" customWidth="1"/>
    <col min="7938" max="7938" width="10.125" style="149" bestFit="1" customWidth="1"/>
    <col min="7939" max="7939" width="4.125" style="149" customWidth="1"/>
    <col min="7940" max="7940" width="11.25" style="149" bestFit="1" customWidth="1"/>
    <col min="7941" max="7941" width="4.125" style="149" customWidth="1"/>
    <col min="7942" max="7942" width="11.25" style="149" customWidth="1"/>
    <col min="7943" max="7943" width="4" style="149" customWidth="1"/>
    <col min="7944" max="7944" width="12.5" style="149" bestFit="1" customWidth="1"/>
    <col min="7945" max="8192" width="9" style="149"/>
    <col min="8193" max="8193" width="28.25" style="149" customWidth="1"/>
    <col min="8194" max="8194" width="10.125" style="149" bestFit="1" customWidth="1"/>
    <col min="8195" max="8195" width="4.125" style="149" customWidth="1"/>
    <col min="8196" max="8196" width="11.25" style="149" bestFit="1" customWidth="1"/>
    <col min="8197" max="8197" width="4.125" style="149" customWidth="1"/>
    <col min="8198" max="8198" width="11.25" style="149" customWidth="1"/>
    <col min="8199" max="8199" width="4" style="149" customWidth="1"/>
    <col min="8200" max="8200" width="12.5" style="149" bestFit="1" customWidth="1"/>
    <col min="8201" max="8448" width="9" style="149"/>
    <col min="8449" max="8449" width="28.25" style="149" customWidth="1"/>
    <col min="8450" max="8450" width="10.125" style="149" bestFit="1" customWidth="1"/>
    <col min="8451" max="8451" width="4.125" style="149" customWidth="1"/>
    <col min="8452" max="8452" width="11.25" style="149" bestFit="1" customWidth="1"/>
    <col min="8453" max="8453" width="4.125" style="149" customWidth="1"/>
    <col min="8454" max="8454" width="11.25" style="149" customWidth="1"/>
    <col min="8455" max="8455" width="4" style="149" customWidth="1"/>
    <col min="8456" max="8456" width="12.5" style="149" bestFit="1" customWidth="1"/>
    <col min="8457" max="8704" width="9" style="149"/>
    <col min="8705" max="8705" width="28.25" style="149" customWidth="1"/>
    <col min="8706" max="8706" width="10.125" style="149" bestFit="1" customWidth="1"/>
    <col min="8707" max="8707" width="4.125" style="149" customWidth="1"/>
    <col min="8708" max="8708" width="11.25" style="149" bestFit="1" customWidth="1"/>
    <col min="8709" max="8709" width="4.125" style="149" customWidth="1"/>
    <col min="8710" max="8710" width="11.25" style="149" customWidth="1"/>
    <col min="8711" max="8711" width="4" style="149" customWidth="1"/>
    <col min="8712" max="8712" width="12.5" style="149" bestFit="1" customWidth="1"/>
    <col min="8713" max="8960" width="9" style="149"/>
    <col min="8961" max="8961" width="28.25" style="149" customWidth="1"/>
    <col min="8962" max="8962" width="10.125" style="149" bestFit="1" customWidth="1"/>
    <col min="8963" max="8963" width="4.125" style="149" customWidth="1"/>
    <col min="8964" max="8964" width="11.25" style="149" bestFit="1" customWidth="1"/>
    <col min="8965" max="8965" width="4.125" style="149" customWidth="1"/>
    <col min="8966" max="8966" width="11.25" style="149" customWidth="1"/>
    <col min="8967" max="8967" width="4" style="149" customWidth="1"/>
    <col min="8968" max="8968" width="12.5" style="149" bestFit="1" customWidth="1"/>
    <col min="8969" max="9216" width="9" style="149"/>
    <col min="9217" max="9217" width="28.25" style="149" customWidth="1"/>
    <col min="9218" max="9218" width="10.125" style="149" bestFit="1" customWidth="1"/>
    <col min="9219" max="9219" width="4.125" style="149" customWidth="1"/>
    <col min="9220" max="9220" width="11.25" style="149" bestFit="1" customWidth="1"/>
    <col min="9221" max="9221" width="4.125" style="149" customWidth="1"/>
    <col min="9222" max="9222" width="11.25" style="149" customWidth="1"/>
    <col min="9223" max="9223" width="4" style="149" customWidth="1"/>
    <col min="9224" max="9224" width="12.5" style="149" bestFit="1" customWidth="1"/>
    <col min="9225" max="9472" width="9" style="149"/>
    <col min="9473" max="9473" width="28.25" style="149" customWidth="1"/>
    <col min="9474" max="9474" width="10.125" style="149" bestFit="1" customWidth="1"/>
    <col min="9475" max="9475" width="4.125" style="149" customWidth="1"/>
    <col min="9476" max="9476" width="11.25" style="149" bestFit="1" customWidth="1"/>
    <col min="9477" max="9477" width="4.125" style="149" customWidth="1"/>
    <col min="9478" max="9478" width="11.25" style="149" customWidth="1"/>
    <col min="9479" max="9479" width="4" style="149" customWidth="1"/>
    <col min="9480" max="9480" width="12.5" style="149" bestFit="1" customWidth="1"/>
    <col min="9481" max="9728" width="9" style="149"/>
    <col min="9729" max="9729" width="28.25" style="149" customWidth="1"/>
    <col min="9730" max="9730" width="10.125" style="149" bestFit="1" customWidth="1"/>
    <col min="9731" max="9731" width="4.125" style="149" customWidth="1"/>
    <col min="9732" max="9732" width="11.25" style="149" bestFit="1" customWidth="1"/>
    <col min="9733" max="9733" width="4.125" style="149" customWidth="1"/>
    <col min="9734" max="9734" width="11.25" style="149" customWidth="1"/>
    <col min="9735" max="9735" width="4" style="149" customWidth="1"/>
    <col min="9736" max="9736" width="12.5" style="149" bestFit="1" customWidth="1"/>
    <col min="9737" max="9984" width="9" style="149"/>
    <col min="9985" max="9985" width="28.25" style="149" customWidth="1"/>
    <col min="9986" max="9986" width="10.125" style="149" bestFit="1" customWidth="1"/>
    <col min="9987" max="9987" width="4.125" style="149" customWidth="1"/>
    <col min="9988" max="9988" width="11.25" style="149" bestFit="1" customWidth="1"/>
    <col min="9989" max="9989" width="4.125" style="149" customWidth="1"/>
    <col min="9990" max="9990" width="11.25" style="149" customWidth="1"/>
    <col min="9991" max="9991" width="4" style="149" customWidth="1"/>
    <col min="9992" max="9992" width="12.5" style="149" bestFit="1" customWidth="1"/>
    <col min="9993" max="10240" width="9" style="149"/>
    <col min="10241" max="10241" width="28.25" style="149" customWidth="1"/>
    <col min="10242" max="10242" width="10.125" style="149" bestFit="1" customWidth="1"/>
    <col min="10243" max="10243" width="4.125" style="149" customWidth="1"/>
    <col min="10244" max="10244" width="11.25" style="149" bestFit="1" customWidth="1"/>
    <col min="10245" max="10245" width="4.125" style="149" customWidth="1"/>
    <col min="10246" max="10246" width="11.25" style="149" customWidth="1"/>
    <col min="10247" max="10247" width="4" style="149" customWidth="1"/>
    <col min="10248" max="10248" width="12.5" style="149" bestFit="1" customWidth="1"/>
    <col min="10249" max="10496" width="9" style="149"/>
    <col min="10497" max="10497" width="28.25" style="149" customWidth="1"/>
    <col min="10498" max="10498" width="10.125" style="149" bestFit="1" customWidth="1"/>
    <col min="10499" max="10499" width="4.125" style="149" customWidth="1"/>
    <col min="10500" max="10500" width="11.25" style="149" bestFit="1" customWidth="1"/>
    <col min="10501" max="10501" width="4.125" style="149" customWidth="1"/>
    <col min="10502" max="10502" width="11.25" style="149" customWidth="1"/>
    <col min="10503" max="10503" width="4" style="149" customWidth="1"/>
    <col min="10504" max="10504" width="12.5" style="149" bestFit="1" customWidth="1"/>
    <col min="10505" max="10752" width="9" style="149"/>
    <col min="10753" max="10753" width="28.25" style="149" customWidth="1"/>
    <col min="10754" max="10754" width="10.125" style="149" bestFit="1" customWidth="1"/>
    <col min="10755" max="10755" width="4.125" style="149" customWidth="1"/>
    <col min="10756" max="10756" width="11.25" style="149" bestFit="1" customWidth="1"/>
    <col min="10757" max="10757" width="4.125" style="149" customWidth="1"/>
    <col min="10758" max="10758" width="11.25" style="149" customWidth="1"/>
    <col min="10759" max="10759" width="4" style="149" customWidth="1"/>
    <col min="10760" max="10760" width="12.5" style="149" bestFit="1" customWidth="1"/>
    <col min="10761" max="11008" width="9" style="149"/>
    <col min="11009" max="11009" width="28.25" style="149" customWidth="1"/>
    <col min="11010" max="11010" width="10.125" style="149" bestFit="1" customWidth="1"/>
    <col min="11011" max="11011" width="4.125" style="149" customWidth="1"/>
    <col min="11012" max="11012" width="11.25" style="149" bestFit="1" customWidth="1"/>
    <col min="11013" max="11013" width="4.125" style="149" customWidth="1"/>
    <col min="11014" max="11014" width="11.25" style="149" customWidth="1"/>
    <col min="11015" max="11015" width="4" style="149" customWidth="1"/>
    <col min="11016" max="11016" width="12.5" style="149" bestFit="1" customWidth="1"/>
    <col min="11017" max="11264" width="9" style="149"/>
    <col min="11265" max="11265" width="28.25" style="149" customWidth="1"/>
    <col min="11266" max="11266" width="10.125" style="149" bestFit="1" customWidth="1"/>
    <col min="11267" max="11267" width="4.125" style="149" customWidth="1"/>
    <col min="11268" max="11268" width="11.25" style="149" bestFit="1" customWidth="1"/>
    <col min="11269" max="11269" width="4.125" style="149" customWidth="1"/>
    <col min="11270" max="11270" width="11.25" style="149" customWidth="1"/>
    <col min="11271" max="11271" width="4" style="149" customWidth="1"/>
    <col min="11272" max="11272" width="12.5" style="149" bestFit="1" customWidth="1"/>
    <col min="11273" max="11520" width="9" style="149"/>
    <col min="11521" max="11521" width="28.25" style="149" customWidth="1"/>
    <col min="11522" max="11522" width="10.125" style="149" bestFit="1" customWidth="1"/>
    <col min="11523" max="11523" width="4.125" style="149" customWidth="1"/>
    <col min="11524" max="11524" width="11.25" style="149" bestFit="1" customWidth="1"/>
    <col min="11525" max="11525" width="4.125" style="149" customWidth="1"/>
    <col min="11526" max="11526" width="11.25" style="149" customWidth="1"/>
    <col min="11527" max="11527" width="4" style="149" customWidth="1"/>
    <col min="11528" max="11528" width="12.5" style="149" bestFit="1" customWidth="1"/>
    <col min="11529" max="11776" width="9" style="149"/>
    <col min="11777" max="11777" width="28.25" style="149" customWidth="1"/>
    <col min="11778" max="11778" width="10.125" style="149" bestFit="1" customWidth="1"/>
    <col min="11779" max="11779" width="4.125" style="149" customWidth="1"/>
    <col min="11780" max="11780" width="11.25" style="149" bestFit="1" customWidth="1"/>
    <col min="11781" max="11781" width="4.125" style="149" customWidth="1"/>
    <col min="11782" max="11782" width="11.25" style="149" customWidth="1"/>
    <col min="11783" max="11783" width="4" style="149" customWidth="1"/>
    <col min="11784" max="11784" width="12.5" style="149" bestFit="1" customWidth="1"/>
    <col min="11785" max="12032" width="9" style="149"/>
    <col min="12033" max="12033" width="28.25" style="149" customWidth="1"/>
    <col min="12034" max="12034" width="10.125" style="149" bestFit="1" customWidth="1"/>
    <col min="12035" max="12035" width="4.125" style="149" customWidth="1"/>
    <col min="12036" max="12036" width="11.25" style="149" bestFit="1" customWidth="1"/>
    <col min="12037" max="12037" width="4.125" style="149" customWidth="1"/>
    <col min="12038" max="12038" width="11.25" style="149" customWidth="1"/>
    <col min="12039" max="12039" width="4" style="149" customWidth="1"/>
    <col min="12040" max="12040" width="12.5" style="149" bestFit="1" customWidth="1"/>
    <col min="12041" max="12288" width="9" style="149"/>
    <col min="12289" max="12289" width="28.25" style="149" customWidth="1"/>
    <col min="12290" max="12290" width="10.125" style="149" bestFit="1" customWidth="1"/>
    <col min="12291" max="12291" width="4.125" style="149" customWidth="1"/>
    <col min="12292" max="12292" width="11.25" style="149" bestFit="1" customWidth="1"/>
    <col min="12293" max="12293" width="4.125" style="149" customWidth="1"/>
    <col min="12294" max="12294" width="11.25" style="149" customWidth="1"/>
    <col min="12295" max="12295" width="4" style="149" customWidth="1"/>
    <col min="12296" max="12296" width="12.5" style="149" bestFit="1" customWidth="1"/>
    <col min="12297" max="12544" width="9" style="149"/>
    <col min="12545" max="12545" width="28.25" style="149" customWidth="1"/>
    <col min="12546" max="12546" width="10.125" style="149" bestFit="1" customWidth="1"/>
    <col min="12547" max="12547" width="4.125" style="149" customWidth="1"/>
    <col min="12548" max="12548" width="11.25" style="149" bestFit="1" customWidth="1"/>
    <col min="12549" max="12549" width="4.125" style="149" customWidth="1"/>
    <col min="12550" max="12550" width="11.25" style="149" customWidth="1"/>
    <col min="12551" max="12551" width="4" style="149" customWidth="1"/>
    <col min="12552" max="12552" width="12.5" style="149" bestFit="1" customWidth="1"/>
    <col min="12553" max="12800" width="9" style="149"/>
    <col min="12801" max="12801" width="28.25" style="149" customWidth="1"/>
    <col min="12802" max="12802" width="10.125" style="149" bestFit="1" customWidth="1"/>
    <col min="12803" max="12803" width="4.125" style="149" customWidth="1"/>
    <col min="12804" max="12804" width="11.25" style="149" bestFit="1" customWidth="1"/>
    <col min="12805" max="12805" width="4.125" style="149" customWidth="1"/>
    <col min="12806" max="12806" width="11.25" style="149" customWidth="1"/>
    <col min="12807" max="12807" width="4" style="149" customWidth="1"/>
    <col min="12808" max="12808" width="12.5" style="149" bestFit="1" customWidth="1"/>
    <col min="12809" max="13056" width="9" style="149"/>
    <col min="13057" max="13057" width="28.25" style="149" customWidth="1"/>
    <col min="13058" max="13058" width="10.125" style="149" bestFit="1" customWidth="1"/>
    <col min="13059" max="13059" width="4.125" style="149" customWidth="1"/>
    <col min="13060" max="13060" width="11.25" style="149" bestFit="1" customWidth="1"/>
    <col min="13061" max="13061" width="4.125" style="149" customWidth="1"/>
    <col min="13062" max="13062" width="11.25" style="149" customWidth="1"/>
    <col min="13063" max="13063" width="4" style="149" customWidth="1"/>
    <col min="13064" max="13064" width="12.5" style="149" bestFit="1" customWidth="1"/>
    <col min="13065" max="13312" width="9" style="149"/>
    <col min="13313" max="13313" width="28.25" style="149" customWidth="1"/>
    <col min="13314" max="13314" width="10.125" style="149" bestFit="1" customWidth="1"/>
    <col min="13315" max="13315" width="4.125" style="149" customWidth="1"/>
    <col min="13316" max="13316" width="11.25" style="149" bestFit="1" customWidth="1"/>
    <col min="13317" max="13317" width="4.125" style="149" customWidth="1"/>
    <col min="13318" max="13318" width="11.25" style="149" customWidth="1"/>
    <col min="13319" max="13319" width="4" style="149" customWidth="1"/>
    <col min="13320" max="13320" width="12.5" style="149" bestFit="1" customWidth="1"/>
    <col min="13321" max="13568" width="9" style="149"/>
    <col min="13569" max="13569" width="28.25" style="149" customWidth="1"/>
    <col min="13570" max="13570" width="10.125" style="149" bestFit="1" customWidth="1"/>
    <col min="13571" max="13571" width="4.125" style="149" customWidth="1"/>
    <col min="13572" max="13572" width="11.25" style="149" bestFit="1" customWidth="1"/>
    <col min="13573" max="13573" width="4.125" style="149" customWidth="1"/>
    <col min="13574" max="13574" width="11.25" style="149" customWidth="1"/>
    <col min="13575" max="13575" width="4" style="149" customWidth="1"/>
    <col min="13576" max="13576" width="12.5" style="149" bestFit="1" customWidth="1"/>
    <col min="13577" max="13824" width="9" style="149"/>
    <col min="13825" max="13825" width="28.25" style="149" customWidth="1"/>
    <col min="13826" max="13826" width="10.125" style="149" bestFit="1" customWidth="1"/>
    <col min="13827" max="13827" width="4.125" style="149" customWidth="1"/>
    <col min="13828" max="13828" width="11.25" style="149" bestFit="1" customWidth="1"/>
    <col min="13829" max="13829" width="4.125" style="149" customWidth="1"/>
    <col min="13830" max="13830" width="11.25" style="149" customWidth="1"/>
    <col min="13831" max="13831" width="4" style="149" customWidth="1"/>
    <col min="13832" max="13832" width="12.5" style="149" bestFit="1" customWidth="1"/>
    <col min="13833" max="14080" width="9" style="149"/>
    <col min="14081" max="14081" width="28.25" style="149" customWidth="1"/>
    <col min="14082" max="14082" width="10.125" style="149" bestFit="1" customWidth="1"/>
    <col min="14083" max="14083" width="4.125" style="149" customWidth="1"/>
    <col min="14084" max="14084" width="11.25" style="149" bestFit="1" customWidth="1"/>
    <col min="14085" max="14085" width="4.125" style="149" customWidth="1"/>
    <col min="14086" max="14086" width="11.25" style="149" customWidth="1"/>
    <col min="14087" max="14087" width="4" style="149" customWidth="1"/>
    <col min="14088" max="14088" width="12.5" style="149" bestFit="1" customWidth="1"/>
    <col min="14089" max="14336" width="9" style="149"/>
    <col min="14337" max="14337" width="28.25" style="149" customWidth="1"/>
    <col min="14338" max="14338" width="10.125" style="149" bestFit="1" customWidth="1"/>
    <col min="14339" max="14339" width="4.125" style="149" customWidth="1"/>
    <col min="14340" max="14340" width="11.25" style="149" bestFit="1" customWidth="1"/>
    <col min="14341" max="14341" width="4.125" style="149" customWidth="1"/>
    <col min="14342" max="14342" width="11.25" style="149" customWidth="1"/>
    <col min="14343" max="14343" width="4" style="149" customWidth="1"/>
    <col min="14344" max="14344" width="12.5" style="149" bestFit="1" customWidth="1"/>
    <col min="14345" max="14592" width="9" style="149"/>
    <col min="14593" max="14593" width="28.25" style="149" customWidth="1"/>
    <col min="14594" max="14594" width="10.125" style="149" bestFit="1" customWidth="1"/>
    <col min="14595" max="14595" width="4.125" style="149" customWidth="1"/>
    <col min="14596" max="14596" width="11.25" style="149" bestFit="1" customWidth="1"/>
    <col min="14597" max="14597" width="4.125" style="149" customWidth="1"/>
    <col min="14598" max="14598" width="11.25" style="149" customWidth="1"/>
    <col min="14599" max="14599" width="4" style="149" customWidth="1"/>
    <col min="14600" max="14600" width="12.5" style="149" bestFit="1" customWidth="1"/>
    <col min="14601" max="14848" width="9" style="149"/>
    <col min="14849" max="14849" width="28.25" style="149" customWidth="1"/>
    <col min="14850" max="14850" width="10.125" style="149" bestFit="1" customWidth="1"/>
    <col min="14851" max="14851" width="4.125" style="149" customWidth="1"/>
    <col min="14852" max="14852" width="11.25" style="149" bestFit="1" customWidth="1"/>
    <col min="14853" max="14853" width="4.125" style="149" customWidth="1"/>
    <col min="14854" max="14854" width="11.25" style="149" customWidth="1"/>
    <col min="14855" max="14855" width="4" style="149" customWidth="1"/>
    <col min="14856" max="14856" width="12.5" style="149" bestFit="1" customWidth="1"/>
    <col min="14857" max="15104" width="9" style="149"/>
    <col min="15105" max="15105" width="28.25" style="149" customWidth="1"/>
    <col min="15106" max="15106" width="10.125" style="149" bestFit="1" customWidth="1"/>
    <col min="15107" max="15107" width="4.125" style="149" customWidth="1"/>
    <col min="15108" max="15108" width="11.25" style="149" bestFit="1" customWidth="1"/>
    <col min="15109" max="15109" width="4.125" style="149" customWidth="1"/>
    <col min="15110" max="15110" width="11.25" style="149" customWidth="1"/>
    <col min="15111" max="15111" width="4" style="149" customWidth="1"/>
    <col min="15112" max="15112" width="12.5" style="149" bestFit="1" customWidth="1"/>
    <col min="15113" max="15360" width="9" style="149"/>
    <col min="15361" max="15361" width="28.25" style="149" customWidth="1"/>
    <col min="15362" max="15362" width="10.125" style="149" bestFit="1" customWidth="1"/>
    <col min="15363" max="15363" width="4.125" style="149" customWidth="1"/>
    <col min="15364" max="15364" width="11.25" style="149" bestFit="1" customWidth="1"/>
    <col min="15365" max="15365" width="4.125" style="149" customWidth="1"/>
    <col min="15366" max="15366" width="11.25" style="149" customWidth="1"/>
    <col min="15367" max="15367" width="4" style="149" customWidth="1"/>
    <col min="15368" max="15368" width="12.5" style="149" bestFit="1" customWidth="1"/>
    <col min="15369" max="15616" width="9" style="149"/>
    <col min="15617" max="15617" width="28.25" style="149" customWidth="1"/>
    <col min="15618" max="15618" width="10.125" style="149" bestFit="1" customWidth="1"/>
    <col min="15619" max="15619" width="4.125" style="149" customWidth="1"/>
    <col min="15620" max="15620" width="11.25" style="149" bestFit="1" customWidth="1"/>
    <col min="15621" max="15621" width="4.125" style="149" customWidth="1"/>
    <col min="15622" max="15622" width="11.25" style="149" customWidth="1"/>
    <col min="15623" max="15623" width="4" style="149" customWidth="1"/>
    <col min="15624" max="15624" width="12.5" style="149" bestFit="1" customWidth="1"/>
    <col min="15625" max="15872" width="9" style="149"/>
    <col min="15873" max="15873" width="28.25" style="149" customWidth="1"/>
    <col min="15874" max="15874" width="10.125" style="149" bestFit="1" customWidth="1"/>
    <col min="15875" max="15875" width="4.125" style="149" customWidth="1"/>
    <col min="15876" max="15876" width="11.25" style="149" bestFit="1" customWidth="1"/>
    <col min="15877" max="15877" width="4.125" style="149" customWidth="1"/>
    <col min="15878" max="15878" width="11.25" style="149" customWidth="1"/>
    <col min="15879" max="15879" width="4" style="149" customWidth="1"/>
    <col min="15880" max="15880" width="12.5" style="149" bestFit="1" customWidth="1"/>
    <col min="15881" max="16128" width="9" style="149"/>
    <col min="16129" max="16129" width="28.25" style="149" customWidth="1"/>
    <col min="16130" max="16130" width="10.125" style="149" bestFit="1" customWidth="1"/>
    <col min="16131" max="16131" width="4.125" style="149" customWidth="1"/>
    <col min="16132" max="16132" width="11.25" style="149" bestFit="1" customWidth="1"/>
    <col min="16133" max="16133" width="4.125" style="149" customWidth="1"/>
    <col min="16134" max="16134" width="11.25" style="149" customWidth="1"/>
    <col min="16135" max="16135" width="4" style="149" customWidth="1"/>
    <col min="16136" max="16136" width="12.5" style="149" bestFit="1" customWidth="1"/>
    <col min="16137" max="16384" width="9" style="149"/>
  </cols>
  <sheetData>
    <row r="1" spans="1:8">
      <c r="A1" s="150"/>
      <c r="B1" s="150"/>
      <c r="C1" s="150"/>
      <c r="D1" s="150"/>
      <c r="E1" s="150"/>
      <c r="F1" s="150"/>
      <c r="G1" s="150"/>
      <c r="H1" s="150"/>
    </row>
    <row r="2" spans="1:8">
      <c r="A2" s="331" t="s">
        <v>320</v>
      </c>
      <c r="B2" s="331"/>
      <c r="C2" s="331"/>
      <c r="D2" s="331"/>
      <c r="E2" s="331"/>
      <c r="F2" s="331"/>
      <c r="G2" s="331"/>
      <c r="H2" s="331"/>
    </row>
    <row r="4" spans="1:8" s="152" customFormat="1">
      <c r="B4" s="162"/>
      <c r="C4" s="163"/>
      <c r="D4" s="162"/>
      <c r="E4" s="164"/>
      <c r="F4" s="164" t="s">
        <v>321</v>
      </c>
      <c r="H4" s="152" t="s">
        <v>322</v>
      </c>
    </row>
    <row r="5" spans="1:8">
      <c r="B5" s="165"/>
      <c r="C5" s="165"/>
      <c r="D5" s="165"/>
      <c r="E5" s="151"/>
      <c r="F5" s="151" t="s">
        <v>183</v>
      </c>
      <c r="G5" s="151"/>
      <c r="H5" s="151" t="s">
        <v>183</v>
      </c>
    </row>
    <row r="6" spans="1:8">
      <c r="B6" s="156"/>
      <c r="C6" s="156"/>
      <c r="D6" s="156"/>
    </row>
    <row r="7" spans="1:8" ht="23.25" customHeight="1">
      <c r="A7" s="149" t="s">
        <v>323</v>
      </c>
      <c r="B7" s="158"/>
      <c r="C7" s="156"/>
      <c r="D7" s="158"/>
      <c r="E7" s="158"/>
      <c r="F7" s="252">
        <v>11346</v>
      </c>
      <c r="H7" s="153"/>
    </row>
    <row r="8" spans="1:8" ht="23.25" customHeight="1">
      <c r="A8" s="149" t="s">
        <v>324</v>
      </c>
      <c r="B8" s="158"/>
      <c r="C8" s="156"/>
      <c r="D8" s="158"/>
      <c r="E8" s="158"/>
      <c r="F8" s="253">
        <f>+FA!H11</f>
        <v>14830</v>
      </c>
      <c r="H8" s="153"/>
    </row>
    <row r="9" spans="1:8" ht="20.100000000000001" customHeight="1">
      <c r="A9" s="149" t="s">
        <v>325</v>
      </c>
      <c r="B9" s="158"/>
      <c r="C9" s="156"/>
      <c r="D9" s="158"/>
      <c r="E9" s="158"/>
      <c r="F9" s="154">
        <f>-ROUND(F8*60%,0)</f>
        <v>-8898</v>
      </c>
      <c r="H9" s="153">
        <f>-B9-D9-F9</f>
        <v>8898</v>
      </c>
    </row>
    <row r="10" spans="1:8" ht="6" customHeight="1">
      <c r="B10" s="158"/>
      <c r="C10" s="156"/>
      <c r="D10" s="158"/>
      <c r="E10" s="158"/>
      <c r="F10" s="158"/>
      <c r="H10" s="153"/>
    </row>
    <row r="11" spans="1:8" ht="20.100000000000001" customHeight="1">
      <c r="B11" s="158"/>
      <c r="C11" s="156"/>
      <c r="D11" s="158"/>
      <c r="E11" s="158"/>
      <c r="F11" s="158">
        <f>SUM(F7:F10)</f>
        <v>17278</v>
      </c>
      <c r="H11" s="153"/>
    </row>
    <row r="12" spans="1:8" ht="20.100000000000001" customHeight="1">
      <c r="A12" s="149" t="s">
        <v>326</v>
      </c>
      <c r="B12" s="158"/>
      <c r="C12" s="158"/>
      <c r="D12" s="158"/>
      <c r="E12" s="158"/>
      <c r="F12" s="154">
        <f>-ROUND(F11*0.2,0)</f>
        <v>-3456</v>
      </c>
      <c r="H12" s="153">
        <f>-SUM(B12:F12)</f>
        <v>3456</v>
      </c>
    </row>
    <row r="13" spans="1:8" ht="24.95" customHeight="1" thickBot="1">
      <c r="A13" s="149" t="s">
        <v>327</v>
      </c>
      <c r="B13" s="158"/>
      <c r="C13" s="156"/>
      <c r="D13" s="158"/>
      <c r="E13" s="158"/>
      <c r="F13" s="166">
        <f>+F11+F12</f>
        <v>13822</v>
      </c>
      <c r="H13" s="154"/>
    </row>
    <row r="14" spans="1:8" ht="24.95" customHeight="1" thickTop="1" thickBot="1">
      <c r="B14" s="156"/>
      <c r="C14" s="156"/>
      <c r="D14" s="156"/>
      <c r="H14" s="166">
        <f>SUM(H9:H13)</f>
        <v>12354</v>
      </c>
    </row>
    <row r="15" spans="1:8" ht="16.5" thickTop="1"/>
    <row r="16" spans="1:8">
      <c r="A16"/>
      <c r="B16"/>
      <c r="C16"/>
      <c r="D16"/>
      <c r="E16"/>
      <c r="F16"/>
      <c r="G16"/>
      <c r="H16"/>
    </row>
    <row r="17" spans="1:8" hidden="1">
      <c r="A17" s="331" t="s">
        <v>328</v>
      </c>
      <c r="B17" s="331"/>
      <c r="C17" s="331"/>
      <c r="D17" s="331"/>
      <c r="E17" s="331"/>
      <c r="F17" s="331"/>
      <c r="G17" s="331"/>
      <c r="H17" s="331"/>
    </row>
    <row r="18" spans="1:8" hidden="1"/>
    <row r="19" spans="1:8" ht="24.95" hidden="1" customHeight="1">
      <c r="A19" s="149" t="s">
        <v>329</v>
      </c>
      <c r="H19" s="158">
        <v>6667752</v>
      </c>
    </row>
    <row r="20" spans="1:8" ht="24.95" hidden="1" customHeight="1">
      <c r="A20" s="149" t="s">
        <v>330</v>
      </c>
      <c r="H20" s="158">
        <v>1475000</v>
      </c>
    </row>
    <row r="21" spans="1:8" ht="24.95" hidden="1" customHeight="1" thickBot="1">
      <c r="H21" s="166">
        <f>SUM(H19:H20)</f>
        <v>8142752</v>
      </c>
    </row>
    <row r="22" spans="1:8" ht="21.75" hidden="1" customHeight="1" thickTop="1">
      <c r="H22" s="153"/>
    </row>
    <row r="23" spans="1:8" ht="24.95" hidden="1" customHeight="1" thickBot="1">
      <c r="A23" s="149" t="s">
        <v>331</v>
      </c>
      <c r="H23" s="160">
        <v>333755</v>
      </c>
    </row>
    <row r="25" spans="1:8" hidden="1">
      <c r="A25" s="331" t="s">
        <v>328</v>
      </c>
      <c r="B25" s="331"/>
      <c r="C25" s="331"/>
      <c r="D25" s="331"/>
      <c r="E25" s="331"/>
      <c r="F25" s="331"/>
      <c r="G25" s="331"/>
      <c r="H25" s="331"/>
    </row>
    <row r="26" spans="1:8" hidden="1"/>
    <row r="27" spans="1:8" hidden="1">
      <c r="A27" s="149" t="s">
        <v>332</v>
      </c>
      <c r="H27" s="158">
        <v>9255</v>
      </c>
    </row>
    <row r="28" spans="1:8" hidden="1">
      <c r="A28" s="149" t="s">
        <v>333</v>
      </c>
      <c r="H28" s="158">
        <v>13800</v>
      </c>
    </row>
    <row r="29" spans="1:8" hidden="1">
      <c r="A29" s="149" t="s">
        <v>334</v>
      </c>
      <c r="H29" s="158">
        <v>4050</v>
      </c>
    </row>
    <row r="30" spans="1:8" ht="16.5" hidden="1" thickBot="1">
      <c r="H30" s="166">
        <f>SUM(H27:H29)</f>
        <v>27105</v>
      </c>
    </row>
    <row r="31" spans="1:8" ht="16.5" hidden="1" thickTop="1">
      <c r="H31" s="158"/>
    </row>
    <row r="32" spans="1:8" hidden="1">
      <c r="A32" s="149" t="s">
        <v>323</v>
      </c>
      <c r="H32" s="158">
        <v>16667</v>
      </c>
    </row>
    <row r="33" spans="1:8" hidden="1">
      <c r="A33" s="149" t="s">
        <v>335</v>
      </c>
      <c r="H33" s="154">
        <v>-1084</v>
      </c>
    </row>
    <row r="34" spans="1:8" ht="16.5" hidden="1" thickBot="1">
      <c r="A34" s="149" t="s">
        <v>336</v>
      </c>
      <c r="H34" s="160">
        <f>SUM(H32:H33)</f>
        <v>15583</v>
      </c>
    </row>
    <row r="35" spans="1:8" ht="16.5" hidden="1" thickTop="1"/>
  </sheetData>
  <mergeCells count="3">
    <mergeCell ref="A25:H25"/>
    <mergeCell ref="A2:H2"/>
    <mergeCell ref="A17:H17"/>
  </mergeCells>
  <phoneticPr fontId="11" type="noConversion"/>
  <pageMargins left="0.74803149606299213" right="0.74803149606299213" top="0.78740157480314965" bottom="0.98425196850393704" header="0.51181102362204722" footer="0.51181102362204722"/>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3">
    <pageSetUpPr fitToPage="1"/>
  </sheetPr>
  <dimension ref="A1:K15"/>
  <sheetViews>
    <sheetView zoomScale="80" workbookViewId="0">
      <selection activeCell="E3" sqref="E3"/>
    </sheetView>
  </sheetViews>
  <sheetFormatPr defaultRowHeight="15.75"/>
  <cols>
    <col min="1" max="1" width="5.25" style="149" customWidth="1"/>
    <col min="2" max="4" width="9" style="149"/>
    <col min="5" max="5" width="31.25" style="149" customWidth="1"/>
    <col min="6" max="6" width="13.75" style="149" customWidth="1"/>
    <col min="7" max="7" width="2.75" style="149" customWidth="1"/>
    <col min="8" max="8" width="12.875" style="149" customWidth="1"/>
    <col min="9" max="9" width="1.75" style="149" customWidth="1"/>
    <col min="10" max="10" width="19.875" style="149" bestFit="1" customWidth="1"/>
    <col min="11" max="11" width="12.75" style="149" hidden="1" customWidth="1"/>
    <col min="12" max="254" width="9" style="149"/>
    <col min="255" max="255" width="5.25" style="149" customWidth="1"/>
    <col min="256" max="258" width="9" style="149"/>
    <col min="259" max="259" width="31.25" style="149" customWidth="1"/>
    <col min="260" max="260" width="13.75" style="149" customWidth="1"/>
    <col min="261" max="261" width="2.75" style="149" customWidth="1"/>
    <col min="262" max="262" width="12.875" style="149" customWidth="1"/>
    <col min="263" max="263" width="1.75" style="149" customWidth="1"/>
    <col min="264" max="264" width="12.875" style="149" customWidth="1"/>
    <col min="265" max="265" width="1.375" style="149" customWidth="1"/>
    <col min="266" max="266" width="19.875" style="149" bestFit="1" customWidth="1"/>
    <col min="267" max="267" width="0" style="149" hidden="1" customWidth="1"/>
    <col min="268" max="510" width="9" style="149"/>
    <col min="511" max="511" width="5.25" style="149" customWidth="1"/>
    <col min="512" max="514" width="9" style="149"/>
    <col min="515" max="515" width="31.25" style="149" customWidth="1"/>
    <col min="516" max="516" width="13.75" style="149" customWidth="1"/>
    <col min="517" max="517" width="2.75" style="149" customWidth="1"/>
    <col min="518" max="518" width="12.875" style="149" customWidth="1"/>
    <col min="519" max="519" width="1.75" style="149" customWidth="1"/>
    <col min="520" max="520" width="12.875" style="149" customWidth="1"/>
    <col min="521" max="521" width="1.375" style="149" customWidth="1"/>
    <col min="522" max="522" width="19.875" style="149" bestFit="1" customWidth="1"/>
    <col min="523" max="523" width="0" style="149" hidden="1" customWidth="1"/>
    <col min="524" max="766" width="9" style="149"/>
    <col min="767" max="767" width="5.25" style="149" customWidth="1"/>
    <col min="768" max="770" width="9" style="149"/>
    <col min="771" max="771" width="31.25" style="149" customWidth="1"/>
    <col min="772" max="772" width="13.75" style="149" customWidth="1"/>
    <col min="773" max="773" width="2.75" style="149" customWidth="1"/>
    <col min="774" max="774" width="12.875" style="149" customWidth="1"/>
    <col min="775" max="775" width="1.75" style="149" customWidth="1"/>
    <col min="776" max="776" width="12.875" style="149" customWidth="1"/>
    <col min="777" max="777" width="1.375" style="149" customWidth="1"/>
    <col min="778" max="778" width="19.875" style="149" bestFit="1" customWidth="1"/>
    <col min="779" max="779" width="0" style="149" hidden="1" customWidth="1"/>
    <col min="780" max="1022" width="9" style="149"/>
    <col min="1023" max="1023" width="5.25" style="149" customWidth="1"/>
    <col min="1024" max="1026" width="9" style="149"/>
    <col min="1027" max="1027" width="31.25" style="149" customWidth="1"/>
    <col min="1028" max="1028" width="13.75" style="149" customWidth="1"/>
    <col min="1029" max="1029" width="2.75" style="149" customWidth="1"/>
    <col min="1030" max="1030" width="12.875" style="149" customWidth="1"/>
    <col min="1031" max="1031" width="1.75" style="149" customWidth="1"/>
    <col min="1032" max="1032" width="12.875" style="149" customWidth="1"/>
    <col min="1033" max="1033" width="1.375" style="149" customWidth="1"/>
    <col min="1034" max="1034" width="19.875" style="149" bestFit="1" customWidth="1"/>
    <col min="1035" max="1035" width="0" style="149" hidden="1" customWidth="1"/>
    <col min="1036" max="1278" width="9" style="149"/>
    <col min="1279" max="1279" width="5.25" style="149" customWidth="1"/>
    <col min="1280" max="1282" width="9" style="149"/>
    <col min="1283" max="1283" width="31.25" style="149" customWidth="1"/>
    <col min="1284" max="1284" width="13.75" style="149" customWidth="1"/>
    <col min="1285" max="1285" width="2.75" style="149" customWidth="1"/>
    <col min="1286" max="1286" width="12.875" style="149" customWidth="1"/>
    <col min="1287" max="1287" width="1.75" style="149" customWidth="1"/>
    <col min="1288" max="1288" width="12.875" style="149" customWidth="1"/>
    <col min="1289" max="1289" width="1.375" style="149" customWidth="1"/>
    <col min="1290" max="1290" width="19.875" style="149" bestFit="1" customWidth="1"/>
    <col min="1291" max="1291" width="0" style="149" hidden="1" customWidth="1"/>
    <col min="1292" max="1534" width="9" style="149"/>
    <col min="1535" max="1535" width="5.25" style="149" customWidth="1"/>
    <col min="1536" max="1538" width="9" style="149"/>
    <col min="1539" max="1539" width="31.25" style="149" customWidth="1"/>
    <col min="1540" max="1540" width="13.75" style="149" customWidth="1"/>
    <col min="1541" max="1541" width="2.75" style="149" customWidth="1"/>
    <col min="1542" max="1542" width="12.875" style="149" customWidth="1"/>
    <col min="1543" max="1543" width="1.75" style="149" customWidth="1"/>
    <col min="1544" max="1544" width="12.875" style="149" customWidth="1"/>
    <col min="1545" max="1545" width="1.375" style="149" customWidth="1"/>
    <col min="1546" max="1546" width="19.875" style="149" bestFit="1" customWidth="1"/>
    <col min="1547" max="1547" width="0" style="149" hidden="1" customWidth="1"/>
    <col min="1548" max="1790" width="9" style="149"/>
    <col min="1791" max="1791" width="5.25" style="149" customWidth="1"/>
    <col min="1792" max="1794" width="9" style="149"/>
    <col min="1795" max="1795" width="31.25" style="149" customWidth="1"/>
    <col min="1796" max="1796" width="13.75" style="149" customWidth="1"/>
    <col min="1797" max="1797" width="2.75" style="149" customWidth="1"/>
    <col min="1798" max="1798" width="12.875" style="149" customWidth="1"/>
    <col min="1799" max="1799" width="1.75" style="149" customWidth="1"/>
    <col min="1800" max="1800" width="12.875" style="149" customWidth="1"/>
    <col min="1801" max="1801" width="1.375" style="149" customWidth="1"/>
    <col min="1802" max="1802" width="19.875" style="149" bestFit="1" customWidth="1"/>
    <col min="1803" max="1803" width="0" style="149" hidden="1" customWidth="1"/>
    <col min="1804" max="2046" width="9" style="149"/>
    <col min="2047" max="2047" width="5.25" style="149" customWidth="1"/>
    <col min="2048" max="2050" width="9" style="149"/>
    <col min="2051" max="2051" width="31.25" style="149" customWidth="1"/>
    <col min="2052" max="2052" width="13.75" style="149" customWidth="1"/>
    <col min="2053" max="2053" width="2.75" style="149" customWidth="1"/>
    <col min="2054" max="2054" width="12.875" style="149" customWidth="1"/>
    <col min="2055" max="2055" width="1.75" style="149" customWidth="1"/>
    <col min="2056" max="2056" width="12.875" style="149" customWidth="1"/>
    <col min="2057" max="2057" width="1.375" style="149" customWidth="1"/>
    <col min="2058" max="2058" width="19.875" style="149" bestFit="1" customWidth="1"/>
    <col min="2059" max="2059" width="0" style="149" hidden="1" customWidth="1"/>
    <col min="2060" max="2302" width="9" style="149"/>
    <col min="2303" max="2303" width="5.25" style="149" customWidth="1"/>
    <col min="2304" max="2306" width="9" style="149"/>
    <col min="2307" max="2307" width="31.25" style="149" customWidth="1"/>
    <col min="2308" max="2308" width="13.75" style="149" customWidth="1"/>
    <col min="2309" max="2309" width="2.75" style="149" customWidth="1"/>
    <col min="2310" max="2310" width="12.875" style="149" customWidth="1"/>
    <col min="2311" max="2311" width="1.75" style="149" customWidth="1"/>
    <col min="2312" max="2312" width="12.875" style="149" customWidth="1"/>
    <col min="2313" max="2313" width="1.375" style="149" customWidth="1"/>
    <col min="2314" max="2314" width="19.875" style="149" bestFit="1" customWidth="1"/>
    <col min="2315" max="2315" width="0" style="149" hidden="1" customWidth="1"/>
    <col min="2316" max="2558" width="9" style="149"/>
    <col min="2559" max="2559" width="5.25" style="149" customWidth="1"/>
    <col min="2560" max="2562" width="9" style="149"/>
    <col min="2563" max="2563" width="31.25" style="149" customWidth="1"/>
    <col min="2564" max="2564" width="13.75" style="149" customWidth="1"/>
    <col min="2565" max="2565" width="2.75" style="149" customWidth="1"/>
    <col min="2566" max="2566" width="12.875" style="149" customWidth="1"/>
    <col min="2567" max="2567" width="1.75" style="149" customWidth="1"/>
    <col min="2568" max="2568" width="12.875" style="149" customWidth="1"/>
    <col min="2569" max="2569" width="1.375" style="149" customWidth="1"/>
    <col min="2570" max="2570" width="19.875" style="149" bestFit="1" customWidth="1"/>
    <col min="2571" max="2571" width="0" style="149" hidden="1" customWidth="1"/>
    <col min="2572" max="2814" width="9" style="149"/>
    <col min="2815" max="2815" width="5.25" style="149" customWidth="1"/>
    <col min="2816" max="2818" width="9" style="149"/>
    <col min="2819" max="2819" width="31.25" style="149" customWidth="1"/>
    <col min="2820" max="2820" width="13.75" style="149" customWidth="1"/>
    <col min="2821" max="2821" width="2.75" style="149" customWidth="1"/>
    <col min="2822" max="2822" width="12.875" style="149" customWidth="1"/>
    <col min="2823" max="2823" width="1.75" style="149" customWidth="1"/>
    <col min="2824" max="2824" width="12.875" style="149" customWidth="1"/>
    <col min="2825" max="2825" width="1.375" style="149" customWidth="1"/>
    <col min="2826" max="2826" width="19.875" style="149" bestFit="1" customWidth="1"/>
    <col min="2827" max="2827" width="0" style="149" hidden="1" customWidth="1"/>
    <col min="2828" max="3070" width="9" style="149"/>
    <col min="3071" max="3071" width="5.25" style="149" customWidth="1"/>
    <col min="3072" max="3074" width="9" style="149"/>
    <col min="3075" max="3075" width="31.25" style="149" customWidth="1"/>
    <col min="3076" max="3076" width="13.75" style="149" customWidth="1"/>
    <col min="3077" max="3077" width="2.75" style="149" customWidth="1"/>
    <col min="3078" max="3078" width="12.875" style="149" customWidth="1"/>
    <col min="3079" max="3079" width="1.75" style="149" customWidth="1"/>
    <col min="3080" max="3080" width="12.875" style="149" customWidth="1"/>
    <col min="3081" max="3081" width="1.375" style="149" customWidth="1"/>
    <col min="3082" max="3082" width="19.875" style="149" bestFit="1" customWidth="1"/>
    <col min="3083" max="3083" width="0" style="149" hidden="1" customWidth="1"/>
    <col min="3084" max="3326" width="9" style="149"/>
    <col min="3327" max="3327" width="5.25" style="149" customWidth="1"/>
    <col min="3328" max="3330" width="9" style="149"/>
    <col min="3331" max="3331" width="31.25" style="149" customWidth="1"/>
    <col min="3332" max="3332" width="13.75" style="149" customWidth="1"/>
    <col min="3333" max="3333" width="2.75" style="149" customWidth="1"/>
    <col min="3334" max="3334" width="12.875" style="149" customWidth="1"/>
    <col min="3335" max="3335" width="1.75" style="149" customWidth="1"/>
    <col min="3336" max="3336" width="12.875" style="149" customWidth="1"/>
    <col min="3337" max="3337" width="1.375" style="149" customWidth="1"/>
    <col min="3338" max="3338" width="19.875" style="149" bestFit="1" customWidth="1"/>
    <col min="3339" max="3339" width="0" style="149" hidden="1" customWidth="1"/>
    <col min="3340" max="3582" width="9" style="149"/>
    <col min="3583" max="3583" width="5.25" style="149" customWidth="1"/>
    <col min="3584" max="3586" width="9" style="149"/>
    <col min="3587" max="3587" width="31.25" style="149" customWidth="1"/>
    <col min="3588" max="3588" width="13.75" style="149" customWidth="1"/>
    <col min="3589" max="3589" width="2.75" style="149" customWidth="1"/>
    <col min="3590" max="3590" width="12.875" style="149" customWidth="1"/>
    <col min="3591" max="3591" width="1.75" style="149" customWidth="1"/>
    <col min="3592" max="3592" width="12.875" style="149" customWidth="1"/>
    <col min="3593" max="3593" width="1.375" style="149" customWidth="1"/>
    <col min="3594" max="3594" width="19.875" style="149" bestFit="1" customWidth="1"/>
    <col min="3595" max="3595" width="0" style="149" hidden="1" customWidth="1"/>
    <col min="3596" max="3838" width="9" style="149"/>
    <col min="3839" max="3839" width="5.25" style="149" customWidth="1"/>
    <col min="3840" max="3842" width="9" style="149"/>
    <col min="3843" max="3843" width="31.25" style="149" customWidth="1"/>
    <col min="3844" max="3844" width="13.75" style="149" customWidth="1"/>
    <col min="3845" max="3845" width="2.75" style="149" customWidth="1"/>
    <col min="3846" max="3846" width="12.875" style="149" customWidth="1"/>
    <col min="3847" max="3847" width="1.75" style="149" customWidth="1"/>
    <col min="3848" max="3848" width="12.875" style="149" customWidth="1"/>
    <col min="3849" max="3849" width="1.375" style="149" customWidth="1"/>
    <col min="3850" max="3850" width="19.875" style="149" bestFit="1" customWidth="1"/>
    <col min="3851" max="3851" width="0" style="149" hidden="1" customWidth="1"/>
    <col min="3852" max="4094" width="9" style="149"/>
    <col min="4095" max="4095" width="5.25" style="149" customWidth="1"/>
    <col min="4096" max="4098" width="9" style="149"/>
    <col min="4099" max="4099" width="31.25" style="149" customWidth="1"/>
    <col min="4100" max="4100" width="13.75" style="149" customWidth="1"/>
    <col min="4101" max="4101" width="2.75" style="149" customWidth="1"/>
    <col min="4102" max="4102" width="12.875" style="149" customWidth="1"/>
    <col min="4103" max="4103" width="1.75" style="149" customWidth="1"/>
    <col min="4104" max="4104" width="12.875" style="149" customWidth="1"/>
    <col min="4105" max="4105" width="1.375" style="149" customWidth="1"/>
    <col min="4106" max="4106" width="19.875" style="149" bestFit="1" customWidth="1"/>
    <col min="4107" max="4107" width="0" style="149" hidden="1" customWidth="1"/>
    <col min="4108" max="4350" width="9" style="149"/>
    <col min="4351" max="4351" width="5.25" style="149" customWidth="1"/>
    <col min="4352" max="4354" width="9" style="149"/>
    <col min="4355" max="4355" width="31.25" style="149" customWidth="1"/>
    <col min="4356" max="4356" width="13.75" style="149" customWidth="1"/>
    <col min="4357" max="4357" width="2.75" style="149" customWidth="1"/>
    <col min="4358" max="4358" width="12.875" style="149" customWidth="1"/>
    <col min="4359" max="4359" width="1.75" style="149" customWidth="1"/>
    <col min="4360" max="4360" width="12.875" style="149" customWidth="1"/>
    <col min="4361" max="4361" width="1.375" style="149" customWidth="1"/>
    <col min="4362" max="4362" width="19.875" style="149" bestFit="1" customWidth="1"/>
    <col min="4363" max="4363" width="0" style="149" hidden="1" customWidth="1"/>
    <col min="4364" max="4606" width="9" style="149"/>
    <col min="4607" max="4607" width="5.25" style="149" customWidth="1"/>
    <col min="4608" max="4610" width="9" style="149"/>
    <col min="4611" max="4611" width="31.25" style="149" customWidth="1"/>
    <col min="4612" max="4612" width="13.75" style="149" customWidth="1"/>
    <col min="4613" max="4613" width="2.75" style="149" customWidth="1"/>
    <col min="4614" max="4614" width="12.875" style="149" customWidth="1"/>
    <col min="4615" max="4615" width="1.75" style="149" customWidth="1"/>
    <col min="4616" max="4616" width="12.875" style="149" customWidth="1"/>
    <col min="4617" max="4617" width="1.375" style="149" customWidth="1"/>
    <col min="4618" max="4618" width="19.875" style="149" bestFit="1" customWidth="1"/>
    <col min="4619" max="4619" width="0" style="149" hidden="1" customWidth="1"/>
    <col min="4620" max="4862" width="9" style="149"/>
    <col min="4863" max="4863" width="5.25" style="149" customWidth="1"/>
    <col min="4864" max="4866" width="9" style="149"/>
    <col min="4867" max="4867" width="31.25" style="149" customWidth="1"/>
    <col min="4868" max="4868" width="13.75" style="149" customWidth="1"/>
    <col min="4869" max="4869" width="2.75" style="149" customWidth="1"/>
    <col min="4870" max="4870" width="12.875" style="149" customWidth="1"/>
    <col min="4871" max="4871" width="1.75" style="149" customWidth="1"/>
    <col min="4872" max="4872" width="12.875" style="149" customWidth="1"/>
    <col min="4873" max="4873" width="1.375" style="149" customWidth="1"/>
    <col min="4874" max="4874" width="19.875" style="149" bestFit="1" customWidth="1"/>
    <col min="4875" max="4875" width="0" style="149" hidden="1" customWidth="1"/>
    <col min="4876" max="5118" width="9" style="149"/>
    <col min="5119" max="5119" width="5.25" style="149" customWidth="1"/>
    <col min="5120" max="5122" width="9" style="149"/>
    <col min="5123" max="5123" width="31.25" style="149" customWidth="1"/>
    <col min="5124" max="5124" width="13.75" style="149" customWidth="1"/>
    <col min="5125" max="5125" width="2.75" style="149" customWidth="1"/>
    <col min="5126" max="5126" width="12.875" style="149" customWidth="1"/>
    <col min="5127" max="5127" width="1.75" style="149" customWidth="1"/>
    <col min="5128" max="5128" width="12.875" style="149" customWidth="1"/>
    <col min="5129" max="5129" width="1.375" style="149" customWidth="1"/>
    <col min="5130" max="5130" width="19.875" style="149" bestFit="1" customWidth="1"/>
    <col min="5131" max="5131" width="0" style="149" hidden="1" customWidth="1"/>
    <col min="5132" max="5374" width="9" style="149"/>
    <col min="5375" max="5375" width="5.25" style="149" customWidth="1"/>
    <col min="5376" max="5378" width="9" style="149"/>
    <col min="5379" max="5379" width="31.25" style="149" customWidth="1"/>
    <col min="5380" max="5380" width="13.75" style="149" customWidth="1"/>
    <col min="5381" max="5381" width="2.75" style="149" customWidth="1"/>
    <col min="5382" max="5382" width="12.875" style="149" customWidth="1"/>
    <col min="5383" max="5383" width="1.75" style="149" customWidth="1"/>
    <col min="5384" max="5384" width="12.875" style="149" customWidth="1"/>
    <col min="5385" max="5385" width="1.375" style="149" customWidth="1"/>
    <col min="5386" max="5386" width="19.875" style="149" bestFit="1" customWidth="1"/>
    <col min="5387" max="5387" width="0" style="149" hidden="1" customWidth="1"/>
    <col min="5388" max="5630" width="9" style="149"/>
    <col min="5631" max="5631" width="5.25" style="149" customWidth="1"/>
    <col min="5632" max="5634" width="9" style="149"/>
    <col min="5635" max="5635" width="31.25" style="149" customWidth="1"/>
    <col min="5636" max="5636" width="13.75" style="149" customWidth="1"/>
    <col min="5637" max="5637" width="2.75" style="149" customWidth="1"/>
    <col min="5638" max="5638" width="12.875" style="149" customWidth="1"/>
    <col min="5639" max="5639" width="1.75" style="149" customWidth="1"/>
    <col min="5640" max="5640" width="12.875" style="149" customWidth="1"/>
    <col min="5641" max="5641" width="1.375" style="149" customWidth="1"/>
    <col min="5642" max="5642" width="19.875" style="149" bestFit="1" customWidth="1"/>
    <col min="5643" max="5643" width="0" style="149" hidden="1" customWidth="1"/>
    <col min="5644" max="5886" width="9" style="149"/>
    <col min="5887" max="5887" width="5.25" style="149" customWidth="1"/>
    <col min="5888" max="5890" width="9" style="149"/>
    <col min="5891" max="5891" width="31.25" style="149" customWidth="1"/>
    <col min="5892" max="5892" width="13.75" style="149" customWidth="1"/>
    <col min="5893" max="5893" width="2.75" style="149" customWidth="1"/>
    <col min="5894" max="5894" width="12.875" style="149" customWidth="1"/>
    <col min="5895" max="5895" width="1.75" style="149" customWidth="1"/>
    <col min="5896" max="5896" width="12.875" style="149" customWidth="1"/>
    <col min="5897" max="5897" width="1.375" style="149" customWidth="1"/>
    <col min="5898" max="5898" width="19.875" style="149" bestFit="1" customWidth="1"/>
    <col min="5899" max="5899" width="0" style="149" hidden="1" customWidth="1"/>
    <col min="5900" max="6142" width="9" style="149"/>
    <col min="6143" max="6143" width="5.25" style="149" customWidth="1"/>
    <col min="6144" max="6146" width="9" style="149"/>
    <col min="6147" max="6147" width="31.25" style="149" customWidth="1"/>
    <col min="6148" max="6148" width="13.75" style="149" customWidth="1"/>
    <col min="6149" max="6149" width="2.75" style="149" customWidth="1"/>
    <col min="6150" max="6150" width="12.875" style="149" customWidth="1"/>
    <col min="6151" max="6151" width="1.75" style="149" customWidth="1"/>
    <col min="6152" max="6152" width="12.875" style="149" customWidth="1"/>
    <col min="6153" max="6153" width="1.375" style="149" customWidth="1"/>
    <col min="6154" max="6154" width="19.875" style="149" bestFit="1" customWidth="1"/>
    <col min="6155" max="6155" width="0" style="149" hidden="1" customWidth="1"/>
    <col min="6156" max="6398" width="9" style="149"/>
    <col min="6399" max="6399" width="5.25" style="149" customWidth="1"/>
    <col min="6400" max="6402" width="9" style="149"/>
    <col min="6403" max="6403" width="31.25" style="149" customWidth="1"/>
    <col min="6404" max="6404" width="13.75" style="149" customWidth="1"/>
    <col min="6405" max="6405" width="2.75" style="149" customWidth="1"/>
    <col min="6406" max="6406" width="12.875" style="149" customWidth="1"/>
    <col min="6407" max="6407" width="1.75" style="149" customWidth="1"/>
    <col min="6408" max="6408" width="12.875" style="149" customWidth="1"/>
    <col min="6409" max="6409" width="1.375" style="149" customWidth="1"/>
    <col min="6410" max="6410" width="19.875" style="149" bestFit="1" customWidth="1"/>
    <col min="6411" max="6411" width="0" style="149" hidden="1" customWidth="1"/>
    <col min="6412" max="6654" width="9" style="149"/>
    <col min="6655" max="6655" width="5.25" style="149" customWidth="1"/>
    <col min="6656" max="6658" width="9" style="149"/>
    <col min="6659" max="6659" width="31.25" style="149" customWidth="1"/>
    <col min="6660" max="6660" width="13.75" style="149" customWidth="1"/>
    <col min="6661" max="6661" width="2.75" style="149" customWidth="1"/>
    <col min="6662" max="6662" width="12.875" style="149" customWidth="1"/>
    <col min="6663" max="6663" width="1.75" style="149" customWidth="1"/>
    <col min="6664" max="6664" width="12.875" style="149" customWidth="1"/>
    <col min="6665" max="6665" width="1.375" style="149" customWidth="1"/>
    <col min="6666" max="6666" width="19.875" style="149" bestFit="1" customWidth="1"/>
    <col min="6667" max="6667" width="0" style="149" hidden="1" customWidth="1"/>
    <col min="6668" max="6910" width="9" style="149"/>
    <col min="6911" max="6911" width="5.25" style="149" customWidth="1"/>
    <col min="6912" max="6914" width="9" style="149"/>
    <col min="6915" max="6915" width="31.25" style="149" customWidth="1"/>
    <col min="6916" max="6916" width="13.75" style="149" customWidth="1"/>
    <col min="6917" max="6917" width="2.75" style="149" customWidth="1"/>
    <col min="6918" max="6918" width="12.875" style="149" customWidth="1"/>
    <col min="6919" max="6919" width="1.75" style="149" customWidth="1"/>
    <col min="6920" max="6920" width="12.875" style="149" customWidth="1"/>
    <col min="6921" max="6921" width="1.375" style="149" customWidth="1"/>
    <col min="6922" max="6922" width="19.875" style="149" bestFit="1" customWidth="1"/>
    <col min="6923" max="6923" width="0" style="149" hidden="1" customWidth="1"/>
    <col min="6924" max="7166" width="9" style="149"/>
    <col min="7167" max="7167" width="5.25" style="149" customWidth="1"/>
    <col min="7168" max="7170" width="9" style="149"/>
    <col min="7171" max="7171" width="31.25" style="149" customWidth="1"/>
    <col min="7172" max="7172" width="13.75" style="149" customWidth="1"/>
    <col min="7173" max="7173" width="2.75" style="149" customWidth="1"/>
    <col min="7174" max="7174" width="12.875" style="149" customWidth="1"/>
    <col min="7175" max="7175" width="1.75" style="149" customWidth="1"/>
    <col min="7176" max="7176" width="12.875" style="149" customWidth="1"/>
    <col min="7177" max="7177" width="1.375" style="149" customWidth="1"/>
    <col min="7178" max="7178" width="19.875" style="149" bestFit="1" customWidth="1"/>
    <col min="7179" max="7179" width="0" style="149" hidden="1" customWidth="1"/>
    <col min="7180" max="7422" width="9" style="149"/>
    <col min="7423" max="7423" width="5.25" style="149" customWidth="1"/>
    <col min="7424" max="7426" width="9" style="149"/>
    <col min="7427" max="7427" width="31.25" style="149" customWidth="1"/>
    <col min="7428" max="7428" width="13.75" style="149" customWidth="1"/>
    <col min="7429" max="7429" width="2.75" style="149" customWidth="1"/>
    <col min="7430" max="7430" width="12.875" style="149" customWidth="1"/>
    <col min="7431" max="7431" width="1.75" style="149" customWidth="1"/>
    <col min="7432" max="7432" width="12.875" style="149" customWidth="1"/>
    <col min="7433" max="7433" width="1.375" style="149" customWidth="1"/>
    <col min="7434" max="7434" width="19.875" style="149" bestFit="1" customWidth="1"/>
    <col min="7435" max="7435" width="0" style="149" hidden="1" customWidth="1"/>
    <col min="7436" max="7678" width="9" style="149"/>
    <col min="7679" max="7679" width="5.25" style="149" customWidth="1"/>
    <col min="7680" max="7682" width="9" style="149"/>
    <col min="7683" max="7683" width="31.25" style="149" customWidth="1"/>
    <col min="7684" max="7684" width="13.75" style="149" customWidth="1"/>
    <col min="7685" max="7685" width="2.75" style="149" customWidth="1"/>
    <col min="7686" max="7686" width="12.875" style="149" customWidth="1"/>
    <col min="7687" max="7687" width="1.75" style="149" customWidth="1"/>
    <col min="7688" max="7688" width="12.875" style="149" customWidth="1"/>
    <col min="7689" max="7689" width="1.375" style="149" customWidth="1"/>
    <col min="7690" max="7690" width="19.875" style="149" bestFit="1" customWidth="1"/>
    <col min="7691" max="7691" width="0" style="149" hidden="1" customWidth="1"/>
    <col min="7692" max="7934" width="9" style="149"/>
    <col min="7935" max="7935" width="5.25" style="149" customWidth="1"/>
    <col min="7936" max="7938" width="9" style="149"/>
    <col min="7939" max="7939" width="31.25" style="149" customWidth="1"/>
    <col min="7940" max="7940" width="13.75" style="149" customWidth="1"/>
    <col min="7941" max="7941" width="2.75" style="149" customWidth="1"/>
    <col min="7942" max="7942" width="12.875" style="149" customWidth="1"/>
    <col min="7943" max="7943" width="1.75" style="149" customWidth="1"/>
    <col min="7944" max="7944" width="12.875" style="149" customWidth="1"/>
    <col min="7945" max="7945" width="1.375" style="149" customWidth="1"/>
    <col min="7946" max="7946" width="19.875" style="149" bestFit="1" customWidth="1"/>
    <col min="7947" max="7947" width="0" style="149" hidden="1" customWidth="1"/>
    <col min="7948" max="8190" width="9" style="149"/>
    <col min="8191" max="8191" width="5.25" style="149" customWidth="1"/>
    <col min="8192" max="8194" width="9" style="149"/>
    <col min="8195" max="8195" width="31.25" style="149" customWidth="1"/>
    <col min="8196" max="8196" width="13.75" style="149" customWidth="1"/>
    <col min="8197" max="8197" width="2.75" style="149" customWidth="1"/>
    <col min="8198" max="8198" width="12.875" style="149" customWidth="1"/>
    <col min="8199" max="8199" width="1.75" style="149" customWidth="1"/>
    <col min="8200" max="8200" width="12.875" style="149" customWidth="1"/>
    <col min="8201" max="8201" width="1.375" style="149" customWidth="1"/>
    <col min="8202" max="8202" width="19.875" style="149" bestFit="1" customWidth="1"/>
    <col min="8203" max="8203" width="0" style="149" hidden="1" customWidth="1"/>
    <col min="8204" max="8446" width="9" style="149"/>
    <col min="8447" max="8447" width="5.25" style="149" customWidth="1"/>
    <col min="8448" max="8450" width="9" style="149"/>
    <col min="8451" max="8451" width="31.25" style="149" customWidth="1"/>
    <col min="8452" max="8452" width="13.75" style="149" customWidth="1"/>
    <col min="8453" max="8453" width="2.75" style="149" customWidth="1"/>
    <col min="8454" max="8454" width="12.875" style="149" customWidth="1"/>
    <col min="8455" max="8455" width="1.75" style="149" customWidth="1"/>
    <col min="8456" max="8456" width="12.875" style="149" customWidth="1"/>
    <col min="8457" max="8457" width="1.375" style="149" customWidth="1"/>
    <col min="8458" max="8458" width="19.875" style="149" bestFit="1" customWidth="1"/>
    <col min="8459" max="8459" width="0" style="149" hidden="1" customWidth="1"/>
    <col min="8460" max="8702" width="9" style="149"/>
    <col min="8703" max="8703" width="5.25" style="149" customWidth="1"/>
    <col min="8704" max="8706" width="9" style="149"/>
    <col min="8707" max="8707" width="31.25" style="149" customWidth="1"/>
    <col min="8708" max="8708" width="13.75" style="149" customWidth="1"/>
    <col min="8709" max="8709" width="2.75" style="149" customWidth="1"/>
    <col min="8710" max="8710" width="12.875" style="149" customWidth="1"/>
    <col min="8711" max="8711" width="1.75" style="149" customWidth="1"/>
    <col min="8712" max="8712" width="12.875" style="149" customWidth="1"/>
    <col min="8713" max="8713" width="1.375" style="149" customWidth="1"/>
    <col min="8714" max="8714" width="19.875" style="149" bestFit="1" customWidth="1"/>
    <col min="8715" max="8715" width="0" style="149" hidden="1" customWidth="1"/>
    <col min="8716" max="8958" width="9" style="149"/>
    <col min="8959" max="8959" width="5.25" style="149" customWidth="1"/>
    <col min="8960" max="8962" width="9" style="149"/>
    <col min="8963" max="8963" width="31.25" style="149" customWidth="1"/>
    <col min="8964" max="8964" width="13.75" style="149" customWidth="1"/>
    <col min="8965" max="8965" width="2.75" style="149" customWidth="1"/>
    <col min="8966" max="8966" width="12.875" style="149" customWidth="1"/>
    <col min="8967" max="8967" width="1.75" style="149" customWidth="1"/>
    <col min="8968" max="8968" width="12.875" style="149" customWidth="1"/>
    <col min="8969" max="8969" width="1.375" style="149" customWidth="1"/>
    <col min="8970" max="8970" width="19.875" style="149" bestFit="1" customWidth="1"/>
    <col min="8971" max="8971" width="0" style="149" hidden="1" customWidth="1"/>
    <col min="8972" max="9214" width="9" style="149"/>
    <col min="9215" max="9215" width="5.25" style="149" customWidth="1"/>
    <col min="9216" max="9218" width="9" style="149"/>
    <col min="9219" max="9219" width="31.25" style="149" customWidth="1"/>
    <col min="9220" max="9220" width="13.75" style="149" customWidth="1"/>
    <col min="9221" max="9221" width="2.75" style="149" customWidth="1"/>
    <col min="9222" max="9222" width="12.875" style="149" customWidth="1"/>
    <col min="9223" max="9223" width="1.75" style="149" customWidth="1"/>
    <col min="9224" max="9224" width="12.875" style="149" customWidth="1"/>
    <col min="9225" max="9225" width="1.375" style="149" customWidth="1"/>
    <col min="9226" max="9226" width="19.875" style="149" bestFit="1" customWidth="1"/>
    <col min="9227" max="9227" width="0" style="149" hidden="1" customWidth="1"/>
    <col min="9228" max="9470" width="9" style="149"/>
    <col min="9471" max="9471" width="5.25" style="149" customWidth="1"/>
    <col min="9472" max="9474" width="9" style="149"/>
    <col min="9475" max="9475" width="31.25" style="149" customWidth="1"/>
    <col min="9476" max="9476" width="13.75" style="149" customWidth="1"/>
    <col min="9477" max="9477" width="2.75" style="149" customWidth="1"/>
    <col min="9478" max="9478" width="12.875" style="149" customWidth="1"/>
    <col min="9479" max="9479" width="1.75" style="149" customWidth="1"/>
    <col min="9480" max="9480" width="12.875" style="149" customWidth="1"/>
    <col min="9481" max="9481" width="1.375" style="149" customWidth="1"/>
    <col min="9482" max="9482" width="19.875" style="149" bestFit="1" customWidth="1"/>
    <col min="9483" max="9483" width="0" style="149" hidden="1" customWidth="1"/>
    <col min="9484" max="9726" width="9" style="149"/>
    <col min="9727" max="9727" width="5.25" style="149" customWidth="1"/>
    <col min="9728" max="9730" width="9" style="149"/>
    <col min="9731" max="9731" width="31.25" style="149" customWidth="1"/>
    <col min="9732" max="9732" width="13.75" style="149" customWidth="1"/>
    <col min="9733" max="9733" width="2.75" style="149" customWidth="1"/>
    <col min="9734" max="9734" width="12.875" style="149" customWidth="1"/>
    <col min="9735" max="9735" width="1.75" style="149" customWidth="1"/>
    <col min="9736" max="9736" width="12.875" style="149" customWidth="1"/>
    <col min="9737" max="9737" width="1.375" style="149" customWidth="1"/>
    <col min="9738" max="9738" width="19.875" style="149" bestFit="1" customWidth="1"/>
    <col min="9739" max="9739" width="0" style="149" hidden="1" customWidth="1"/>
    <col min="9740" max="9982" width="9" style="149"/>
    <col min="9983" max="9983" width="5.25" style="149" customWidth="1"/>
    <col min="9984" max="9986" width="9" style="149"/>
    <col min="9987" max="9987" width="31.25" style="149" customWidth="1"/>
    <col min="9988" max="9988" width="13.75" style="149" customWidth="1"/>
    <col min="9989" max="9989" width="2.75" style="149" customWidth="1"/>
    <col min="9990" max="9990" width="12.875" style="149" customWidth="1"/>
    <col min="9991" max="9991" width="1.75" style="149" customWidth="1"/>
    <col min="9992" max="9992" width="12.875" style="149" customWidth="1"/>
    <col min="9993" max="9993" width="1.375" style="149" customWidth="1"/>
    <col min="9994" max="9994" width="19.875" style="149" bestFit="1" customWidth="1"/>
    <col min="9995" max="9995" width="0" style="149" hidden="1" customWidth="1"/>
    <col min="9996" max="10238" width="9" style="149"/>
    <col min="10239" max="10239" width="5.25" style="149" customWidth="1"/>
    <col min="10240" max="10242" width="9" style="149"/>
    <col min="10243" max="10243" width="31.25" style="149" customWidth="1"/>
    <col min="10244" max="10244" width="13.75" style="149" customWidth="1"/>
    <col min="10245" max="10245" width="2.75" style="149" customWidth="1"/>
    <col min="10246" max="10246" width="12.875" style="149" customWidth="1"/>
    <col min="10247" max="10247" width="1.75" style="149" customWidth="1"/>
    <col min="10248" max="10248" width="12.875" style="149" customWidth="1"/>
    <col min="10249" max="10249" width="1.375" style="149" customWidth="1"/>
    <col min="10250" max="10250" width="19.875" style="149" bestFit="1" customWidth="1"/>
    <col min="10251" max="10251" width="0" style="149" hidden="1" customWidth="1"/>
    <col min="10252" max="10494" width="9" style="149"/>
    <col min="10495" max="10495" width="5.25" style="149" customWidth="1"/>
    <col min="10496" max="10498" width="9" style="149"/>
    <col min="10499" max="10499" width="31.25" style="149" customWidth="1"/>
    <col min="10500" max="10500" width="13.75" style="149" customWidth="1"/>
    <col min="10501" max="10501" width="2.75" style="149" customWidth="1"/>
    <col min="10502" max="10502" width="12.875" style="149" customWidth="1"/>
    <col min="10503" max="10503" width="1.75" style="149" customWidth="1"/>
    <col min="10504" max="10504" width="12.875" style="149" customWidth="1"/>
    <col min="10505" max="10505" width="1.375" style="149" customWidth="1"/>
    <col min="10506" max="10506" width="19.875" style="149" bestFit="1" customWidth="1"/>
    <col min="10507" max="10507" width="0" style="149" hidden="1" customWidth="1"/>
    <col min="10508" max="10750" width="9" style="149"/>
    <col min="10751" max="10751" width="5.25" style="149" customWidth="1"/>
    <col min="10752" max="10754" width="9" style="149"/>
    <col min="10755" max="10755" width="31.25" style="149" customWidth="1"/>
    <col min="10756" max="10756" width="13.75" style="149" customWidth="1"/>
    <col min="10757" max="10757" width="2.75" style="149" customWidth="1"/>
    <col min="10758" max="10758" width="12.875" style="149" customWidth="1"/>
    <col min="10759" max="10759" width="1.75" style="149" customWidth="1"/>
    <col min="10760" max="10760" width="12.875" style="149" customWidth="1"/>
    <col min="10761" max="10761" width="1.375" style="149" customWidth="1"/>
    <col min="10762" max="10762" width="19.875" style="149" bestFit="1" customWidth="1"/>
    <col min="10763" max="10763" width="0" style="149" hidden="1" customWidth="1"/>
    <col min="10764" max="11006" width="9" style="149"/>
    <col min="11007" max="11007" width="5.25" style="149" customWidth="1"/>
    <col min="11008" max="11010" width="9" style="149"/>
    <col min="11011" max="11011" width="31.25" style="149" customWidth="1"/>
    <col min="11012" max="11012" width="13.75" style="149" customWidth="1"/>
    <col min="11013" max="11013" width="2.75" style="149" customWidth="1"/>
    <col min="11014" max="11014" width="12.875" style="149" customWidth="1"/>
    <col min="11015" max="11015" width="1.75" style="149" customWidth="1"/>
    <col min="11016" max="11016" width="12.875" style="149" customWidth="1"/>
    <col min="11017" max="11017" width="1.375" style="149" customWidth="1"/>
    <col min="11018" max="11018" width="19.875" style="149" bestFit="1" customWidth="1"/>
    <col min="11019" max="11019" width="0" style="149" hidden="1" customWidth="1"/>
    <col min="11020" max="11262" width="9" style="149"/>
    <col min="11263" max="11263" width="5.25" style="149" customWidth="1"/>
    <col min="11264" max="11266" width="9" style="149"/>
    <col min="11267" max="11267" width="31.25" style="149" customWidth="1"/>
    <col min="11268" max="11268" width="13.75" style="149" customWidth="1"/>
    <col min="11269" max="11269" width="2.75" style="149" customWidth="1"/>
    <col min="11270" max="11270" width="12.875" style="149" customWidth="1"/>
    <col min="11271" max="11271" width="1.75" style="149" customWidth="1"/>
    <col min="11272" max="11272" width="12.875" style="149" customWidth="1"/>
    <col min="11273" max="11273" width="1.375" style="149" customWidth="1"/>
    <col min="11274" max="11274" width="19.875" style="149" bestFit="1" customWidth="1"/>
    <col min="11275" max="11275" width="0" style="149" hidden="1" customWidth="1"/>
    <col min="11276" max="11518" width="9" style="149"/>
    <col min="11519" max="11519" width="5.25" style="149" customWidth="1"/>
    <col min="11520" max="11522" width="9" style="149"/>
    <col min="11523" max="11523" width="31.25" style="149" customWidth="1"/>
    <col min="11524" max="11524" width="13.75" style="149" customWidth="1"/>
    <col min="11525" max="11525" width="2.75" style="149" customWidth="1"/>
    <col min="11526" max="11526" width="12.875" style="149" customWidth="1"/>
    <col min="11527" max="11527" width="1.75" style="149" customWidth="1"/>
    <col min="11528" max="11528" width="12.875" style="149" customWidth="1"/>
    <col min="11529" max="11529" width="1.375" style="149" customWidth="1"/>
    <col min="11530" max="11530" width="19.875" style="149" bestFit="1" customWidth="1"/>
    <col min="11531" max="11531" width="0" style="149" hidden="1" customWidth="1"/>
    <col min="11532" max="11774" width="9" style="149"/>
    <col min="11775" max="11775" width="5.25" style="149" customWidth="1"/>
    <col min="11776" max="11778" width="9" style="149"/>
    <col min="11779" max="11779" width="31.25" style="149" customWidth="1"/>
    <col min="11780" max="11780" width="13.75" style="149" customWidth="1"/>
    <col min="11781" max="11781" width="2.75" style="149" customWidth="1"/>
    <col min="11782" max="11782" width="12.875" style="149" customWidth="1"/>
    <col min="11783" max="11783" width="1.75" style="149" customWidth="1"/>
    <col min="11784" max="11784" width="12.875" style="149" customWidth="1"/>
    <col min="11785" max="11785" width="1.375" style="149" customWidth="1"/>
    <col min="11786" max="11786" width="19.875" style="149" bestFit="1" customWidth="1"/>
    <col min="11787" max="11787" width="0" style="149" hidden="1" customWidth="1"/>
    <col min="11788" max="12030" width="9" style="149"/>
    <col min="12031" max="12031" width="5.25" style="149" customWidth="1"/>
    <col min="12032" max="12034" width="9" style="149"/>
    <col min="12035" max="12035" width="31.25" style="149" customWidth="1"/>
    <col min="12036" max="12036" width="13.75" style="149" customWidth="1"/>
    <col min="12037" max="12037" width="2.75" style="149" customWidth="1"/>
    <col min="12038" max="12038" width="12.875" style="149" customWidth="1"/>
    <col min="12039" max="12039" width="1.75" style="149" customWidth="1"/>
    <col min="12040" max="12040" width="12.875" style="149" customWidth="1"/>
    <col min="12041" max="12041" width="1.375" style="149" customWidth="1"/>
    <col min="12042" max="12042" width="19.875" style="149" bestFit="1" customWidth="1"/>
    <col min="12043" max="12043" width="0" style="149" hidden="1" customWidth="1"/>
    <col min="12044" max="12286" width="9" style="149"/>
    <col min="12287" max="12287" width="5.25" style="149" customWidth="1"/>
    <col min="12288" max="12290" width="9" style="149"/>
    <col min="12291" max="12291" width="31.25" style="149" customWidth="1"/>
    <col min="12292" max="12292" width="13.75" style="149" customWidth="1"/>
    <col min="12293" max="12293" width="2.75" style="149" customWidth="1"/>
    <col min="12294" max="12294" width="12.875" style="149" customWidth="1"/>
    <col min="12295" max="12295" width="1.75" style="149" customWidth="1"/>
    <col min="12296" max="12296" width="12.875" style="149" customWidth="1"/>
    <col min="12297" max="12297" width="1.375" style="149" customWidth="1"/>
    <col min="12298" max="12298" width="19.875" style="149" bestFit="1" customWidth="1"/>
    <col min="12299" max="12299" width="0" style="149" hidden="1" customWidth="1"/>
    <col min="12300" max="12542" width="9" style="149"/>
    <col min="12543" max="12543" width="5.25" style="149" customWidth="1"/>
    <col min="12544" max="12546" width="9" style="149"/>
    <col min="12547" max="12547" width="31.25" style="149" customWidth="1"/>
    <col min="12548" max="12548" width="13.75" style="149" customWidth="1"/>
    <col min="12549" max="12549" width="2.75" style="149" customWidth="1"/>
    <col min="12550" max="12550" width="12.875" style="149" customWidth="1"/>
    <col min="12551" max="12551" width="1.75" style="149" customWidth="1"/>
    <col min="12552" max="12552" width="12.875" style="149" customWidth="1"/>
    <col min="12553" max="12553" width="1.375" style="149" customWidth="1"/>
    <col min="12554" max="12554" width="19.875" style="149" bestFit="1" customWidth="1"/>
    <col min="12555" max="12555" width="0" style="149" hidden="1" customWidth="1"/>
    <col min="12556" max="12798" width="9" style="149"/>
    <col min="12799" max="12799" width="5.25" style="149" customWidth="1"/>
    <col min="12800" max="12802" width="9" style="149"/>
    <col min="12803" max="12803" width="31.25" style="149" customWidth="1"/>
    <col min="12804" max="12804" width="13.75" style="149" customWidth="1"/>
    <col min="12805" max="12805" width="2.75" style="149" customWidth="1"/>
    <col min="12806" max="12806" width="12.875" style="149" customWidth="1"/>
    <col min="12807" max="12807" width="1.75" style="149" customWidth="1"/>
    <col min="12808" max="12808" width="12.875" style="149" customWidth="1"/>
    <col min="12809" max="12809" width="1.375" style="149" customWidth="1"/>
    <col min="12810" max="12810" width="19.875" style="149" bestFit="1" customWidth="1"/>
    <col min="12811" max="12811" width="0" style="149" hidden="1" customWidth="1"/>
    <col min="12812" max="13054" width="9" style="149"/>
    <col min="13055" max="13055" width="5.25" style="149" customWidth="1"/>
    <col min="13056" max="13058" width="9" style="149"/>
    <col min="13059" max="13059" width="31.25" style="149" customWidth="1"/>
    <col min="13060" max="13060" width="13.75" style="149" customWidth="1"/>
    <col min="13061" max="13061" width="2.75" style="149" customWidth="1"/>
    <col min="13062" max="13062" width="12.875" style="149" customWidth="1"/>
    <col min="13063" max="13063" width="1.75" style="149" customWidth="1"/>
    <col min="13064" max="13064" width="12.875" style="149" customWidth="1"/>
    <col min="13065" max="13065" width="1.375" style="149" customWidth="1"/>
    <col min="13066" max="13066" width="19.875" style="149" bestFit="1" customWidth="1"/>
    <col min="13067" max="13067" width="0" style="149" hidden="1" customWidth="1"/>
    <col min="13068" max="13310" width="9" style="149"/>
    <col min="13311" max="13311" width="5.25" style="149" customWidth="1"/>
    <col min="13312" max="13314" width="9" style="149"/>
    <col min="13315" max="13315" width="31.25" style="149" customWidth="1"/>
    <col min="13316" max="13316" width="13.75" style="149" customWidth="1"/>
    <col min="13317" max="13317" width="2.75" style="149" customWidth="1"/>
    <col min="13318" max="13318" width="12.875" style="149" customWidth="1"/>
    <col min="13319" max="13319" width="1.75" style="149" customWidth="1"/>
    <col min="13320" max="13320" width="12.875" style="149" customWidth="1"/>
    <col min="13321" max="13321" width="1.375" style="149" customWidth="1"/>
    <col min="13322" max="13322" width="19.875" style="149" bestFit="1" customWidth="1"/>
    <col min="13323" max="13323" width="0" style="149" hidden="1" customWidth="1"/>
    <col min="13324" max="13566" width="9" style="149"/>
    <col min="13567" max="13567" width="5.25" style="149" customWidth="1"/>
    <col min="13568" max="13570" width="9" style="149"/>
    <col min="13571" max="13571" width="31.25" style="149" customWidth="1"/>
    <col min="13572" max="13572" width="13.75" style="149" customWidth="1"/>
    <col min="13573" max="13573" width="2.75" style="149" customWidth="1"/>
    <col min="13574" max="13574" width="12.875" style="149" customWidth="1"/>
    <col min="13575" max="13575" width="1.75" style="149" customWidth="1"/>
    <col min="13576" max="13576" width="12.875" style="149" customWidth="1"/>
    <col min="13577" max="13577" width="1.375" style="149" customWidth="1"/>
    <col min="13578" max="13578" width="19.875" style="149" bestFit="1" customWidth="1"/>
    <col min="13579" max="13579" width="0" style="149" hidden="1" customWidth="1"/>
    <col min="13580" max="13822" width="9" style="149"/>
    <col min="13823" max="13823" width="5.25" style="149" customWidth="1"/>
    <col min="13824" max="13826" width="9" style="149"/>
    <col min="13827" max="13827" width="31.25" style="149" customWidth="1"/>
    <col min="13828" max="13828" width="13.75" style="149" customWidth="1"/>
    <col min="13829" max="13829" width="2.75" style="149" customWidth="1"/>
    <col min="13830" max="13830" width="12.875" style="149" customWidth="1"/>
    <col min="13831" max="13831" width="1.75" style="149" customWidth="1"/>
    <col min="13832" max="13832" width="12.875" style="149" customWidth="1"/>
    <col min="13833" max="13833" width="1.375" style="149" customWidth="1"/>
    <col min="13834" max="13834" width="19.875" style="149" bestFit="1" customWidth="1"/>
    <col min="13835" max="13835" width="0" style="149" hidden="1" customWidth="1"/>
    <col min="13836" max="14078" width="9" style="149"/>
    <col min="14079" max="14079" width="5.25" style="149" customWidth="1"/>
    <col min="14080" max="14082" width="9" style="149"/>
    <col min="14083" max="14083" width="31.25" style="149" customWidth="1"/>
    <col min="14084" max="14084" width="13.75" style="149" customWidth="1"/>
    <col min="14085" max="14085" width="2.75" style="149" customWidth="1"/>
    <col min="14086" max="14086" width="12.875" style="149" customWidth="1"/>
    <col min="14087" max="14087" width="1.75" style="149" customWidth="1"/>
    <col min="14088" max="14088" width="12.875" style="149" customWidth="1"/>
    <col min="14089" max="14089" width="1.375" style="149" customWidth="1"/>
    <col min="14090" max="14090" width="19.875" style="149" bestFit="1" customWidth="1"/>
    <col min="14091" max="14091" width="0" style="149" hidden="1" customWidth="1"/>
    <col min="14092" max="14334" width="9" style="149"/>
    <col min="14335" max="14335" width="5.25" style="149" customWidth="1"/>
    <col min="14336" max="14338" width="9" style="149"/>
    <col min="14339" max="14339" width="31.25" style="149" customWidth="1"/>
    <col min="14340" max="14340" width="13.75" style="149" customWidth="1"/>
    <col min="14341" max="14341" width="2.75" style="149" customWidth="1"/>
    <col min="14342" max="14342" width="12.875" style="149" customWidth="1"/>
    <col min="14343" max="14343" width="1.75" style="149" customWidth="1"/>
    <col min="14344" max="14344" width="12.875" style="149" customWidth="1"/>
    <col min="14345" max="14345" width="1.375" style="149" customWidth="1"/>
    <col min="14346" max="14346" width="19.875" style="149" bestFit="1" customWidth="1"/>
    <col min="14347" max="14347" width="0" style="149" hidden="1" customWidth="1"/>
    <col min="14348" max="14590" width="9" style="149"/>
    <col min="14591" max="14591" width="5.25" style="149" customWidth="1"/>
    <col min="14592" max="14594" width="9" style="149"/>
    <col min="14595" max="14595" width="31.25" style="149" customWidth="1"/>
    <col min="14596" max="14596" width="13.75" style="149" customWidth="1"/>
    <col min="14597" max="14597" width="2.75" style="149" customWidth="1"/>
    <col min="14598" max="14598" width="12.875" style="149" customWidth="1"/>
    <col min="14599" max="14599" width="1.75" style="149" customWidth="1"/>
    <col min="14600" max="14600" width="12.875" style="149" customWidth="1"/>
    <col min="14601" max="14601" width="1.375" style="149" customWidth="1"/>
    <col min="14602" max="14602" width="19.875" style="149" bestFit="1" customWidth="1"/>
    <col min="14603" max="14603" width="0" style="149" hidden="1" customWidth="1"/>
    <col min="14604" max="14846" width="9" style="149"/>
    <col min="14847" max="14847" width="5.25" style="149" customWidth="1"/>
    <col min="14848" max="14850" width="9" style="149"/>
    <col min="14851" max="14851" width="31.25" style="149" customWidth="1"/>
    <col min="14852" max="14852" width="13.75" style="149" customWidth="1"/>
    <col min="14853" max="14853" width="2.75" style="149" customWidth="1"/>
    <col min="14854" max="14854" width="12.875" style="149" customWidth="1"/>
    <col min="14855" max="14855" width="1.75" style="149" customWidth="1"/>
    <col min="14856" max="14856" width="12.875" style="149" customWidth="1"/>
    <col min="14857" max="14857" width="1.375" style="149" customWidth="1"/>
    <col min="14858" max="14858" width="19.875" style="149" bestFit="1" customWidth="1"/>
    <col min="14859" max="14859" width="0" style="149" hidden="1" customWidth="1"/>
    <col min="14860" max="15102" width="9" style="149"/>
    <col min="15103" max="15103" width="5.25" style="149" customWidth="1"/>
    <col min="15104" max="15106" width="9" style="149"/>
    <col min="15107" max="15107" width="31.25" style="149" customWidth="1"/>
    <col min="15108" max="15108" width="13.75" style="149" customWidth="1"/>
    <col min="15109" max="15109" width="2.75" style="149" customWidth="1"/>
    <col min="15110" max="15110" width="12.875" style="149" customWidth="1"/>
    <col min="15111" max="15111" width="1.75" style="149" customWidth="1"/>
    <col min="15112" max="15112" width="12.875" style="149" customWidth="1"/>
    <col min="15113" max="15113" width="1.375" style="149" customWidth="1"/>
    <col min="15114" max="15114" width="19.875" style="149" bestFit="1" customWidth="1"/>
    <col min="15115" max="15115" width="0" style="149" hidden="1" customWidth="1"/>
    <col min="15116" max="15358" width="9" style="149"/>
    <col min="15359" max="15359" width="5.25" style="149" customWidth="1"/>
    <col min="15360" max="15362" width="9" style="149"/>
    <col min="15363" max="15363" width="31.25" style="149" customWidth="1"/>
    <col min="15364" max="15364" width="13.75" style="149" customWidth="1"/>
    <col min="15365" max="15365" width="2.75" style="149" customWidth="1"/>
    <col min="15366" max="15366" width="12.875" style="149" customWidth="1"/>
    <col min="15367" max="15367" width="1.75" style="149" customWidth="1"/>
    <col min="15368" max="15368" width="12.875" style="149" customWidth="1"/>
    <col min="15369" max="15369" width="1.375" style="149" customWidth="1"/>
    <col min="15370" max="15370" width="19.875" style="149" bestFit="1" customWidth="1"/>
    <col min="15371" max="15371" width="0" style="149" hidden="1" customWidth="1"/>
    <col min="15372" max="15614" width="9" style="149"/>
    <col min="15615" max="15615" width="5.25" style="149" customWidth="1"/>
    <col min="15616" max="15618" width="9" style="149"/>
    <col min="15619" max="15619" width="31.25" style="149" customWidth="1"/>
    <col min="15620" max="15620" width="13.75" style="149" customWidth="1"/>
    <col min="15621" max="15621" width="2.75" style="149" customWidth="1"/>
    <col min="15622" max="15622" width="12.875" style="149" customWidth="1"/>
    <col min="15623" max="15623" width="1.75" style="149" customWidth="1"/>
    <col min="15624" max="15624" width="12.875" style="149" customWidth="1"/>
    <col min="15625" max="15625" width="1.375" style="149" customWidth="1"/>
    <col min="15626" max="15626" width="19.875" style="149" bestFit="1" customWidth="1"/>
    <col min="15627" max="15627" width="0" style="149" hidden="1" customWidth="1"/>
    <col min="15628" max="15870" width="9" style="149"/>
    <col min="15871" max="15871" width="5.25" style="149" customWidth="1"/>
    <col min="15872" max="15874" width="9" style="149"/>
    <col min="15875" max="15875" width="31.25" style="149" customWidth="1"/>
    <col min="15876" max="15876" width="13.75" style="149" customWidth="1"/>
    <col min="15877" max="15877" width="2.75" style="149" customWidth="1"/>
    <col min="15878" max="15878" width="12.875" style="149" customWidth="1"/>
    <col min="15879" max="15879" width="1.75" style="149" customWidth="1"/>
    <col min="15880" max="15880" width="12.875" style="149" customWidth="1"/>
    <col min="15881" max="15881" width="1.375" style="149" customWidth="1"/>
    <col min="15882" max="15882" width="19.875" style="149" bestFit="1" customWidth="1"/>
    <col min="15883" max="15883" width="0" style="149" hidden="1" customWidth="1"/>
    <col min="15884" max="16126" width="9" style="149"/>
    <col min="16127" max="16127" width="5.25" style="149" customWidth="1"/>
    <col min="16128" max="16130" width="9" style="149"/>
    <col min="16131" max="16131" width="31.25" style="149" customWidth="1"/>
    <col min="16132" max="16132" width="13.75" style="149" customWidth="1"/>
    <col min="16133" max="16133" width="2.75" style="149" customWidth="1"/>
    <col min="16134" max="16134" width="12.875" style="149" customWidth="1"/>
    <col min="16135" max="16135" width="1.75" style="149" customWidth="1"/>
    <col min="16136" max="16136" width="12.875" style="149" customWidth="1"/>
    <col min="16137" max="16137" width="1.375" style="149" customWidth="1"/>
    <col min="16138" max="16138" width="19.875" style="149" bestFit="1" customWidth="1"/>
    <col min="16139" max="16139" width="0" style="149" hidden="1" customWidth="1"/>
    <col min="16140" max="16384" width="9" style="149"/>
  </cols>
  <sheetData>
    <row r="1" spans="1:10">
      <c r="A1" s="150"/>
      <c r="B1" s="150"/>
      <c r="C1" s="150"/>
      <c r="D1" s="150"/>
      <c r="E1" s="150"/>
      <c r="F1" s="150"/>
      <c r="G1" s="150"/>
      <c r="H1" s="150"/>
      <c r="I1" s="150"/>
    </row>
    <row r="2" spans="1:10">
      <c r="A2" s="331" t="s">
        <v>309</v>
      </c>
      <c r="B2" s="331"/>
      <c r="C2" s="331"/>
      <c r="D2" s="331"/>
      <c r="E2" s="331"/>
      <c r="F2" s="331"/>
      <c r="G2" s="331"/>
      <c r="H2" s="331"/>
      <c r="I2" s="331"/>
      <c r="J2" s="331"/>
    </row>
    <row r="3" spans="1:10">
      <c r="F3" s="151"/>
      <c r="G3" s="151"/>
      <c r="H3" s="151"/>
      <c r="I3" s="151"/>
      <c r="J3" s="151" t="s">
        <v>315</v>
      </c>
    </row>
    <row r="4" spans="1:10">
      <c r="F4" s="151" t="s">
        <v>310</v>
      </c>
      <c r="G4" s="151"/>
      <c r="H4" s="151" t="s">
        <v>311</v>
      </c>
      <c r="I4" s="151"/>
      <c r="J4" s="151" t="s">
        <v>312</v>
      </c>
    </row>
    <row r="5" spans="1:10">
      <c r="F5" s="152" t="s">
        <v>183</v>
      </c>
      <c r="G5" s="151"/>
      <c r="H5" s="152" t="s">
        <v>183</v>
      </c>
      <c r="I5" s="152"/>
      <c r="J5" s="152" t="s">
        <v>183</v>
      </c>
    </row>
    <row r="6" spans="1:10">
      <c r="A6" s="150" t="s">
        <v>313</v>
      </c>
    </row>
    <row r="7" spans="1:10">
      <c r="F7" s="161"/>
    </row>
    <row r="8" spans="1:10">
      <c r="B8" s="149" t="s">
        <v>314</v>
      </c>
      <c r="F8" s="250">
        <f>32908-18078</f>
        <v>14830</v>
      </c>
      <c r="H8" s="250">
        <f>+F8</f>
        <v>14830</v>
      </c>
    </row>
    <row r="9" spans="1:10">
      <c r="B9" s="149" t="s">
        <v>316</v>
      </c>
      <c r="F9" s="251">
        <f>17240+838</f>
        <v>18078</v>
      </c>
      <c r="H9" s="153"/>
      <c r="I9" s="153"/>
      <c r="J9" s="250">
        <f>+F9</f>
        <v>18078</v>
      </c>
    </row>
    <row r="10" spans="1:10">
      <c r="F10" s="157"/>
      <c r="H10" s="154"/>
      <c r="I10" s="158"/>
      <c r="J10" s="154"/>
    </row>
    <row r="11" spans="1:10">
      <c r="F11" s="159">
        <f>SUM(F8:F10)</f>
        <v>32908</v>
      </c>
      <c r="H11" s="159">
        <f>SUM(H8:H10)</f>
        <v>14830</v>
      </c>
      <c r="I11" s="153"/>
      <c r="J11" s="159">
        <f>SUM(J8:J10)</f>
        <v>18078</v>
      </c>
    </row>
    <row r="12" spans="1:10">
      <c r="F12" s="155"/>
      <c r="H12" s="153"/>
      <c r="I12" s="153"/>
      <c r="J12" s="153"/>
    </row>
    <row r="13" spans="1:10">
      <c r="F13" s="155"/>
      <c r="H13" s="153"/>
      <c r="I13" s="153"/>
      <c r="J13" s="153"/>
    </row>
    <row r="14" spans="1:10">
      <c r="F14" s="155"/>
      <c r="H14" s="153"/>
      <c r="I14" s="153"/>
      <c r="J14" s="153"/>
    </row>
    <row r="15" spans="1:10">
      <c r="F15" s="155"/>
      <c r="H15" s="153"/>
      <c r="I15" s="153"/>
      <c r="J15" s="153"/>
    </row>
  </sheetData>
  <mergeCells count="1">
    <mergeCell ref="A2:J2"/>
  </mergeCells>
  <phoneticPr fontId="11" type="noConversion"/>
  <pageMargins left="0.94488188976377963" right="0.35433070866141736" top="0.59055118110236227" bottom="0.98425196850393704" header="0.51181102362204722" footer="0.51181102362204722"/>
  <pageSetup paperSize="9" scale="68"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dimension ref="A1:H15"/>
  <sheetViews>
    <sheetView workbookViewId="0">
      <selection activeCell="E16" sqref="E16"/>
    </sheetView>
  </sheetViews>
  <sheetFormatPr defaultRowHeight="15.75"/>
  <cols>
    <col min="1" max="1" width="4.125" style="228" customWidth="1"/>
    <col min="2" max="2" width="3.625" style="228" customWidth="1"/>
    <col min="3" max="3" width="31.875" style="228" customWidth="1"/>
    <col min="4" max="4" width="10.125" style="239" customWidth="1"/>
    <col min="5" max="5" width="1.625" style="240" customWidth="1"/>
    <col min="6" max="6" width="9.625" style="239" customWidth="1"/>
    <col min="7" max="7" width="1.625" style="240" customWidth="1"/>
    <col min="8" max="8" width="16.375" style="228" customWidth="1"/>
    <col min="9" max="255" width="9" style="65"/>
    <col min="256" max="256" width="4.125" style="65" customWidth="1"/>
    <col min="257" max="257" width="3.625" style="65" customWidth="1"/>
    <col min="258" max="258" width="40.125" style="65" customWidth="1"/>
    <col min="259" max="259" width="13.375" style="65" bestFit="1" customWidth="1"/>
    <col min="260" max="260" width="1.625" style="65" customWidth="1"/>
    <col min="261" max="261" width="11.875" style="65" customWidth="1"/>
    <col min="262" max="262" width="1.625" style="65" customWidth="1"/>
    <col min="263" max="263" width="16.375" style="65" customWidth="1"/>
    <col min="264" max="511" width="9" style="65"/>
    <col min="512" max="512" width="4.125" style="65" customWidth="1"/>
    <col min="513" max="513" width="3.625" style="65" customWidth="1"/>
    <col min="514" max="514" width="40.125" style="65" customWidth="1"/>
    <col min="515" max="515" width="13.375" style="65" bestFit="1" customWidth="1"/>
    <col min="516" max="516" width="1.625" style="65" customWidth="1"/>
    <col min="517" max="517" width="11.875" style="65" customWidth="1"/>
    <col min="518" max="518" width="1.625" style="65" customWidth="1"/>
    <col min="519" max="519" width="16.375" style="65" customWidth="1"/>
    <col min="520" max="767" width="9" style="65"/>
    <col min="768" max="768" width="4.125" style="65" customWidth="1"/>
    <col min="769" max="769" width="3.625" style="65" customWidth="1"/>
    <col min="770" max="770" width="40.125" style="65" customWidth="1"/>
    <col min="771" max="771" width="13.375" style="65" bestFit="1" customWidth="1"/>
    <col min="772" max="772" width="1.625" style="65" customWidth="1"/>
    <col min="773" max="773" width="11.875" style="65" customWidth="1"/>
    <col min="774" max="774" width="1.625" style="65" customWidth="1"/>
    <col min="775" max="775" width="16.375" style="65" customWidth="1"/>
    <col min="776" max="1023" width="9" style="65"/>
    <col min="1024" max="1024" width="4.125" style="65" customWidth="1"/>
    <col min="1025" max="1025" width="3.625" style="65" customWidth="1"/>
    <col min="1026" max="1026" width="40.125" style="65" customWidth="1"/>
    <col min="1027" max="1027" width="13.375" style="65" bestFit="1" customWidth="1"/>
    <col min="1028" max="1028" width="1.625" style="65" customWidth="1"/>
    <col min="1029" max="1029" width="11.875" style="65" customWidth="1"/>
    <col min="1030" max="1030" width="1.625" style="65" customWidth="1"/>
    <col min="1031" max="1031" width="16.375" style="65" customWidth="1"/>
    <col min="1032" max="1279" width="9" style="65"/>
    <col min="1280" max="1280" width="4.125" style="65" customWidth="1"/>
    <col min="1281" max="1281" width="3.625" style="65" customWidth="1"/>
    <col min="1282" max="1282" width="40.125" style="65" customWidth="1"/>
    <col min="1283" max="1283" width="13.375" style="65" bestFit="1" customWidth="1"/>
    <col min="1284" max="1284" width="1.625" style="65" customWidth="1"/>
    <col min="1285" max="1285" width="11.875" style="65" customWidth="1"/>
    <col min="1286" max="1286" width="1.625" style="65" customWidth="1"/>
    <col min="1287" max="1287" width="16.375" style="65" customWidth="1"/>
    <col min="1288" max="1535" width="9" style="65"/>
    <col min="1536" max="1536" width="4.125" style="65" customWidth="1"/>
    <col min="1537" max="1537" width="3.625" style="65" customWidth="1"/>
    <col min="1538" max="1538" width="40.125" style="65" customWidth="1"/>
    <col min="1539" max="1539" width="13.375" style="65" bestFit="1" customWidth="1"/>
    <col min="1540" max="1540" width="1.625" style="65" customWidth="1"/>
    <col min="1541" max="1541" width="11.875" style="65" customWidth="1"/>
    <col min="1542" max="1542" width="1.625" style="65" customWidth="1"/>
    <col min="1543" max="1543" width="16.375" style="65" customWidth="1"/>
    <col min="1544" max="1791" width="9" style="65"/>
    <col min="1792" max="1792" width="4.125" style="65" customWidth="1"/>
    <col min="1793" max="1793" width="3.625" style="65" customWidth="1"/>
    <col min="1794" max="1794" width="40.125" style="65" customWidth="1"/>
    <col min="1795" max="1795" width="13.375" style="65" bestFit="1" customWidth="1"/>
    <col min="1796" max="1796" width="1.625" style="65" customWidth="1"/>
    <col min="1797" max="1797" width="11.875" style="65" customWidth="1"/>
    <col min="1798" max="1798" width="1.625" style="65" customWidth="1"/>
    <col min="1799" max="1799" width="16.375" style="65" customWidth="1"/>
    <col min="1800" max="2047" width="9" style="65"/>
    <col min="2048" max="2048" width="4.125" style="65" customWidth="1"/>
    <col min="2049" max="2049" width="3.625" style="65" customWidth="1"/>
    <col min="2050" max="2050" width="40.125" style="65" customWidth="1"/>
    <col min="2051" max="2051" width="13.375" style="65" bestFit="1" customWidth="1"/>
    <col min="2052" max="2052" width="1.625" style="65" customWidth="1"/>
    <col min="2053" max="2053" width="11.875" style="65" customWidth="1"/>
    <col min="2054" max="2054" width="1.625" style="65" customWidth="1"/>
    <col min="2055" max="2055" width="16.375" style="65" customWidth="1"/>
    <col min="2056" max="2303" width="9" style="65"/>
    <col min="2304" max="2304" width="4.125" style="65" customWidth="1"/>
    <col min="2305" max="2305" width="3.625" style="65" customWidth="1"/>
    <col min="2306" max="2306" width="40.125" style="65" customWidth="1"/>
    <col min="2307" max="2307" width="13.375" style="65" bestFit="1" customWidth="1"/>
    <col min="2308" max="2308" width="1.625" style="65" customWidth="1"/>
    <col min="2309" max="2309" width="11.875" style="65" customWidth="1"/>
    <col min="2310" max="2310" width="1.625" style="65" customWidth="1"/>
    <col min="2311" max="2311" width="16.375" style="65" customWidth="1"/>
    <col min="2312" max="2559" width="9" style="65"/>
    <col min="2560" max="2560" width="4.125" style="65" customWidth="1"/>
    <col min="2561" max="2561" width="3.625" style="65" customWidth="1"/>
    <col min="2562" max="2562" width="40.125" style="65" customWidth="1"/>
    <col min="2563" max="2563" width="13.375" style="65" bestFit="1" customWidth="1"/>
    <col min="2564" max="2564" width="1.625" style="65" customWidth="1"/>
    <col min="2565" max="2565" width="11.875" style="65" customWidth="1"/>
    <col min="2566" max="2566" width="1.625" style="65" customWidth="1"/>
    <col min="2567" max="2567" width="16.375" style="65" customWidth="1"/>
    <col min="2568" max="2815" width="9" style="65"/>
    <col min="2816" max="2816" width="4.125" style="65" customWidth="1"/>
    <col min="2817" max="2817" width="3.625" style="65" customWidth="1"/>
    <col min="2818" max="2818" width="40.125" style="65" customWidth="1"/>
    <col min="2819" max="2819" width="13.375" style="65" bestFit="1" customWidth="1"/>
    <col min="2820" max="2820" width="1.625" style="65" customWidth="1"/>
    <col min="2821" max="2821" width="11.875" style="65" customWidth="1"/>
    <col min="2822" max="2822" width="1.625" style="65" customWidth="1"/>
    <col min="2823" max="2823" width="16.375" style="65" customWidth="1"/>
    <col min="2824" max="3071" width="9" style="65"/>
    <col min="3072" max="3072" width="4.125" style="65" customWidth="1"/>
    <col min="3073" max="3073" width="3.625" style="65" customWidth="1"/>
    <col min="3074" max="3074" width="40.125" style="65" customWidth="1"/>
    <col min="3075" max="3075" width="13.375" style="65" bestFit="1" customWidth="1"/>
    <col min="3076" max="3076" width="1.625" style="65" customWidth="1"/>
    <col min="3077" max="3077" width="11.875" style="65" customWidth="1"/>
    <col min="3078" max="3078" width="1.625" style="65" customWidth="1"/>
    <col min="3079" max="3079" width="16.375" style="65" customWidth="1"/>
    <col min="3080" max="3327" width="9" style="65"/>
    <col min="3328" max="3328" width="4.125" style="65" customWidth="1"/>
    <col min="3329" max="3329" width="3.625" style="65" customWidth="1"/>
    <col min="3330" max="3330" width="40.125" style="65" customWidth="1"/>
    <col min="3331" max="3331" width="13.375" style="65" bestFit="1" customWidth="1"/>
    <col min="3332" max="3332" width="1.625" style="65" customWidth="1"/>
    <col min="3333" max="3333" width="11.875" style="65" customWidth="1"/>
    <col min="3334" max="3334" width="1.625" style="65" customWidth="1"/>
    <col min="3335" max="3335" width="16.375" style="65" customWidth="1"/>
    <col min="3336" max="3583" width="9" style="65"/>
    <col min="3584" max="3584" width="4.125" style="65" customWidth="1"/>
    <col min="3585" max="3585" width="3.625" style="65" customWidth="1"/>
    <col min="3586" max="3586" width="40.125" style="65" customWidth="1"/>
    <col min="3587" max="3587" width="13.375" style="65" bestFit="1" customWidth="1"/>
    <col min="3588" max="3588" width="1.625" style="65" customWidth="1"/>
    <col min="3589" max="3589" width="11.875" style="65" customWidth="1"/>
    <col min="3590" max="3590" width="1.625" style="65" customWidth="1"/>
    <col min="3591" max="3591" width="16.375" style="65" customWidth="1"/>
    <col min="3592" max="3839" width="9" style="65"/>
    <col min="3840" max="3840" width="4.125" style="65" customWidth="1"/>
    <col min="3841" max="3841" width="3.625" style="65" customWidth="1"/>
    <col min="3842" max="3842" width="40.125" style="65" customWidth="1"/>
    <col min="3843" max="3843" width="13.375" style="65" bestFit="1" customWidth="1"/>
    <col min="3844" max="3844" width="1.625" style="65" customWidth="1"/>
    <col min="3845" max="3845" width="11.875" style="65" customWidth="1"/>
    <col min="3846" max="3846" width="1.625" style="65" customWidth="1"/>
    <col min="3847" max="3847" width="16.375" style="65" customWidth="1"/>
    <col min="3848" max="4095" width="9" style="65"/>
    <col min="4096" max="4096" width="4.125" style="65" customWidth="1"/>
    <col min="4097" max="4097" width="3.625" style="65" customWidth="1"/>
    <col min="4098" max="4098" width="40.125" style="65" customWidth="1"/>
    <col min="4099" max="4099" width="13.375" style="65" bestFit="1" customWidth="1"/>
    <col min="4100" max="4100" width="1.625" style="65" customWidth="1"/>
    <col min="4101" max="4101" width="11.875" style="65" customWidth="1"/>
    <col min="4102" max="4102" width="1.625" style="65" customWidth="1"/>
    <col min="4103" max="4103" width="16.375" style="65" customWidth="1"/>
    <col min="4104" max="4351" width="9" style="65"/>
    <col min="4352" max="4352" width="4.125" style="65" customWidth="1"/>
    <col min="4353" max="4353" width="3.625" style="65" customWidth="1"/>
    <col min="4354" max="4354" width="40.125" style="65" customWidth="1"/>
    <col min="4355" max="4355" width="13.375" style="65" bestFit="1" customWidth="1"/>
    <col min="4356" max="4356" width="1.625" style="65" customWidth="1"/>
    <col min="4357" max="4357" width="11.875" style="65" customWidth="1"/>
    <col min="4358" max="4358" width="1.625" style="65" customWidth="1"/>
    <col min="4359" max="4359" width="16.375" style="65" customWidth="1"/>
    <col min="4360" max="4607" width="9" style="65"/>
    <col min="4608" max="4608" width="4.125" style="65" customWidth="1"/>
    <col min="4609" max="4609" width="3.625" style="65" customWidth="1"/>
    <col min="4610" max="4610" width="40.125" style="65" customWidth="1"/>
    <col min="4611" max="4611" width="13.375" style="65" bestFit="1" customWidth="1"/>
    <col min="4612" max="4612" width="1.625" style="65" customWidth="1"/>
    <col min="4613" max="4613" width="11.875" style="65" customWidth="1"/>
    <col min="4614" max="4614" width="1.625" style="65" customWidth="1"/>
    <col min="4615" max="4615" width="16.375" style="65" customWidth="1"/>
    <col min="4616" max="4863" width="9" style="65"/>
    <col min="4864" max="4864" width="4.125" style="65" customWidth="1"/>
    <col min="4865" max="4865" width="3.625" style="65" customWidth="1"/>
    <col min="4866" max="4866" width="40.125" style="65" customWidth="1"/>
    <col min="4867" max="4867" width="13.375" style="65" bestFit="1" customWidth="1"/>
    <col min="4868" max="4868" width="1.625" style="65" customWidth="1"/>
    <col min="4869" max="4869" width="11.875" style="65" customWidth="1"/>
    <col min="4870" max="4870" width="1.625" style="65" customWidth="1"/>
    <col min="4871" max="4871" width="16.375" style="65" customWidth="1"/>
    <col min="4872" max="5119" width="9" style="65"/>
    <col min="5120" max="5120" width="4.125" style="65" customWidth="1"/>
    <col min="5121" max="5121" width="3.625" style="65" customWidth="1"/>
    <col min="5122" max="5122" width="40.125" style="65" customWidth="1"/>
    <col min="5123" max="5123" width="13.375" style="65" bestFit="1" customWidth="1"/>
    <col min="5124" max="5124" width="1.625" style="65" customWidth="1"/>
    <col min="5125" max="5125" width="11.875" style="65" customWidth="1"/>
    <col min="5126" max="5126" width="1.625" style="65" customWidth="1"/>
    <col min="5127" max="5127" width="16.375" style="65" customWidth="1"/>
    <col min="5128" max="5375" width="9" style="65"/>
    <col min="5376" max="5376" width="4.125" style="65" customWidth="1"/>
    <col min="5377" max="5377" width="3.625" style="65" customWidth="1"/>
    <col min="5378" max="5378" width="40.125" style="65" customWidth="1"/>
    <col min="5379" max="5379" width="13.375" style="65" bestFit="1" customWidth="1"/>
    <col min="5380" max="5380" width="1.625" style="65" customWidth="1"/>
    <col min="5381" max="5381" width="11.875" style="65" customWidth="1"/>
    <col min="5382" max="5382" width="1.625" style="65" customWidth="1"/>
    <col min="5383" max="5383" width="16.375" style="65" customWidth="1"/>
    <col min="5384" max="5631" width="9" style="65"/>
    <col min="5632" max="5632" width="4.125" style="65" customWidth="1"/>
    <col min="5633" max="5633" width="3.625" style="65" customWidth="1"/>
    <col min="5634" max="5634" width="40.125" style="65" customWidth="1"/>
    <col min="5635" max="5635" width="13.375" style="65" bestFit="1" customWidth="1"/>
    <col min="5636" max="5636" width="1.625" style="65" customWidth="1"/>
    <col min="5637" max="5637" width="11.875" style="65" customWidth="1"/>
    <col min="5638" max="5638" width="1.625" style="65" customWidth="1"/>
    <col min="5639" max="5639" width="16.375" style="65" customWidth="1"/>
    <col min="5640" max="5887" width="9" style="65"/>
    <col min="5888" max="5888" width="4.125" style="65" customWidth="1"/>
    <col min="5889" max="5889" width="3.625" style="65" customWidth="1"/>
    <col min="5890" max="5890" width="40.125" style="65" customWidth="1"/>
    <col min="5891" max="5891" width="13.375" style="65" bestFit="1" customWidth="1"/>
    <col min="5892" max="5892" width="1.625" style="65" customWidth="1"/>
    <col min="5893" max="5893" width="11.875" style="65" customWidth="1"/>
    <col min="5894" max="5894" width="1.625" style="65" customWidth="1"/>
    <col min="5895" max="5895" width="16.375" style="65" customWidth="1"/>
    <col min="5896" max="6143" width="9" style="65"/>
    <col min="6144" max="6144" width="4.125" style="65" customWidth="1"/>
    <col min="6145" max="6145" width="3.625" style="65" customWidth="1"/>
    <col min="6146" max="6146" width="40.125" style="65" customWidth="1"/>
    <col min="6147" max="6147" width="13.375" style="65" bestFit="1" customWidth="1"/>
    <col min="6148" max="6148" width="1.625" style="65" customWidth="1"/>
    <col min="6149" max="6149" width="11.875" style="65" customWidth="1"/>
    <col min="6150" max="6150" width="1.625" style="65" customWidth="1"/>
    <col min="6151" max="6151" width="16.375" style="65" customWidth="1"/>
    <col min="6152" max="6399" width="9" style="65"/>
    <col min="6400" max="6400" width="4.125" style="65" customWidth="1"/>
    <col min="6401" max="6401" width="3.625" style="65" customWidth="1"/>
    <col min="6402" max="6402" width="40.125" style="65" customWidth="1"/>
    <col min="6403" max="6403" width="13.375" style="65" bestFit="1" customWidth="1"/>
    <col min="6404" max="6404" width="1.625" style="65" customWidth="1"/>
    <col min="6405" max="6405" width="11.875" style="65" customWidth="1"/>
    <col min="6406" max="6406" width="1.625" style="65" customWidth="1"/>
    <col min="6407" max="6407" width="16.375" style="65" customWidth="1"/>
    <col min="6408" max="6655" width="9" style="65"/>
    <col min="6656" max="6656" width="4.125" style="65" customWidth="1"/>
    <col min="6657" max="6657" width="3.625" style="65" customWidth="1"/>
    <col min="6658" max="6658" width="40.125" style="65" customWidth="1"/>
    <col min="6659" max="6659" width="13.375" style="65" bestFit="1" customWidth="1"/>
    <col min="6660" max="6660" width="1.625" style="65" customWidth="1"/>
    <col min="6661" max="6661" width="11.875" style="65" customWidth="1"/>
    <col min="6662" max="6662" width="1.625" style="65" customWidth="1"/>
    <col min="6663" max="6663" width="16.375" style="65" customWidth="1"/>
    <col min="6664" max="6911" width="9" style="65"/>
    <col min="6912" max="6912" width="4.125" style="65" customWidth="1"/>
    <col min="6913" max="6913" width="3.625" style="65" customWidth="1"/>
    <col min="6914" max="6914" width="40.125" style="65" customWidth="1"/>
    <col min="6915" max="6915" width="13.375" style="65" bestFit="1" customWidth="1"/>
    <col min="6916" max="6916" width="1.625" style="65" customWidth="1"/>
    <col min="6917" max="6917" width="11.875" style="65" customWidth="1"/>
    <col min="6918" max="6918" width="1.625" style="65" customWidth="1"/>
    <col min="6919" max="6919" width="16.375" style="65" customWidth="1"/>
    <col min="6920" max="7167" width="9" style="65"/>
    <col min="7168" max="7168" width="4.125" style="65" customWidth="1"/>
    <col min="7169" max="7169" width="3.625" style="65" customWidth="1"/>
    <col min="7170" max="7170" width="40.125" style="65" customWidth="1"/>
    <col min="7171" max="7171" width="13.375" style="65" bestFit="1" customWidth="1"/>
    <col min="7172" max="7172" width="1.625" style="65" customWidth="1"/>
    <col min="7173" max="7173" width="11.875" style="65" customWidth="1"/>
    <col min="7174" max="7174" width="1.625" style="65" customWidth="1"/>
    <col min="7175" max="7175" width="16.375" style="65" customWidth="1"/>
    <col min="7176" max="7423" width="9" style="65"/>
    <col min="7424" max="7424" width="4.125" style="65" customWidth="1"/>
    <col min="7425" max="7425" width="3.625" style="65" customWidth="1"/>
    <col min="7426" max="7426" width="40.125" style="65" customWidth="1"/>
    <col min="7427" max="7427" width="13.375" style="65" bestFit="1" customWidth="1"/>
    <col min="7428" max="7428" width="1.625" style="65" customWidth="1"/>
    <col min="7429" max="7429" width="11.875" style="65" customWidth="1"/>
    <col min="7430" max="7430" width="1.625" style="65" customWidth="1"/>
    <col min="7431" max="7431" width="16.375" style="65" customWidth="1"/>
    <col min="7432" max="7679" width="9" style="65"/>
    <col min="7680" max="7680" width="4.125" style="65" customWidth="1"/>
    <col min="7681" max="7681" width="3.625" style="65" customWidth="1"/>
    <col min="7682" max="7682" width="40.125" style="65" customWidth="1"/>
    <col min="7683" max="7683" width="13.375" style="65" bestFit="1" customWidth="1"/>
    <col min="7684" max="7684" width="1.625" style="65" customWidth="1"/>
    <col min="7685" max="7685" width="11.875" style="65" customWidth="1"/>
    <col min="7686" max="7686" width="1.625" style="65" customWidth="1"/>
    <col min="7687" max="7687" width="16.375" style="65" customWidth="1"/>
    <col min="7688" max="7935" width="9" style="65"/>
    <col min="7936" max="7936" width="4.125" style="65" customWidth="1"/>
    <col min="7937" max="7937" width="3.625" style="65" customWidth="1"/>
    <col min="7938" max="7938" width="40.125" style="65" customWidth="1"/>
    <col min="7939" max="7939" width="13.375" style="65" bestFit="1" customWidth="1"/>
    <col min="7940" max="7940" width="1.625" style="65" customWidth="1"/>
    <col min="7941" max="7941" width="11.875" style="65" customWidth="1"/>
    <col min="7942" max="7942" width="1.625" style="65" customWidth="1"/>
    <col min="7943" max="7943" width="16.375" style="65" customWidth="1"/>
    <col min="7944" max="8191" width="9" style="65"/>
    <col min="8192" max="8192" width="4.125" style="65" customWidth="1"/>
    <col min="8193" max="8193" width="3.625" style="65" customWidth="1"/>
    <col min="8194" max="8194" width="40.125" style="65" customWidth="1"/>
    <col min="8195" max="8195" width="13.375" style="65" bestFit="1" customWidth="1"/>
    <col min="8196" max="8196" width="1.625" style="65" customWidth="1"/>
    <col min="8197" max="8197" width="11.875" style="65" customWidth="1"/>
    <col min="8198" max="8198" width="1.625" style="65" customWidth="1"/>
    <col min="8199" max="8199" width="16.375" style="65" customWidth="1"/>
    <col min="8200" max="8447" width="9" style="65"/>
    <col min="8448" max="8448" width="4.125" style="65" customWidth="1"/>
    <col min="8449" max="8449" width="3.625" style="65" customWidth="1"/>
    <col min="8450" max="8450" width="40.125" style="65" customWidth="1"/>
    <col min="8451" max="8451" width="13.375" style="65" bestFit="1" customWidth="1"/>
    <col min="8452" max="8452" width="1.625" style="65" customWidth="1"/>
    <col min="8453" max="8453" width="11.875" style="65" customWidth="1"/>
    <col min="8454" max="8454" width="1.625" style="65" customWidth="1"/>
    <col min="8455" max="8455" width="16.375" style="65" customWidth="1"/>
    <col min="8456" max="8703" width="9" style="65"/>
    <col min="8704" max="8704" width="4.125" style="65" customWidth="1"/>
    <col min="8705" max="8705" width="3.625" style="65" customWidth="1"/>
    <col min="8706" max="8706" width="40.125" style="65" customWidth="1"/>
    <col min="8707" max="8707" width="13.375" style="65" bestFit="1" customWidth="1"/>
    <col min="8708" max="8708" width="1.625" style="65" customWidth="1"/>
    <col min="8709" max="8709" width="11.875" style="65" customWidth="1"/>
    <col min="8710" max="8710" width="1.625" style="65" customWidth="1"/>
    <col min="8711" max="8711" width="16.375" style="65" customWidth="1"/>
    <col min="8712" max="8959" width="9" style="65"/>
    <col min="8960" max="8960" width="4.125" style="65" customWidth="1"/>
    <col min="8961" max="8961" width="3.625" style="65" customWidth="1"/>
    <col min="8962" max="8962" width="40.125" style="65" customWidth="1"/>
    <col min="8963" max="8963" width="13.375" style="65" bestFit="1" customWidth="1"/>
    <col min="8964" max="8964" width="1.625" style="65" customWidth="1"/>
    <col min="8965" max="8965" width="11.875" style="65" customWidth="1"/>
    <col min="8966" max="8966" width="1.625" style="65" customWidth="1"/>
    <col min="8967" max="8967" width="16.375" style="65" customWidth="1"/>
    <col min="8968" max="9215" width="9" style="65"/>
    <col min="9216" max="9216" width="4.125" style="65" customWidth="1"/>
    <col min="9217" max="9217" width="3.625" style="65" customWidth="1"/>
    <col min="9218" max="9218" width="40.125" style="65" customWidth="1"/>
    <col min="9219" max="9219" width="13.375" style="65" bestFit="1" customWidth="1"/>
    <col min="9220" max="9220" width="1.625" style="65" customWidth="1"/>
    <col min="9221" max="9221" width="11.875" style="65" customWidth="1"/>
    <col min="9222" max="9222" width="1.625" style="65" customWidth="1"/>
    <col min="9223" max="9223" width="16.375" style="65" customWidth="1"/>
    <col min="9224" max="9471" width="9" style="65"/>
    <col min="9472" max="9472" width="4.125" style="65" customWidth="1"/>
    <col min="9473" max="9473" width="3.625" style="65" customWidth="1"/>
    <col min="9474" max="9474" width="40.125" style="65" customWidth="1"/>
    <col min="9475" max="9475" width="13.375" style="65" bestFit="1" customWidth="1"/>
    <col min="9476" max="9476" width="1.625" style="65" customWidth="1"/>
    <col min="9477" max="9477" width="11.875" style="65" customWidth="1"/>
    <col min="9478" max="9478" width="1.625" style="65" customWidth="1"/>
    <col min="9479" max="9479" width="16.375" style="65" customWidth="1"/>
    <col min="9480" max="9727" width="9" style="65"/>
    <col min="9728" max="9728" width="4.125" style="65" customWidth="1"/>
    <col min="9729" max="9729" width="3.625" style="65" customWidth="1"/>
    <col min="9730" max="9730" width="40.125" style="65" customWidth="1"/>
    <col min="9731" max="9731" width="13.375" style="65" bestFit="1" customWidth="1"/>
    <col min="9732" max="9732" width="1.625" style="65" customWidth="1"/>
    <col min="9733" max="9733" width="11.875" style="65" customWidth="1"/>
    <col min="9734" max="9734" width="1.625" style="65" customWidth="1"/>
    <col min="9735" max="9735" width="16.375" style="65" customWidth="1"/>
    <col min="9736" max="9983" width="9" style="65"/>
    <col min="9984" max="9984" width="4.125" style="65" customWidth="1"/>
    <col min="9985" max="9985" width="3.625" style="65" customWidth="1"/>
    <col min="9986" max="9986" width="40.125" style="65" customWidth="1"/>
    <col min="9987" max="9987" width="13.375" style="65" bestFit="1" customWidth="1"/>
    <col min="9988" max="9988" width="1.625" style="65" customWidth="1"/>
    <col min="9989" max="9989" width="11.875" style="65" customWidth="1"/>
    <col min="9990" max="9990" width="1.625" style="65" customWidth="1"/>
    <col min="9991" max="9991" width="16.375" style="65" customWidth="1"/>
    <col min="9992" max="10239" width="9" style="65"/>
    <col min="10240" max="10240" width="4.125" style="65" customWidth="1"/>
    <col min="10241" max="10241" width="3.625" style="65" customWidth="1"/>
    <col min="10242" max="10242" width="40.125" style="65" customWidth="1"/>
    <col min="10243" max="10243" width="13.375" style="65" bestFit="1" customWidth="1"/>
    <col min="10244" max="10244" width="1.625" style="65" customWidth="1"/>
    <col min="10245" max="10245" width="11.875" style="65" customWidth="1"/>
    <col min="10246" max="10246" width="1.625" style="65" customWidth="1"/>
    <col min="10247" max="10247" width="16.375" style="65" customWidth="1"/>
    <col min="10248" max="10495" width="9" style="65"/>
    <col min="10496" max="10496" width="4.125" style="65" customWidth="1"/>
    <col min="10497" max="10497" width="3.625" style="65" customWidth="1"/>
    <col min="10498" max="10498" width="40.125" style="65" customWidth="1"/>
    <col min="10499" max="10499" width="13.375" style="65" bestFit="1" customWidth="1"/>
    <col min="10500" max="10500" width="1.625" style="65" customWidth="1"/>
    <col min="10501" max="10501" width="11.875" style="65" customWidth="1"/>
    <col min="10502" max="10502" width="1.625" style="65" customWidth="1"/>
    <col min="10503" max="10503" width="16.375" style="65" customWidth="1"/>
    <col min="10504" max="10751" width="9" style="65"/>
    <col min="10752" max="10752" width="4.125" style="65" customWidth="1"/>
    <col min="10753" max="10753" width="3.625" style="65" customWidth="1"/>
    <col min="10754" max="10754" width="40.125" style="65" customWidth="1"/>
    <col min="10755" max="10755" width="13.375" style="65" bestFit="1" customWidth="1"/>
    <col min="10756" max="10756" width="1.625" style="65" customWidth="1"/>
    <col min="10757" max="10757" width="11.875" style="65" customWidth="1"/>
    <col min="10758" max="10758" width="1.625" style="65" customWidth="1"/>
    <col min="10759" max="10759" width="16.375" style="65" customWidth="1"/>
    <col min="10760" max="11007" width="9" style="65"/>
    <col min="11008" max="11008" width="4.125" style="65" customWidth="1"/>
    <col min="11009" max="11009" width="3.625" style="65" customWidth="1"/>
    <col min="11010" max="11010" width="40.125" style="65" customWidth="1"/>
    <col min="11011" max="11011" width="13.375" style="65" bestFit="1" customWidth="1"/>
    <col min="11012" max="11012" width="1.625" style="65" customWidth="1"/>
    <col min="11013" max="11013" width="11.875" style="65" customWidth="1"/>
    <col min="11014" max="11014" width="1.625" style="65" customWidth="1"/>
    <col min="11015" max="11015" width="16.375" style="65" customWidth="1"/>
    <col min="11016" max="11263" width="9" style="65"/>
    <col min="11264" max="11264" width="4.125" style="65" customWidth="1"/>
    <col min="11265" max="11265" width="3.625" style="65" customWidth="1"/>
    <col min="11266" max="11266" width="40.125" style="65" customWidth="1"/>
    <col min="11267" max="11267" width="13.375" style="65" bestFit="1" customWidth="1"/>
    <col min="11268" max="11268" width="1.625" style="65" customWidth="1"/>
    <col min="11269" max="11269" width="11.875" style="65" customWidth="1"/>
    <col min="11270" max="11270" width="1.625" style="65" customWidth="1"/>
    <col min="11271" max="11271" width="16.375" style="65" customWidth="1"/>
    <col min="11272" max="11519" width="9" style="65"/>
    <col min="11520" max="11520" width="4.125" style="65" customWidth="1"/>
    <col min="11521" max="11521" width="3.625" style="65" customWidth="1"/>
    <col min="11522" max="11522" width="40.125" style="65" customWidth="1"/>
    <col min="11523" max="11523" width="13.375" style="65" bestFit="1" customWidth="1"/>
    <col min="11524" max="11524" width="1.625" style="65" customWidth="1"/>
    <col min="11525" max="11525" width="11.875" style="65" customWidth="1"/>
    <col min="11526" max="11526" width="1.625" style="65" customWidth="1"/>
    <col min="11527" max="11527" width="16.375" style="65" customWidth="1"/>
    <col min="11528" max="11775" width="9" style="65"/>
    <col min="11776" max="11776" width="4.125" style="65" customWidth="1"/>
    <col min="11777" max="11777" width="3.625" style="65" customWidth="1"/>
    <col min="11778" max="11778" width="40.125" style="65" customWidth="1"/>
    <col min="11779" max="11779" width="13.375" style="65" bestFit="1" customWidth="1"/>
    <col min="11780" max="11780" width="1.625" style="65" customWidth="1"/>
    <col min="11781" max="11781" width="11.875" style="65" customWidth="1"/>
    <col min="11782" max="11782" width="1.625" style="65" customWidth="1"/>
    <col min="11783" max="11783" width="16.375" style="65" customWidth="1"/>
    <col min="11784" max="12031" width="9" style="65"/>
    <col min="12032" max="12032" width="4.125" style="65" customWidth="1"/>
    <col min="12033" max="12033" width="3.625" style="65" customWidth="1"/>
    <col min="12034" max="12034" width="40.125" style="65" customWidth="1"/>
    <col min="12035" max="12035" width="13.375" style="65" bestFit="1" customWidth="1"/>
    <col min="12036" max="12036" width="1.625" style="65" customWidth="1"/>
    <col min="12037" max="12037" width="11.875" style="65" customWidth="1"/>
    <col min="12038" max="12038" width="1.625" style="65" customWidth="1"/>
    <col min="12039" max="12039" width="16.375" style="65" customWidth="1"/>
    <col min="12040" max="12287" width="9" style="65"/>
    <col min="12288" max="12288" width="4.125" style="65" customWidth="1"/>
    <col min="12289" max="12289" width="3.625" style="65" customWidth="1"/>
    <col min="12290" max="12290" width="40.125" style="65" customWidth="1"/>
    <col min="12291" max="12291" width="13.375" style="65" bestFit="1" customWidth="1"/>
    <col min="12292" max="12292" width="1.625" style="65" customWidth="1"/>
    <col min="12293" max="12293" width="11.875" style="65" customWidth="1"/>
    <col min="12294" max="12294" width="1.625" style="65" customWidth="1"/>
    <col min="12295" max="12295" width="16.375" style="65" customWidth="1"/>
    <col min="12296" max="12543" width="9" style="65"/>
    <col min="12544" max="12544" width="4.125" style="65" customWidth="1"/>
    <col min="12545" max="12545" width="3.625" style="65" customWidth="1"/>
    <col min="12546" max="12546" width="40.125" style="65" customWidth="1"/>
    <col min="12547" max="12547" width="13.375" style="65" bestFit="1" customWidth="1"/>
    <col min="12548" max="12548" width="1.625" style="65" customWidth="1"/>
    <col min="12549" max="12549" width="11.875" style="65" customWidth="1"/>
    <col min="12550" max="12550" width="1.625" style="65" customWidth="1"/>
    <col min="12551" max="12551" width="16.375" style="65" customWidth="1"/>
    <col min="12552" max="12799" width="9" style="65"/>
    <col min="12800" max="12800" width="4.125" style="65" customWidth="1"/>
    <col min="12801" max="12801" width="3.625" style="65" customWidth="1"/>
    <col min="12802" max="12802" width="40.125" style="65" customWidth="1"/>
    <col min="12803" max="12803" width="13.375" style="65" bestFit="1" customWidth="1"/>
    <col min="12804" max="12804" width="1.625" style="65" customWidth="1"/>
    <col min="12805" max="12805" width="11.875" style="65" customWidth="1"/>
    <col min="12806" max="12806" width="1.625" style="65" customWidth="1"/>
    <col min="12807" max="12807" width="16.375" style="65" customWidth="1"/>
    <col min="12808" max="13055" width="9" style="65"/>
    <col min="13056" max="13056" width="4.125" style="65" customWidth="1"/>
    <col min="13057" max="13057" width="3.625" style="65" customWidth="1"/>
    <col min="13058" max="13058" width="40.125" style="65" customWidth="1"/>
    <col min="13059" max="13059" width="13.375" style="65" bestFit="1" customWidth="1"/>
    <col min="13060" max="13060" width="1.625" style="65" customWidth="1"/>
    <col min="13061" max="13061" width="11.875" style="65" customWidth="1"/>
    <col min="13062" max="13062" width="1.625" style="65" customWidth="1"/>
    <col min="13063" max="13063" width="16.375" style="65" customWidth="1"/>
    <col min="13064" max="13311" width="9" style="65"/>
    <col min="13312" max="13312" width="4.125" style="65" customWidth="1"/>
    <col min="13313" max="13313" width="3.625" style="65" customWidth="1"/>
    <col min="13314" max="13314" width="40.125" style="65" customWidth="1"/>
    <col min="13315" max="13315" width="13.375" style="65" bestFit="1" customWidth="1"/>
    <col min="13316" max="13316" width="1.625" style="65" customWidth="1"/>
    <col min="13317" max="13317" width="11.875" style="65" customWidth="1"/>
    <col min="13318" max="13318" width="1.625" style="65" customWidth="1"/>
    <col min="13319" max="13319" width="16.375" style="65" customWidth="1"/>
    <col min="13320" max="13567" width="9" style="65"/>
    <col min="13568" max="13568" width="4.125" style="65" customWidth="1"/>
    <col min="13569" max="13569" width="3.625" style="65" customWidth="1"/>
    <col min="13570" max="13570" width="40.125" style="65" customWidth="1"/>
    <col min="13571" max="13571" width="13.375" style="65" bestFit="1" customWidth="1"/>
    <col min="13572" max="13572" width="1.625" style="65" customWidth="1"/>
    <col min="13573" max="13573" width="11.875" style="65" customWidth="1"/>
    <col min="13574" max="13574" width="1.625" style="65" customWidth="1"/>
    <col min="13575" max="13575" width="16.375" style="65" customWidth="1"/>
    <col min="13576" max="13823" width="9" style="65"/>
    <col min="13824" max="13824" width="4.125" style="65" customWidth="1"/>
    <col min="13825" max="13825" width="3.625" style="65" customWidth="1"/>
    <col min="13826" max="13826" width="40.125" style="65" customWidth="1"/>
    <col min="13827" max="13827" width="13.375" style="65" bestFit="1" customWidth="1"/>
    <col min="13828" max="13828" width="1.625" style="65" customWidth="1"/>
    <col min="13829" max="13829" width="11.875" style="65" customWidth="1"/>
    <col min="13830" max="13830" width="1.625" style="65" customWidth="1"/>
    <col min="13831" max="13831" width="16.375" style="65" customWidth="1"/>
    <col min="13832" max="14079" width="9" style="65"/>
    <col min="14080" max="14080" width="4.125" style="65" customWidth="1"/>
    <col min="14081" max="14081" width="3.625" style="65" customWidth="1"/>
    <col min="14082" max="14082" width="40.125" style="65" customWidth="1"/>
    <col min="14083" max="14083" width="13.375" style="65" bestFit="1" customWidth="1"/>
    <col min="14084" max="14084" width="1.625" style="65" customWidth="1"/>
    <col min="14085" max="14085" width="11.875" style="65" customWidth="1"/>
    <col min="14086" max="14086" width="1.625" style="65" customWidth="1"/>
    <col min="14087" max="14087" width="16.375" style="65" customWidth="1"/>
    <col min="14088" max="14335" width="9" style="65"/>
    <col min="14336" max="14336" width="4.125" style="65" customWidth="1"/>
    <col min="14337" max="14337" width="3.625" style="65" customWidth="1"/>
    <col min="14338" max="14338" width="40.125" style="65" customWidth="1"/>
    <col min="14339" max="14339" width="13.375" style="65" bestFit="1" customWidth="1"/>
    <col min="14340" max="14340" width="1.625" style="65" customWidth="1"/>
    <col min="14341" max="14341" width="11.875" style="65" customWidth="1"/>
    <col min="14342" max="14342" width="1.625" style="65" customWidth="1"/>
    <col min="14343" max="14343" width="16.375" style="65" customWidth="1"/>
    <col min="14344" max="14591" width="9" style="65"/>
    <col min="14592" max="14592" width="4.125" style="65" customWidth="1"/>
    <col min="14593" max="14593" width="3.625" style="65" customWidth="1"/>
    <col min="14594" max="14594" width="40.125" style="65" customWidth="1"/>
    <col min="14595" max="14595" width="13.375" style="65" bestFit="1" customWidth="1"/>
    <col min="14596" max="14596" width="1.625" style="65" customWidth="1"/>
    <col min="14597" max="14597" width="11.875" style="65" customWidth="1"/>
    <col min="14598" max="14598" width="1.625" style="65" customWidth="1"/>
    <col min="14599" max="14599" width="16.375" style="65" customWidth="1"/>
    <col min="14600" max="14847" width="9" style="65"/>
    <col min="14848" max="14848" width="4.125" style="65" customWidth="1"/>
    <col min="14849" max="14849" width="3.625" style="65" customWidth="1"/>
    <col min="14850" max="14850" width="40.125" style="65" customWidth="1"/>
    <col min="14851" max="14851" width="13.375" style="65" bestFit="1" customWidth="1"/>
    <col min="14852" max="14852" width="1.625" style="65" customWidth="1"/>
    <col min="14853" max="14853" width="11.875" style="65" customWidth="1"/>
    <col min="14854" max="14854" width="1.625" style="65" customWidth="1"/>
    <col min="14855" max="14855" width="16.375" style="65" customWidth="1"/>
    <col min="14856" max="15103" width="9" style="65"/>
    <col min="15104" max="15104" width="4.125" style="65" customWidth="1"/>
    <col min="15105" max="15105" width="3.625" style="65" customWidth="1"/>
    <col min="15106" max="15106" width="40.125" style="65" customWidth="1"/>
    <col min="15107" max="15107" width="13.375" style="65" bestFit="1" customWidth="1"/>
    <col min="15108" max="15108" width="1.625" style="65" customWidth="1"/>
    <col min="15109" max="15109" width="11.875" style="65" customWidth="1"/>
    <col min="15110" max="15110" width="1.625" style="65" customWidth="1"/>
    <col min="15111" max="15111" width="16.375" style="65" customWidth="1"/>
    <col min="15112" max="15359" width="9" style="65"/>
    <col min="15360" max="15360" width="4.125" style="65" customWidth="1"/>
    <col min="15361" max="15361" width="3.625" style="65" customWidth="1"/>
    <col min="15362" max="15362" width="40.125" style="65" customWidth="1"/>
    <col min="15363" max="15363" width="13.375" style="65" bestFit="1" customWidth="1"/>
    <col min="15364" max="15364" width="1.625" style="65" customWidth="1"/>
    <col min="15365" max="15365" width="11.875" style="65" customWidth="1"/>
    <col min="15366" max="15366" width="1.625" style="65" customWidth="1"/>
    <col min="15367" max="15367" width="16.375" style="65" customWidth="1"/>
    <col min="15368" max="15615" width="9" style="65"/>
    <col min="15616" max="15616" width="4.125" style="65" customWidth="1"/>
    <col min="15617" max="15617" width="3.625" style="65" customWidth="1"/>
    <col min="15618" max="15618" width="40.125" style="65" customWidth="1"/>
    <col min="15619" max="15619" width="13.375" style="65" bestFit="1" customWidth="1"/>
    <col min="15620" max="15620" width="1.625" style="65" customWidth="1"/>
    <col min="15621" max="15621" width="11.875" style="65" customWidth="1"/>
    <col min="15622" max="15622" width="1.625" style="65" customWidth="1"/>
    <col min="15623" max="15623" width="16.375" style="65" customWidth="1"/>
    <col min="15624" max="15871" width="9" style="65"/>
    <col min="15872" max="15872" width="4.125" style="65" customWidth="1"/>
    <col min="15873" max="15873" width="3.625" style="65" customWidth="1"/>
    <col min="15874" max="15874" width="40.125" style="65" customWidth="1"/>
    <col min="15875" max="15875" width="13.375" style="65" bestFit="1" customWidth="1"/>
    <col min="15876" max="15876" width="1.625" style="65" customWidth="1"/>
    <col min="15877" max="15877" width="11.875" style="65" customWidth="1"/>
    <col min="15878" max="15878" width="1.625" style="65" customWidth="1"/>
    <col min="15879" max="15879" width="16.375" style="65" customWidth="1"/>
    <col min="15880" max="16127" width="9" style="65"/>
    <col min="16128" max="16128" width="4.125" style="65" customWidth="1"/>
    <col min="16129" max="16129" width="3.625" style="65" customWidth="1"/>
    <col min="16130" max="16130" width="40.125" style="65" customWidth="1"/>
    <col min="16131" max="16131" width="13.375" style="65" bestFit="1" customWidth="1"/>
    <col min="16132" max="16132" width="1.625" style="65" customWidth="1"/>
    <col min="16133" max="16133" width="11.875" style="65" customWidth="1"/>
    <col min="16134" max="16134" width="1.625" style="65" customWidth="1"/>
    <col min="16135" max="16135" width="16.375" style="65" customWidth="1"/>
    <col min="16136" max="16383" width="9" style="65"/>
    <col min="16384" max="16384" width="9" style="65" customWidth="1"/>
  </cols>
  <sheetData>
    <row r="1" spans="1:8" s="229" customFormat="1" ht="25.5">
      <c r="D1" s="230" t="s">
        <v>200</v>
      </c>
      <c r="E1" s="231"/>
      <c r="F1" s="230" t="s">
        <v>201</v>
      </c>
      <c r="G1" s="231"/>
      <c r="H1" s="232" t="s">
        <v>393</v>
      </c>
    </row>
    <row r="2" spans="1:8" s="233" customFormat="1" ht="12.75">
      <c r="D2" s="234" t="s">
        <v>292</v>
      </c>
      <c r="E2" s="235"/>
      <c r="F2" s="234" t="s">
        <v>292</v>
      </c>
      <c r="G2" s="235"/>
    </row>
    <row r="3" spans="1:8" s="60" customFormat="1" ht="12.75">
      <c r="A3" s="60" t="s">
        <v>394</v>
      </c>
      <c r="D3" s="236"/>
      <c r="E3" s="237"/>
      <c r="F3" s="236"/>
      <c r="G3" s="237"/>
      <c r="H3" s="246">
        <v>-1537691</v>
      </c>
    </row>
    <row r="4" spans="1:8" s="228" customFormat="1" ht="12.75" hidden="1">
      <c r="A4" s="238"/>
      <c r="D4" s="239"/>
      <c r="E4" s="240"/>
      <c r="F4" s="239"/>
      <c r="G4" s="240"/>
    </row>
    <row r="5" spans="1:8" s="228" customFormat="1" ht="12.75">
      <c r="A5" s="238"/>
      <c r="D5" s="239"/>
      <c r="E5" s="240"/>
      <c r="F5" s="239"/>
      <c r="G5" s="240"/>
    </row>
    <row r="6" spans="1:8" s="228" customFormat="1" ht="12.75">
      <c r="A6" s="238" t="s">
        <v>107</v>
      </c>
      <c r="B6" s="247" t="s">
        <v>202</v>
      </c>
      <c r="C6" s="247"/>
      <c r="D6" s="248">
        <v>0</v>
      </c>
      <c r="E6" s="240"/>
      <c r="F6" s="239"/>
      <c r="G6" s="240"/>
      <c r="H6" s="249">
        <v>0</v>
      </c>
    </row>
    <row r="7" spans="1:8" s="228" customFormat="1" ht="12.75">
      <c r="A7" s="238"/>
      <c r="B7" s="247"/>
      <c r="C7" s="247" t="s">
        <v>203</v>
      </c>
      <c r="D7" s="239"/>
      <c r="E7" s="240"/>
      <c r="F7" s="248">
        <v>0</v>
      </c>
      <c r="G7" s="240"/>
      <c r="H7" s="241"/>
    </row>
    <row r="8" spans="1:8" s="59" customFormat="1" ht="12.75">
      <c r="D8" s="242"/>
      <c r="E8" s="243"/>
      <c r="F8" s="242"/>
      <c r="G8" s="243"/>
      <c r="H8" s="228"/>
    </row>
    <row r="9" spans="1:8" s="59" customFormat="1" ht="12.75">
      <c r="B9" s="59" t="s">
        <v>395</v>
      </c>
      <c r="D9" s="242"/>
      <c r="E9" s="243"/>
      <c r="F9" s="242"/>
      <c r="G9" s="243"/>
      <c r="H9" s="228"/>
    </row>
    <row r="10" spans="1:8" s="59" customFormat="1" ht="12.75">
      <c r="D10" s="242"/>
      <c r="E10" s="243"/>
      <c r="F10" s="242"/>
      <c r="G10" s="243"/>
      <c r="H10" s="228"/>
    </row>
    <row r="11" spans="1:8" s="59" customFormat="1" ht="12.75">
      <c r="D11" s="242"/>
      <c r="E11" s="243"/>
      <c r="F11" s="242"/>
      <c r="G11" s="243"/>
      <c r="H11" s="228"/>
    </row>
    <row r="12" spans="1:8" s="59" customFormat="1" ht="12.75">
      <c r="C12" s="228"/>
      <c r="D12" s="242"/>
      <c r="E12" s="243"/>
      <c r="F12" s="242"/>
      <c r="G12" s="243"/>
      <c r="H12" s="228"/>
    </row>
    <row r="13" spans="1:8" s="60" customFormat="1" ht="13.5" thickBot="1">
      <c r="A13" s="60" t="s">
        <v>396</v>
      </c>
      <c r="D13" s="236"/>
      <c r="E13" s="237"/>
      <c r="F13" s="236"/>
      <c r="G13" s="237"/>
      <c r="H13" s="244">
        <f>SUM(H3:H12)</f>
        <v>-1537691</v>
      </c>
    </row>
    <row r="14" spans="1:8" s="60" customFormat="1" ht="13.5" thickTop="1">
      <c r="D14" s="236"/>
      <c r="E14" s="237"/>
      <c r="F14" s="236"/>
      <c r="G14" s="237"/>
      <c r="H14" s="245"/>
    </row>
    <row r="15" spans="1:8" s="59" customFormat="1" ht="12.75">
      <c r="D15" s="242"/>
      <c r="E15" s="243"/>
      <c r="F15" s="242"/>
      <c r="G15" s="243"/>
      <c r="H15" s="228"/>
    </row>
  </sheetData>
  <phoneticPr fontId="1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7"/>
  <dimension ref="A1:DE30"/>
  <sheetViews>
    <sheetView zoomScale="85" zoomScaleNormal="85" workbookViewId="0">
      <selection activeCell="A8" sqref="A8"/>
    </sheetView>
  </sheetViews>
  <sheetFormatPr defaultRowHeight="15.75"/>
  <cols>
    <col min="1" max="1" width="53.125" customWidth="1"/>
    <col min="2" max="2" width="8.125" customWidth="1"/>
    <col min="3" max="3" width="18.125" customWidth="1"/>
    <col min="4" max="4" width="4.125" customWidth="1"/>
    <col min="5" max="5" width="20.125" customWidth="1"/>
  </cols>
  <sheetData>
    <row r="1" spans="1:109">
      <c r="A1" s="37"/>
      <c r="C1" s="99" t="s">
        <v>391</v>
      </c>
      <c r="E1" s="99" t="s">
        <v>392</v>
      </c>
    </row>
    <row r="2" spans="1:109" s="82" customFormat="1" ht="15">
      <c r="B2" s="132" t="s">
        <v>204</v>
      </c>
      <c r="C2" s="130" t="str">
        <f>IF(Control!D30=0,TEXT(Control!D12,"dd.mm.yyyy"),"")</f>
        <v/>
      </c>
      <c r="E2" s="130"/>
    </row>
    <row r="3" spans="1:109" s="82" customFormat="1" ht="15">
      <c r="B3" s="83"/>
      <c r="C3" s="102"/>
      <c r="D3" s="103"/>
      <c r="E3" s="102"/>
    </row>
    <row r="4" spans="1:109" s="82" customFormat="1" ht="24.95" customHeight="1">
      <c r="A4" s="82" t="s">
        <v>205</v>
      </c>
      <c r="B4" s="83"/>
      <c r="C4" s="225">
        <v>0</v>
      </c>
      <c r="D4" s="103"/>
      <c r="E4" s="225">
        <v>1941632</v>
      </c>
    </row>
    <row r="5" spans="1:109" s="82" customFormat="1" ht="24.95" customHeight="1">
      <c r="A5" s="82" t="s">
        <v>206</v>
      </c>
      <c r="B5" s="85"/>
      <c r="C5" s="226">
        <v>0</v>
      </c>
      <c r="D5" s="85"/>
      <c r="E5" s="226">
        <v>-962981</v>
      </c>
      <c r="F5" s="85"/>
      <c r="G5" s="85"/>
      <c r="H5" s="85"/>
      <c r="I5" s="85"/>
      <c r="J5" s="85"/>
      <c r="K5" s="85"/>
      <c r="L5" s="85"/>
      <c r="M5" s="85"/>
      <c r="N5" s="85"/>
      <c r="O5" s="85"/>
      <c r="P5" s="85"/>
      <c r="Q5" s="85"/>
      <c r="R5" s="85"/>
      <c r="S5" s="85"/>
      <c r="T5" s="85"/>
      <c r="U5" s="85"/>
      <c r="V5" s="85"/>
      <c r="W5" s="85"/>
      <c r="X5" s="85"/>
      <c r="Y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row>
    <row r="6" spans="1:109" s="82" customFormat="1" ht="24.95" customHeight="1">
      <c r="A6" s="82" t="s">
        <v>207</v>
      </c>
      <c r="B6" s="85"/>
      <c r="C6" s="102">
        <f>+C4+C5</f>
        <v>0</v>
      </c>
      <c r="D6" s="85"/>
      <c r="E6" s="102">
        <f>+E4+E5</f>
        <v>978651</v>
      </c>
      <c r="F6" s="85"/>
      <c r="G6" s="85"/>
      <c r="H6" s="85"/>
      <c r="I6" s="85"/>
      <c r="J6" s="85"/>
      <c r="K6" s="85"/>
      <c r="L6" s="85"/>
      <c r="M6" s="85"/>
      <c r="N6" s="85"/>
      <c r="O6" s="85"/>
      <c r="P6" s="85"/>
      <c r="Q6" s="85"/>
      <c r="R6" s="85"/>
      <c r="S6" s="85"/>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c r="AW6" s="85"/>
      <c r="AX6" s="85"/>
      <c r="AY6" s="85"/>
      <c r="AZ6" s="85"/>
      <c r="BA6" s="85"/>
      <c r="BB6" s="85"/>
      <c r="BC6" s="85"/>
      <c r="BD6" s="85"/>
      <c r="BE6" s="85"/>
      <c r="BF6" s="85"/>
      <c r="BG6" s="85"/>
      <c r="BH6" s="85"/>
      <c r="BI6" s="85"/>
      <c r="BJ6" s="85"/>
      <c r="BK6" s="85"/>
      <c r="BL6" s="85"/>
      <c r="BM6" s="85"/>
      <c r="BN6" s="85"/>
      <c r="BO6" s="85"/>
      <c r="BP6" s="85"/>
      <c r="BQ6" s="85"/>
      <c r="BR6" s="85"/>
      <c r="BS6" s="85"/>
      <c r="BT6" s="85"/>
      <c r="BU6" s="85"/>
      <c r="BV6" s="85"/>
      <c r="BW6" s="85"/>
      <c r="BX6" s="85"/>
      <c r="BY6" s="85"/>
      <c r="BZ6" s="85"/>
      <c r="CA6" s="85"/>
      <c r="CB6" s="85"/>
      <c r="CC6" s="85"/>
      <c r="CD6" s="85"/>
      <c r="CE6" s="85"/>
      <c r="CF6" s="85"/>
      <c r="CG6" s="85"/>
      <c r="CH6" s="85"/>
      <c r="CI6" s="85"/>
      <c r="CJ6" s="85"/>
      <c r="CK6" s="85"/>
      <c r="CL6" s="85"/>
      <c r="CM6" s="85"/>
      <c r="CN6" s="85"/>
      <c r="CO6" s="85"/>
      <c r="CP6" s="85"/>
      <c r="CQ6" s="85"/>
      <c r="CR6" s="85"/>
      <c r="CS6" s="85"/>
      <c r="CT6" s="85"/>
      <c r="CU6" s="85"/>
      <c r="CV6" s="85"/>
      <c r="CW6" s="85"/>
      <c r="CX6" s="85"/>
      <c r="CY6" s="85"/>
      <c r="CZ6" s="85"/>
      <c r="DA6" s="85"/>
      <c r="DB6" s="85"/>
      <c r="DC6" s="85"/>
      <c r="DD6" s="85"/>
      <c r="DE6" s="85"/>
    </row>
    <row r="7" spans="1:109" s="82" customFormat="1" ht="24.95" customHeight="1">
      <c r="A7" s="82" t="s">
        <v>208</v>
      </c>
      <c r="B7" s="83"/>
      <c r="C7" s="225">
        <v>0</v>
      </c>
      <c r="D7" s="103"/>
      <c r="E7" s="225">
        <f>9+4596</f>
        <v>4605</v>
      </c>
    </row>
    <row r="8" spans="1:109" s="82" customFormat="1" ht="24.95" customHeight="1">
      <c r="A8" s="82" t="s">
        <v>209</v>
      </c>
      <c r="B8" s="83"/>
      <c r="C8" s="227">
        <v>0</v>
      </c>
      <c r="D8" s="105"/>
      <c r="E8" s="227">
        <f>-2513351-3000-4596</f>
        <v>-2520947</v>
      </c>
    </row>
    <row r="9" spans="1:109" s="82" customFormat="1" ht="24.95" customHeight="1">
      <c r="A9" s="82" t="s">
        <v>390</v>
      </c>
      <c r="B9" s="83"/>
      <c r="C9" s="227">
        <v>0</v>
      </c>
      <c r="D9" s="105"/>
      <c r="E9" s="227">
        <v>0</v>
      </c>
    </row>
    <row r="10" spans="1:109" s="82" customFormat="1" ht="24.95" customHeight="1">
      <c r="A10" s="82" t="s">
        <v>275</v>
      </c>
      <c r="B10" s="83"/>
      <c r="C10" s="227">
        <v>0</v>
      </c>
      <c r="D10" s="105"/>
      <c r="E10" s="227">
        <v>0</v>
      </c>
    </row>
    <row r="11" spans="1:109" s="82" customFormat="1" ht="24.95" customHeight="1">
      <c r="B11" s="83"/>
      <c r="C11" s="104"/>
      <c r="D11" s="105"/>
      <c r="E11" s="104"/>
    </row>
    <row r="12" spans="1:109" s="82" customFormat="1" ht="24.95" customHeight="1">
      <c r="A12" s="82" t="s">
        <v>371</v>
      </c>
      <c r="B12" s="83"/>
      <c r="C12" s="102">
        <f>SUM(C6:C11)</f>
        <v>0</v>
      </c>
      <c r="D12" s="103"/>
      <c r="E12" s="102">
        <f>SUM(E6:E11)</f>
        <v>-1537691</v>
      </c>
    </row>
    <row r="13" spans="1:109" s="82" customFormat="1" ht="23.25" customHeight="1">
      <c r="A13" s="82" t="s">
        <v>210</v>
      </c>
      <c r="B13" s="83"/>
      <c r="C13" s="226">
        <v>0</v>
      </c>
      <c r="D13" s="103"/>
      <c r="E13" s="227">
        <v>0</v>
      </c>
    </row>
    <row r="14" spans="1:109" s="82" customFormat="1" ht="24.95" customHeight="1" thickBot="1">
      <c r="A14" s="82" t="s">
        <v>389</v>
      </c>
      <c r="B14" s="83"/>
      <c r="C14" s="106">
        <f>+C12+C13</f>
        <v>0</v>
      </c>
      <c r="D14" s="103"/>
      <c r="E14" s="106">
        <f>+E12+E13</f>
        <v>-1537691</v>
      </c>
    </row>
    <row r="15" spans="1:109" s="82" customFormat="1" thickTop="1">
      <c r="B15" s="83"/>
      <c r="C15" s="84"/>
      <c r="E15" s="84"/>
    </row>
    <row r="25" spans="1:1">
      <c r="A25" s="38" t="s">
        <v>211</v>
      </c>
    </row>
    <row r="27" spans="1:1">
      <c r="A27" s="38" t="e">
        <f>+CONCATENATE("  ",#REF!,#REF!,#REF!,#REF!,#REF!)</f>
        <v>#REF!</v>
      </c>
    </row>
    <row r="28" spans="1:1">
      <c r="A28" s="38"/>
    </row>
    <row r="29" spans="1:1">
      <c r="A29" s="38"/>
    </row>
    <row r="30" spans="1:1">
      <c r="A30" s="38"/>
    </row>
  </sheetData>
  <phoneticPr fontId="11" type="noConversion"/>
  <pageMargins left="0.9055118110236221" right="0.9055118110236221" top="0.74803149606299213" bottom="0.74803149606299213" header="0.31496062992125984" footer="0.31496062992125984"/>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9"/>
  <dimension ref="A1:E51"/>
  <sheetViews>
    <sheetView zoomScale="85" zoomScaleNormal="85" workbookViewId="0">
      <selection activeCell="A32" sqref="A32"/>
    </sheetView>
  </sheetViews>
  <sheetFormatPr defaultColWidth="8.75" defaultRowHeight="15.75"/>
  <cols>
    <col min="1" max="1" width="34.875" style="43" customWidth="1"/>
    <col min="2" max="2" width="8.125" style="224" customWidth="1"/>
    <col min="3" max="3" width="13" style="43" customWidth="1"/>
    <col min="4" max="4" width="5.125" style="43" customWidth="1"/>
    <col min="5" max="5" width="13.125" style="43" customWidth="1"/>
    <col min="6" max="16384" width="8.75" style="43"/>
  </cols>
  <sheetData>
    <row r="1" spans="1:5" s="89" customFormat="1" ht="15" customHeight="1">
      <c r="B1" s="86" t="s">
        <v>204</v>
      </c>
      <c r="C1" s="131" t="s">
        <v>384</v>
      </c>
      <c r="E1" s="131" t="s">
        <v>383</v>
      </c>
    </row>
    <row r="2" spans="1:5" s="89" customFormat="1" ht="15" customHeight="1">
      <c r="B2" s="87"/>
      <c r="C2" s="88"/>
      <c r="E2" s="88"/>
    </row>
    <row r="3" spans="1:5" s="89" customFormat="1" ht="15" customHeight="1">
      <c r="A3" s="136" t="s">
        <v>342</v>
      </c>
      <c r="B3" s="87"/>
      <c r="C3" s="107"/>
      <c r="D3" s="221"/>
      <c r="E3" s="107"/>
    </row>
    <row r="4" spans="1:5" s="89" customFormat="1" ht="15" customHeight="1">
      <c r="A4" s="135" t="s">
        <v>212</v>
      </c>
      <c r="B4" s="87"/>
      <c r="C4" s="225">
        <v>0</v>
      </c>
      <c r="D4" s="221"/>
      <c r="E4" s="225">
        <v>0</v>
      </c>
    </row>
    <row r="5" spans="1:5" s="89" customFormat="1" ht="15" customHeight="1">
      <c r="A5" s="135" t="s">
        <v>415</v>
      </c>
      <c r="B5" s="87"/>
      <c r="C5" s="225">
        <v>0</v>
      </c>
      <c r="D5" s="221"/>
      <c r="E5" s="225">
        <v>0</v>
      </c>
    </row>
    <row r="6" spans="1:5" s="89" customFormat="1" ht="15" customHeight="1">
      <c r="A6" s="135" t="s">
        <v>284</v>
      </c>
      <c r="B6" s="87"/>
      <c r="C6" s="225">
        <v>0</v>
      </c>
      <c r="D6" s="221"/>
      <c r="E6" s="225">
        <v>0</v>
      </c>
    </row>
    <row r="7" spans="1:5" s="89" customFormat="1" ht="15" customHeight="1">
      <c r="A7" s="135" t="s">
        <v>288</v>
      </c>
      <c r="B7" s="87"/>
      <c r="C7" s="225">
        <v>0</v>
      </c>
      <c r="D7" s="221"/>
      <c r="E7" s="225">
        <v>0</v>
      </c>
    </row>
    <row r="8" spans="1:5" s="89" customFormat="1" ht="15" customHeight="1">
      <c r="A8" s="135"/>
      <c r="B8" s="87"/>
      <c r="C8" s="222">
        <f>SUM(C4:C7)</f>
        <v>0</v>
      </c>
      <c r="D8" s="221"/>
      <c r="E8" s="222">
        <f>SUM(E4:E7)</f>
        <v>0</v>
      </c>
    </row>
    <row r="9" spans="1:5" s="89" customFormat="1" ht="15" customHeight="1">
      <c r="B9" s="87"/>
      <c r="C9" s="108"/>
      <c r="D9" s="111"/>
      <c r="E9" s="108"/>
    </row>
    <row r="10" spans="1:5" s="89" customFormat="1" ht="15" customHeight="1">
      <c r="A10" s="136" t="s">
        <v>213</v>
      </c>
      <c r="B10" s="87"/>
      <c r="C10" s="107"/>
      <c r="D10" s="221"/>
      <c r="E10" s="107"/>
    </row>
    <row r="11" spans="1:5" s="89" customFormat="1" ht="15" customHeight="1">
      <c r="A11" s="135" t="s">
        <v>385</v>
      </c>
      <c r="B11" s="87"/>
      <c r="C11" s="225">
        <v>0</v>
      </c>
      <c r="D11" s="221"/>
      <c r="E11" s="225">
        <v>0</v>
      </c>
    </row>
    <row r="12" spans="1:5" s="89" customFormat="1" ht="15" customHeight="1">
      <c r="A12" s="135" t="s">
        <v>461</v>
      </c>
      <c r="B12" s="87"/>
      <c r="C12" s="225">
        <v>0</v>
      </c>
      <c r="D12" s="221"/>
      <c r="E12" s="225">
        <v>0</v>
      </c>
    </row>
    <row r="13" spans="1:5" s="89" customFormat="1" ht="15" customHeight="1">
      <c r="A13" s="135" t="s">
        <v>462</v>
      </c>
      <c r="B13" s="87"/>
      <c r="C13" s="225">
        <v>0</v>
      </c>
      <c r="D13" s="221"/>
      <c r="E13" s="225">
        <v>0</v>
      </c>
    </row>
    <row r="14" spans="1:5" s="89" customFormat="1" ht="15" customHeight="1">
      <c r="A14" s="135" t="s">
        <v>463</v>
      </c>
      <c r="B14" s="87"/>
      <c r="C14" s="225">
        <v>0</v>
      </c>
      <c r="D14" s="221"/>
      <c r="E14" s="225">
        <v>0</v>
      </c>
    </row>
    <row r="15" spans="1:5" s="89" customFormat="1" ht="15" customHeight="1">
      <c r="A15" s="135" t="s">
        <v>464</v>
      </c>
      <c r="B15" s="87"/>
      <c r="C15" s="225">
        <v>0</v>
      </c>
      <c r="D15" s="221"/>
      <c r="E15" s="225">
        <v>10250</v>
      </c>
    </row>
    <row r="16" spans="1:5" s="89" customFormat="1" ht="15" customHeight="1">
      <c r="A16" s="135" t="s">
        <v>465</v>
      </c>
      <c r="B16" s="87"/>
      <c r="C16" s="225">
        <v>0</v>
      </c>
      <c r="D16" s="221"/>
      <c r="E16" s="225">
        <v>423804</v>
      </c>
    </row>
    <row r="17" spans="1:5" s="89" customFormat="1" ht="15" customHeight="1">
      <c r="A17" s="135" t="s">
        <v>466</v>
      </c>
      <c r="B17" s="168"/>
      <c r="C17" s="225">
        <v>0</v>
      </c>
      <c r="D17" s="221"/>
      <c r="E17" s="225">
        <v>0</v>
      </c>
    </row>
    <row r="18" spans="1:5" s="89" customFormat="1" ht="15" customHeight="1">
      <c r="A18" s="89" t="s">
        <v>467</v>
      </c>
      <c r="B18" s="168"/>
      <c r="C18" s="225" t="e">
        <f>+'Dir info'!#REF!</f>
        <v>#REF!</v>
      </c>
      <c r="D18" s="221"/>
      <c r="E18" s="225">
        <v>0</v>
      </c>
    </row>
    <row r="19" spans="1:5" s="89" customFormat="1" ht="15" customHeight="1">
      <c r="A19" s="89" t="s">
        <v>468</v>
      </c>
      <c r="B19" s="168"/>
      <c r="C19" s="225">
        <v>0</v>
      </c>
      <c r="D19" s="221"/>
      <c r="E19" s="225">
        <v>0</v>
      </c>
    </row>
    <row r="20" spans="1:5" s="89" customFormat="1" ht="15" customHeight="1">
      <c r="A20" s="135" t="s">
        <v>469</v>
      </c>
      <c r="B20" s="87"/>
      <c r="C20" s="225">
        <v>0</v>
      </c>
      <c r="D20" s="221"/>
      <c r="E20" s="225">
        <v>0</v>
      </c>
    </row>
    <row r="21" spans="1:5" s="89" customFormat="1" ht="15" customHeight="1">
      <c r="A21" s="135" t="s">
        <v>470</v>
      </c>
      <c r="B21" s="87"/>
      <c r="C21" s="225">
        <v>0</v>
      </c>
      <c r="D21" s="221"/>
      <c r="E21" s="225">
        <v>147259</v>
      </c>
    </row>
    <row r="22" spans="1:5" s="89" customFormat="1" ht="15" customHeight="1">
      <c r="B22" s="87"/>
      <c r="C22" s="223" t="e">
        <f>SUM(C11:C21)</f>
        <v>#REF!</v>
      </c>
      <c r="D22" s="221"/>
      <c r="E22" s="223">
        <f>SUM(E11:E21)</f>
        <v>581313</v>
      </c>
    </row>
    <row r="23" spans="1:5" s="89" customFormat="1" ht="15" customHeight="1">
      <c r="A23" s="136" t="s">
        <v>214</v>
      </c>
      <c r="B23" s="87"/>
      <c r="C23" s="107"/>
      <c r="D23" s="221"/>
      <c r="E23" s="107"/>
    </row>
    <row r="24" spans="1:5" s="89" customFormat="1" ht="15" customHeight="1">
      <c r="A24" s="135" t="s">
        <v>450</v>
      </c>
      <c r="B24" s="87"/>
      <c r="C24" s="225">
        <v>0</v>
      </c>
      <c r="D24" s="221"/>
      <c r="E24" s="225">
        <v>0</v>
      </c>
    </row>
    <row r="25" spans="1:5" s="89" customFormat="1" ht="15" customHeight="1">
      <c r="A25" s="135" t="s">
        <v>451</v>
      </c>
      <c r="B25" s="87"/>
      <c r="C25" s="225">
        <v>0</v>
      </c>
      <c r="D25" s="221"/>
      <c r="E25" s="225">
        <v>288153</v>
      </c>
    </row>
    <row r="26" spans="1:5" s="89" customFormat="1" ht="15" customHeight="1">
      <c r="A26" s="135" t="s">
        <v>452</v>
      </c>
      <c r="B26" s="87"/>
      <c r="C26" s="225">
        <v>0</v>
      </c>
      <c r="D26" s="221"/>
      <c r="E26" s="225">
        <f>30306+3000</f>
        <v>33306</v>
      </c>
    </row>
    <row r="27" spans="1:5" s="89" customFormat="1" ht="15" customHeight="1">
      <c r="A27" s="135" t="s">
        <v>453</v>
      </c>
      <c r="B27" s="87"/>
      <c r="C27" s="225">
        <v>0</v>
      </c>
      <c r="D27" s="221"/>
      <c r="E27" s="225">
        <v>0</v>
      </c>
    </row>
    <row r="28" spans="1:5" s="89" customFormat="1" ht="15" customHeight="1">
      <c r="A28" s="135" t="s">
        <v>454</v>
      </c>
      <c r="B28" s="87"/>
      <c r="C28" s="225">
        <v>0</v>
      </c>
      <c r="D28" s="221"/>
      <c r="E28" s="225">
        <v>0</v>
      </c>
    </row>
    <row r="29" spans="1:5" s="89" customFormat="1" ht="15" customHeight="1">
      <c r="A29" s="89" t="s">
        <v>455</v>
      </c>
      <c r="B29" s="168"/>
      <c r="C29" s="225">
        <v>0</v>
      </c>
      <c r="D29" s="221"/>
      <c r="E29" s="225">
        <v>0</v>
      </c>
    </row>
    <row r="30" spans="1:5" s="89" customFormat="1" ht="15" customHeight="1">
      <c r="A30" s="89" t="s">
        <v>456</v>
      </c>
      <c r="B30" s="168"/>
      <c r="C30" s="225">
        <v>0</v>
      </c>
      <c r="D30" s="221"/>
      <c r="E30" s="225">
        <v>0</v>
      </c>
    </row>
    <row r="31" spans="1:5" s="89" customFormat="1" ht="15" customHeight="1">
      <c r="A31" s="89" t="s">
        <v>457</v>
      </c>
      <c r="B31" s="168"/>
      <c r="C31" s="225">
        <v>0</v>
      </c>
      <c r="D31" s="221"/>
      <c r="E31" s="225">
        <v>0</v>
      </c>
    </row>
    <row r="32" spans="1:5" s="89" customFormat="1" ht="15" customHeight="1">
      <c r="A32" s="89" t="s">
        <v>458</v>
      </c>
      <c r="B32" s="168"/>
      <c r="C32" s="225">
        <v>0</v>
      </c>
      <c r="D32" s="221"/>
      <c r="E32" s="225">
        <v>0</v>
      </c>
    </row>
    <row r="33" spans="1:5" s="89" customFormat="1" ht="15" customHeight="1">
      <c r="A33" s="89" t="s">
        <v>459</v>
      </c>
      <c r="B33" s="168"/>
      <c r="C33" s="225">
        <v>0</v>
      </c>
      <c r="D33" s="221"/>
      <c r="E33" s="225">
        <v>0</v>
      </c>
    </row>
    <row r="34" spans="1:5" s="89" customFormat="1" ht="15" customHeight="1">
      <c r="A34" s="89" t="s">
        <v>460</v>
      </c>
      <c r="B34" s="168"/>
      <c r="C34" s="226" t="e">
        <f>-'Dir info'!#REF!</f>
        <v>#REF!</v>
      </c>
      <c r="D34" s="111"/>
      <c r="E34" s="226">
        <v>1787545</v>
      </c>
    </row>
    <row r="35" spans="1:5" s="89" customFormat="1" ht="15" customHeight="1">
      <c r="B35" s="87"/>
      <c r="C35" s="104" t="e">
        <f>SUM(C24:C34)</f>
        <v>#REF!</v>
      </c>
      <c r="D35" s="221"/>
      <c r="E35" s="104">
        <f>SUM(E24:E34)</f>
        <v>2109004</v>
      </c>
    </row>
    <row r="36" spans="1:5" s="89" customFormat="1" ht="15" customHeight="1">
      <c r="B36" s="87"/>
      <c r="C36" s="108"/>
      <c r="D36" s="221"/>
      <c r="E36" s="108"/>
    </row>
    <row r="37" spans="1:5" s="89" customFormat="1" ht="15" customHeight="1">
      <c r="A37" s="136" t="s">
        <v>386</v>
      </c>
      <c r="B37" s="87"/>
      <c r="C37" s="108" t="e">
        <f>+C22-C35</f>
        <v>#REF!</v>
      </c>
      <c r="D37" s="221"/>
      <c r="E37" s="108">
        <f>+E22-E35</f>
        <v>-1527691</v>
      </c>
    </row>
    <row r="38" spans="1:5" s="89" customFormat="1" ht="15">
      <c r="B38" s="87"/>
      <c r="C38" s="107"/>
      <c r="D38" s="221"/>
      <c r="E38" s="108"/>
    </row>
    <row r="39" spans="1:5" s="89" customFormat="1" ht="15">
      <c r="A39" s="136" t="s">
        <v>446</v>
      </c>
      <c r="B39" s="87"/>
      <c r="C39" s="107"/>
      <c r="D39" s="221"/>
      <c r="E39" s="108"/>
    </row>
    <row r="40" spans="1:5" s="89" customFormat="1" ht="15">
      <c r="A40" s="89" t="s">
        <v>447</v>
      </c>
      <c r="B40" s="87"/>
      <c r="C40" s="107">
        <v>0</v>
      </c>
      <c r="D40" s="221"/>
      <c r="E40" s="108">
        <v>0</v>
      </c>
    </row>
    <row r="41" spans="1:5" s="89" customFormat="1" ht="15">
      <c r="A41" s="89" t="s">
        <v>448</v>
      </c>
      <c r="B41" s="87"/>
      <c r="C41" s="104">
        <v>0</v>
      </c>
      <c r="D41" s="221"/>
      <c r="E41" s="104">
        <v>0</v>
      </c>
    </row>
    <row r="42" spans="1:5" s="89" customFormat="1" ht="15">
      <c r="B42" s="87"/>
      <c r="C42" s="107">
        <f>+C40+C41</f>
        <v>0</v>
      </c>
      <c r="D42" s="221"/>
      <c r="E42" s="107">
        <f>+E40+E41</f>
        <v>0</v>
      </c>
    </row>
    <row r="43" spans="1:5" s="89" customFormat="1" ht="15">
      <c r="B43" s="87"/>
      <c r="C43" s="107"/>
      <c r="D43" s="221"/>
      <c r="E43" s="108"/>
    </row>
    <row r="44" spans="1:5" s="89" customFormat="1" ht="15" customHeight="1" thickBot="1">
      <c r="A44" s="136" t="s">
        <v>387</v>
      </c>
      <c r="B44" s="87"/>
      <c r="C44" s="109" t="e">
        <f>+C37+C8-C42</f>
        <v>#REF!</v>
      </c>
      <c r="D44" s="221"/>
      <c r="E44" s="109">
        <f>+E37+E8-E42</f>
        <v>-1527691</v>
      </c>
    </row>
    <row r="45" spans="1:5" s="89" customFormat="1" ht="15" customHeight="1" thickTop="1">
      <c r="B45" s="87"/>
      <c r="C45" s="107"/>
      <c r="D45" s="221"/>
      <c r="E45" s="107"/>
    </row>
    <row r="46" spans="1:5" s="89" customFormat="1" ht="15" customHeight="1">
      <c r="A46" s="136" t="s">
        <v>215</v>
      </c>
      <c r="B46" s="87"/>
      <c r="C46" s="107"/>
      <c r="D46" s="221"/>
      <c r="E46" s="107"/>
    </row>
    <row r="47" spans="1:5" s="89" customFormat="1" ht="15" customHeight="1">
      <c r="A47" s="135" t="s">
        <v>216</v>
      </c>
      <c r="B47" s="168"/>
      <c r="C47" s="225">
        <v>0</v>
      </c>
      <c r="D47" s="221"/>
      <c r="E47" s="225">
        <v>10000</v>
      </c>
    </row>
    <row r="48" spans="1:5" s="89" customFormat="1" ht="15" customHeight="1">
      <c r="A48" s="135" t="s">
        <v>217</v>
      </c>
      <c r="B48" s="87"/>
      <c r="C48" s="225">
        <v>0</v>
      </c>
      <c r="D48" s="221"/>
      <c r="E48" s="225">
        <v>0</v>
      </c>
    </row>
    <row r="49" spans="1:5" s="89" customFormat="1" ht="15" customHeight="1">
      <c r="A49" s="135" t="s">
        <v>388</v>
      </c>
      <c r="B49" s="87"/>
      <c r="C49" s="226">
        <f>+E49+Section3!C14</f>
        <v>-1537691</v>
      </c>
      <c r="D49" s="221"/>
      <c r="E49" s="226">
        <f>Section3!E14</f>
        <v>-1537691</v>
      </c>
    </row>
    <row r="50" spans="1:5" s="89" customFormat="1" ht="15" customHeight="1" thickBot="1">
      <c r="A50" s="136"/>
      <c r="B50" s="87"/>
      <c r="C50" s="109">
        <f>SUM(C47:C49)</f>
        <v>-1537691</v>
      </c>
      <c r="D50" s="221"/>
      <c r="E50" s="109">
        <f>SUM(E47:E49)</f>
        <v>-1527691</v>
      </c>
    </row>
    <row r="51" spans="1:5" s="89" customFormat="1" thickTop="1">
      <c r="B51" s="87"/>
      <c r="C51" s="107"/>
      <c r="D51" s="221"/>
      <c r="E51" s="107"/>
    </row>
  </sheetData>
  <phoneticPr fontId="11" type="noConversion"/>
  <pageMargins left="0.9055118110236221" right="0.9055118110236221" top="0.74803149606299213" bottom="0.74803149606299213" header="0.31496062992125984" footer="0.31496062992125984"/>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117"/>
  <sheetViews>
    <sheetView zoomScaleNormal="100" workbookViewId="0">
      <selection activeCell="F17" sqref="F17"/>
    </sheetView>
  </sheetViews>
  <sheetFormatPr defaultColWidth="8.125" defaultRowHeight="15"/>
  <cols>
    <col min="1" max="1" width="37.5" style="97" customWidth="1"/>
    <col min="2" max="2" width="17" style="97" customWidth="1"/>
    <col min="3" max="3" width="6.625" style="97" customWidth="1"/>
    <col min="4" max="4" width="14.5" style="97" customWidth="1"/>
    <col min="5" max="5" width="3.125" style="97" customWidth="1"/>
    <col min="6" max="6" width="13.125" style="97" customWidth="1"/>
    <col min="7" max="7" width="3.625" style="97" customWidth="1"/>
    <col min="8" max="8" width="13.125" style="97" customWidth="1"/>
    <col min="9" max="9" width="3.375" style="97" customWidth="1"/>
    <col min="10" max="10" width="13.125" style="97" customWidth="1"/>
    <col min="11" max="11" width="8.125" style="97"/>
    <col min="12" max="16384" width="8.125" style="96"/>
  </cols>
  <sheetData>
    <row r="1" spans="1:11">
      <c r="B1" s="170" t="s">
        <v>377</v>
      </c>
    </row>
    <row r="3" spans="1:11" s="100" customFormat="1">
      <c r="A3" s="98"/>
      <c r="B3" s="171" t="s">
        <v>361</v>
      </c>
      <c r="C3" s="172" t="s">
        <v>364</v>
      </c>
      <c r="E3" s="98"/>
      <c r="F3" s="98"/>
      <c r="G3" s="98"/>
      <c r="H3" s="98"/>
      <c r="I3" s="98"/>
      <c r="J3" s="98"/>
      <c r="K3" s="98"/>
    </row>
    <row r="4" spans="1:11" s="100" customFormat="1">
      <c r="A4" s="98"/>
      <c r="B4" s="171" t="s">
        <v>362</v>
      </c>
      <c r="C4" s="172" t="s">
        <v>364</v>
      </c>
      <c r="E4" s="98"/>
      <c r="F4" s="98"/>
      <c r="G4" s="98"/>
      <c r="H4" s="98"/>
      <c r="I4" s="98"/>
      <c r="J4" s="98"/>
      <c r="K4" s="98"/>
    </row>
    <row r="5" spans="1:11" s="100" customFormat="1">
      <c r="A5" s="98"/>
      <c r="B5" s="171" t="s">
        <v>363</v>
      </c>
      <c r="C5" s="172" t="s">
        <v>364</v>
      </c>
      <c r="E5" s="98"/>
      <c r="F5" s="98"/>
      <c r="G5" s="98"/>
      <c r="H5" s="98"/>
      <c r="I5" s="98"/>
      <c r="J5" s="98"/>
      <c r="K5" s="98"/>
    </row>
    <row r="6" spans="1:11" s="100" customFormat="1">
      <c r="A6" s="98"/>
      <c r="B6" s="171"/>
      <c r="C6" s="172"/>
      <c r="E6" s="98"/>
      <c r="F6" s="98"/>
      <c r="G6" s="98"/>
      <c r="H6" s="98"/>
      <c r="I6" s="98"/>
      <c r="J6" s="98"/>
      <c r="K6" s="98"/>
    </row>
    <row r="7" spans="1:11">
      <c r="B7" s="121"/>
      <c r="C7" s="121"/>
      <c r="D7" s="121"/>
    </row>
    <row r="8" spans="1:11" s="100" customFormat="1">
      <c r="A8" s="173" t="s">
        <v>370</v>
      </c>
      <c r="B8" s="98"/>
      <c r="C8" s="98"/>
      <c r="D8" s="98"/>
      <c r="E8" s="98"/>
      <c r="F8" s="98"/>
      <c r="G8" s="98"/>
      <c r="H8" s="98"/>
      <c r="I8" s="98"/>
      <c r="J8" s="98"/>
      <c r="K8" s="98"/>
    </row>
    <row r="9" spans="1:11" s="100" customFormat="1">
      <c r="A9" s="98"/>
      <c r="B9" s="98"/>
      <c r="C9" s="98"/>
      <c r="D9" s="98"/>
      <c r="E9" s="98"/>
      <c r="F9" s="98"/>
      <c r="G9" s="98"/>
      <c r="H9" s="98"/>
      <c r="I9" s="98"/>
      <c r="J9" s="98"/>
      <c r="K9" s="98"/>
    </row>
    <row r="10" spans="1:11" s="100" customFormat="1">
      <c r="A10" s="98"/>
      <c r="B10" s="169" t="s">
        <v>378</v>
      </c>
      <c r="C10" s="98"/>
      <c r="D10" s="169" t="s">
        <v>379</v>
      </c>
      <c r="E10" s="98"/>
      <c r="F10" s="98"/>
      <c r="G10" s="98"/>
      <c r="H10" s="98"/>
      <c r="I10" s="98"/>
      <c r="J10" s="98"/>
      <c r="K10" s="98"/>
    </row>
    <row r="11" spans="1:11" s="100" customFormat="1">
      <c r="A11" s="169" t="s">
        <v>359</v>
      </c>
      <c r="B11" s="174"/>
      <c r="C11" s="175"/>
      <c r="D11" s="175"/>
      <c r="E11" s="98"/>
      <c r="F11" s="98"/>
      <c r="G11" s="98"/>
      <c r="H11" s="98"/>
      <c r="I11" s="98"/>
      <c r="J11" s="98"/>
      <c r="K11" s="98"/>
    </row>
    <row r="12" spans="1:11" s="100" customFormat="1">
      <c r="A12" s="98" t="s">
        <v>218</v>
      </c>
      <c r="B12" s="178">
        <v>0</v>
      </c>
      <c r="C12" s="176"/>
      <c r="D12" s="178">
        <v>3000</v>
      </c>
      <c r="E12" s="98"/>
      <c r="F12" s="98"/>
      <c r="G12" s="98"/>
      <c r="H12" s="98"/>
      <c r="I12" s="98"/>
      <c r="J12" s="98"/>
      <c r="K12" s="98"/>
    </row>
    <row r="13" spans="1:11" s="100" customFormat="1">
      <c r="A13" s="98" t="s">
        <v>219</v>
      </c>
      <c r="B13" s="178">
        <v>0</v>
      </c>
      <c r="C13" s="176"/>
      <c r="D13" s="178">
        <v>322934.84999999998</v>
      </c>
      <c r="E13" s="98"/>
      <c r="F13" s="98"/>
      <c r="G13" s="98"/>
      <c r="H13" s="98"/>
      <c r="I13" s="98"/>
      <c r="J13" s="98"/>
      <c r="K13" s="98"/>
    </row>
    <row r="14" spans="1:11" s="100" customFormat="1">
      <c r="A14" s="98" t="s">
        <v>287</v>
      </c>
      <c r="B14" s="178">
        <v>0</v>
      </c>
      <c r="C14" s="176"/>
      <c r="D14" s="178">
        <v>0</v>
      </c>
      <c r="E14" s="98"/>
      <c r="F14" s="98"/>
      <c r="G14" s="98"/>
      <c r="H14" s="98"/>
      <c r="I14" s="98"/>
      <c r="J14" s="98"/>
      <c r="K14" s="98"/>
    </row>
    <row r="15" spans="1:11" s="100" customFormat="1">
      <c r="A15" s="98" t="s">
        <v>220</v>
      </c>
      <c r="B15" s="178">
        <v>0</v>
      </c>
      <c r="C15" s="176"/>
      <c r="D15" s="178">
        <v>0</v>
      </c>
      <c r="E15" s="98"/>
      <c r="F15" s="98"/>
      <c r="G15" s="98"/>
      <c r="H15" s="98"/>
      <c r="I15" s="98"/>
      <c r="J15" s="98"/>
      <c r="K15" s="98"/>
    </row>
    <row r="16" spans="1:11" s="100" customFormat="1">
      <c r="A16" s="264" t="s">
        <v>408</v>
      </c>
      <c r="B16" s="178">
        <v>0</v>
      </c>
      <c r="C16" s="176"/>
      <c r="D16" s="178">
        <v>0</v>
      </c>
      <c r="E16" s="265"/>
      <c r="F16" s="264" t="s">
        <v>445</v>
      </c>
      <c r="G16" s="265"/>
      <c r="H16" s="265"/>
      <c r="I16" s="98"/>
      <c r="J16" s="98"/>
      <c r="K16" s="98"/>
    </row>
    <row r="17" spans="1:11" s="100" customFormat="1">
      <c r="A17" s="98" t="s">
        <v>286</v>
      </c>
      <c r="B17" s="178">
        <v>0</v>
      </c>
      <c r="C17" s="176"/>
      <c r="D17" s="178">
        <v>0</v>
      </c>
      <c r="E17" s="98"/>
      <c r="F17" s="98"/>
      <c r="G17" s="98"/>
      <c r="H17" s="98"/>
      <c r="I17" s="98"/>
      <c r="J17" s="98"/>
      <c r="K17" s="98"/>
    </row>
    <row r="18" spans="1:11" s="100" customFormat="1">
      <c r="A18" s="98" t="s">
        <v>372</v>
      </c>
      <c r="B18" s="178">
        <v>0</v>
      </c>
      <c r="C18" s="176"/>
      <c r="D18" s="178">
        <v>-4595.66</v>
      </c>
      <c r="E18" s="98"/>
      <c r="F18" s="98"/>
      <c r="G18" s="98"/>
      <c r="H18" s="98"/>
      <c r="I18" s="98"/>
      <c r="J18" s="98"/>
      <c r="K18" s="98"/>
    </row>
    <row r="19" spans="1:11" s="100" customFormat="1">
      <c r="A19" s="98" t="s">
        <v>270</v>
      </c>
      <c r="B19" s="178">
        <v>0</v>
      </c>
      <c r="C19" s="176"/>
      <c r="D19" s="178">
        <v>0</v>
      </c>
      <c r="E19" s="98"/>
      <c r="F19" s="98"/>
      <c r="G19" s="98"/>
      <c r="H19" s="98"/>
      <c r="I19" s="98"/>
      <c r="J19" s="98"/>
      <c r="K19" s="98"/>
    </row>
    <row r="20" spans="1:11" s="100" customFormat="1">
      <c r="A20" s="98" t="s">
        <v>70</v>
      </c>
      <c r="B20" s="178">
        <v>0</v>
      </c>
      <c r="C20" s="176"/>
      <c r="D20" s="178">
        <v>-9</v>
      </c>
      <c r="E20" s="98"/>
      <c r="F20" s="98"/>
      <c r="G20" s="98"/>
      <c r="H20" s="98"/>
      <c r="I20" s="98"/>
      <c r="J20" s="98"/>
      <c r="K20" s="98"/>
    </row>
    <row r="21" spans="1:11" s="100" customFormat="1">
      <c r="A21" s="98" t="s">
        <v>276</v>
      </c>
      <c r="B21" s="178">
        <v>0</v>
      </c>
      <c r="C21" s="176"/>
      <c r="D21" s="178">
        <v>0</v>
      </c>
      <c r="E21" s="98"/>
      <c r="F21" s="98"/>
      <c r="G21" s="98"/>
      <c r="H21" s="98"/>
      <c r="I21" s="98"/>
      <c r="J21" s="98"/>
      <c r="K21" s="98"/>
    </row>
    <row r="22" spans="1:11" s="100" customFormat="1" ht="15" customHeight="1">
      <c r="A22" s="98" t="s">
        <v>222</v>
      </c>
      <c r="B22" s="178">
        <v>0</v>
      </c>
      <c r="C22" s="176"/>
      <c r="D22" s="178">
        <v>240768</v>
      </c>
      <c r="E22" s="98"/>
      <c r="F22" s="98"/>
      <c r="G22" s="98"/>
      <c r="H22" s="98"/>
      <c r="I22" s="98"/>
      <c r="J22" s="98"/>
      <c r="K22" s="98"/>
    </row>
    <row r="23" spans="1:11" s="100" customFormat="1">
      <c r="A23" s="98" t="s">
        <v>351</v>
      </c>
      <c r="B23" s="178">
        <v>0</v>
      </c>
      <c r="C23" s="176"/>
      <c r="D23" s="178">
        <v>337162</v>
      </c>
      <c r="E23" s="98"/>
      <c r="F23" s="98"/>
      <c r="G23" s="98"/>
      <c r="H23" s="98"/>
      <c r="I23" s="98"/>
      <c r="J23" s="98"/>
      <c r="K23" s="98"/>
    </row>
    <row r="24" spans="1:11" s="100" customFormat="1">
      <c r="A24" s="98" t="s">
        <v>223</v>
      </c>
      <c r="B24" s="177"/>
      <c r="C24" s="176"/>
      <c r="D24" s="121"/>
      <c r="E24" s="98"/>
      <c r="F24" s="98"/>
      <c r="G24" s="98"/>
      <c r="H24" s="98"/>
      <c r="I24" s="98"/>
      <c r="J24" s="98"/>
      <c r="K24" s="98"/>
    </row>
    <row r="25" spans="1:11" s="100" customFormat="1">
      <c r="A25" s="170" t="s">
        <v>413</v>
      </c>
      <c r="B25" s="179">
        <v>0</v>
      </c>
      <c r="C25" s="254"/>
      <c r="D25" s="178">
        <v>0</v>
      </c>
      <c r="E25" s="98"/>
      <c r="F25" s="98"/>
      <c r="G25" s="98"/>
      <c r="H25" s="98"/>
      <c r="I25" s="98"/>
      <c r="J25" s="98"/>
      <c r="K25" s="98"/>
    </row>
    <row r="26" spans="1:11" s="100" customFormat="1">
      <c r="A26" s="98" t="s">
        <v>224</v>
      </c>
      <c r="B26" s="179">
        <v>0</v>
      </c>
      <c r="C26" s="176"/>
      <c r="D26" s="178">
        <v>0</v>
      </c>
      <c r="E26" s="98"/>
      <c r="F26" s="98"/>
      <c r="G26" s="98"/>
      <c r="H26" s="98"/>
      <c r="I26" s="98"/>
      <c r="J26" s="98"/>
      <c r="K26" s="98"/>
    </row>
    <row r="27" spans="1:11" s="100" customFormat="1" ht="15.75" thickBot="1">
      <c r="A27" s="98" t="s">
        <v>225</v>
      </c>
      <c r="B27" s="180">
        <v>620322</v>
      </c>
      <c r="C27" s="176"/>
      <c r="D27" s="180">
        <v>620322</v>
      </c>
      <c r="E27" s="98"/>
      <c r="F27" s="98"/>
      <c r="G27" s="98"/>
      <c r="H27" s="98"/>
      <c r="I27" s="98"/>
      <c r="J27" s="98"/>
      <c r="K27" s="98"/>
    </row>
    <row r="28" spans="1:11" s="100" customFormat="1" ht="15.75" thickTop="1">
      <c r="A28" s="98"/>
      <c r="B28" s="98"/>
      <c r="C28" s="98"/>
      <c r="D28" s="98"/>
      <c r="E28" s="98"/>
      <c r="F28" s="98"/>
      <c r="G28" s="98"/>
      <c r="H28" s="98"/>
      <c r="I28" s="98"/>
      <c r="J28" s="98"/>
      <c r="K28" s="98"/>
    </row>
    <row r="31" spans="1:11" s="100" customFormat="1">
      <c r="A31" s="173" t="s">
        <v>226</v>
      </c>
      <c r="B31" s="98"/>
      <c r="C31" s="98"/>
      <c r="D31" s="98"/>
      <c r="E31" s="98"/>
      <c r="F31" s="98"/>
      <c r="G31" s="98"/>
      <c r="H31" s="98"/>
      <c r="I31" s="98"/>
      <c r="J31" s="98"/>
      <c r="K31" s="98"/>
    </row>
    <row r="32" spans="1:11" s="100" customFormat="1">
      <c r="A32" s="98"/>
      <c r="B32" s="98"/>
      <c r="C32" s="98"/>
      <c r="D32" s="98"/>
      <c r="E32" s="98"/>
      <c r="F32" s="98"/>
      <c r="G32" s="98"/>
      <c r="H32" s="98"/>
      <c r="I32" s="98"/>
      <c r="J32" s="98"/>
      <c r="K32" s="98"/>
    </row>
    <row r="33" spans="1:11" s="100" customFormat="1" ht="15.75">
      <c r="A33" s="98"/>
      <c r="B33" s="182" t="str">
        <f>+B3</f>
        <v>Furniture and fixtures</v>
      </c>
      <c r="C33" s="186"/>
      <c r="D33" s="182" t="str">
        <f>+B4</f>
        <v>Musical equipment</v>
      </c>
      <c r="E33" s="186"/>
      <c r="F33" s="182" t="str">
        <f>+B5</f>
        <v>Office equipment</v>
      </c>
      <c r="G33" s="186"/>
      <c r="H33" s="182">
        <f>+B6</f>
        <v>0</v>
      </c>
      <c r="I33" s="185"/>
      <c r="J33" s="187" t="s">
        <v>227</v>
      </c>
      <c r="K33" s="98"/>
    </row>
    <row r="34" spans="1:11" s="100" customFormat="1" ht="15.75">
      <c r="A34" s="188" t="s">
        <v>228</v>
      </c>
      <c r="B34" s="174"/>
      <c r="C34" s="174"/>
      <c r="D34" s="174"/>
      <c r="E34" s="174"/>
      <c r="F34" s="189"/>
      <c r="G34" s="190"/>
      <c r="H34" s="189"/>
      <c r="I34" s="191"/>
      <c r="J34" s="191"/>
      <c r="K34" s="98"/>
    </row>
    <row r="35" spans="1:11" s="100" customFormat="1">
      <c r="A35" s="192" t="s">
        <v>373</v>
      </c>
      <c r="B35" s="183">
        <v>0</v>
      </c>
      <c r="C35" s="193"/>
      <c r="D35" s="183">
        <v>0</v>
      </c>
      <c r="E35" s="193"/>
      <c r="F35" s="183">
        <v>0</v>
      </c>
      <c r="G35" s="193"/>
      <c r="H35" s="183">
        <v>0</v>
      </c>
      <c r="I35" s="193"/>
      <c r="J35" s="193">
        <f>SUM(B35:I35)</f>
        <v>0</v>
      </c>
      <c r="K35" s="98"/>
    </row>
    <row r="36" spans="1:11" s="100" customFormat="1">
      <c r="A36" s="192" t="s">
        <v>229</v>
      </c>
      <c r="B36" s="183">
        <v>0</v>
      </c>
      <c r="C36" s="193"/>
      <c r="D36" s="183">
        <v>0</v>
      </c>
      <c r="E36" s="193"/>
      <c r="F36" s="183">
        <v>125237</v>
      </c>
      <c r="G36" s="193"/>
      <c r="H36" s="183">
        <v>349796</v>
      </c>
      <c r="I36" s="193"/>
      <c r="J36" s="193">
        <f>SUM(B36:I36)</f>
        <v>475033</v>
      </c>
      <c r="K36" s="98"/>
    </row>
    <row r="37" spans="1:11" s="100" customFormat="1">
      <c r="A37" s="192" t="s">
        <v>264</v>
      </c>
      <c r="B37" s="183">
        <v>0</v>
      </c>
      <c r="C37" s="193"/>
      <c r="D37" s="183">
        <v>0</v>
      </c>
      <c r="E37" s="193"/>
      <c r="F37" s="183">
        <v>0</v>
      </c>
      <c r="G37" s="193"/>
      <c r="H37" s="183">
        <v>0</v>
      </c>
      <c r="I37" s="193"/>
      <c r="J37" s="193">
        <f>SUM(B37:I37)</f>
        <v>0</v>
      </c>
      <c r="K37" s="98"/>
    </row>
    <row r="38" spans="1:11" s="100" customFormat="1">
      <c r="A38" s="192" t="s">
        <v>374</v>
      </c>
      <c r="B38" s="194">
        <f>SUM(B35:B37)</f>
        <v>0</v>
      </c>
      <c r="C38" s="193"/>
      <c r="D38" s="194">
        <f>SUM(D35:D37)</f>
        <v>0</v>
      </c>
      <c r="E38" s="193"/>
      <c r="F38" s="194">
        <f>SUM(F35:F37)</f>
        <v>125237</v>
      </c>
      <c r="G38" s="193"/>
      <c r="H38" s="194">
        <f>SUM(H35:H37)</f>
        <v>349796</v>
      </c>
      <c r="I38" s="193"/>
      <c r="J38" s="194">
        <v>475033</v>
      </c>
      <c r="K38" s="98"/>
    </row>
    <row r="39" spans="1:11" s="100" customFormat="1" ht="15.75">
      <c r="A39" s="195"/>
      <c r="B39" s="193"/>
      <c r="C39" s="193"/>
      <c r="D39" s="193"/>
      <c r="E39" s="193"/>
      <c r="F39" s="193"/>
      <c r="G39" s="193"/>
      <c r="H39" s="193"/>
      <c r="I39" s="193"/>
      <c r="J39" s="193"/>
      <c r="K39" s="98"/>
    </row>
    <row r="40" spans="1:11" s="100" customFormat="1" ht="15.75">
      <c r="A40" s="196" t="s">
        <v>230</v>
      </c>
      <c r="B40" s="193"/>
      <c r="C40" s="193"/>
      <c r="D40" s="193"/>
      <c r="E40" s="193"/>
      <c r="F40" s="193"/>
      <c r="G40" s="193"/>
      <c r="H40" s="193"/>
      <c r="I40" s="193"/>
      <c r="J40" s="193"/>
      <c r="K40" s="98"/>
    </row>
    <row r="41" spans="1:11" s="100" customFormat="1">
      <c r="A41" s="192" t="s">
        <v>373</v>
      </c>
      <c r="B41" s="183">
        <v>0</v>
      </c>
      <c r="C41" s="193"/>
      <c r="D41" s="183">
        <v>0</v>
      </c>
      <c r="E41" s="193"/>
      <c r="F41" s="183">
        <v>0</v>
      </c>
      <c r="G41" s="193"/>
      <c r="H41" s="183">
        <v>0</v>
      </c>
      <c r="I41" s="193"/>
      <c r="J41" s="193">
        <f>SUM(B41:I41)</f>
        <v>0</v>
      </c>
      <c r="K41" s="98"/>
    </row>
    <row r="42" spans="1:11" s="100" customFormat="1" ht="15.75">
      <c r="A42" s="191" t="s">
        <v>375</v>
      </c>
      <c r="B42" s="183">
        <v>0</v>
      </c>
      <c r="C42" s="193"/>
      <c r="D42" s="183">
        <v>0</v>
      </c>
      <c r="E42" s="193"/>
      <c r="F42" s="183">
        <v>40748</v>
      </c>
      <c r="G42" s="193"/>
      <c r="H42" s="183">
        <v>107078</v>
      </c>
      <c r="I42" s="193"/>
      <c r="J42" s="193">
        <f>SUM(B42:I42)</f>
        <v>147826</v>
      </c>
      <c r="K42" s="98"/>
    </row>
    <row r="43" spans="1:11" s="100" customFormat="1">
      <c r="A43" s="192" t="s">
        <v>264</v>
      </c>
      <c r="B43" s="183">
        <v>0</v>
      </c>
      <c r="C43" s="193"/>
      <c r="D43" s="183">
        <v>0</v>
      </c>
      <c r="E43" s="193"/>
      <c r="F43" s="183">
        <v>0</v>
      </c>
      <c r="G43" s="193"/>
      <c r="H43" s="183">
        <v>0</v>
      </c>
      <c r="I43" s="193"/>
      <c r="J43" s="193">
        <f>SUM(B43:I43)</f>
        <v>0</v>
      </c>
      <c r="K43" s="98"/>
    </row>
    <row r="44" spans="1:11" s="100" customFormat="1">
      <c r="A44" s="192" t="s">
        <v>374</v>
      </c>
      <c r="B44" s="194">
        <f>SUM(B41:B43)</f>
        <v>0</v>
      </c>
      <c r="C44" s="193"/>
      <c r="D44" s="194">
        <f>SUM(D41:D43)</f>
        <v>0</v>
      </c>
      <c r="E44" s="193"/>
      <c r="F44" s="194">
        <f>SUM(F41:F43)</f>
        <v>40748</v>
      </c>
      <c r="G44" s="193"/>
      <c r="H44" s="194">
        <f>SUM(H41:H43)</f>
        <v>107078</v>
      </c>
      <c r="I44" s="193"/>
      <c r="J44" s="194">
        <v>147826</v>
      </c>
      <c r="K44" s="98"/>
    </row>
    <row r="45" spans="1:11" s="100" customFormat="1" ht="15.75">
      <c r="A45" s="191"/>
      <c r="B45" s="193"/>
      <c r="C45" s="193"/>
      <c r="D45" s="193"/>
      <c r="E45" s="193"/>
      <c r="F45" s="193"/>
      <c r="G45" s="193"/>
      <c r="H45" s="193"/>
      <c r="I45" s="193"/>
      <c r="J45" s="193"/>
      <c r="K45" s="98"/>
    </row>
    <row r="46" spans="1:11" s="100" customFormat="1" ht="15.75">
      <c r="A46" s="196" t="s">
        <v>231</v>
      </c>
      <c r="B46" s="193"/>
      <c r="C46" s="193"/>
      <c r="D46" s="193"/>
      <c r="E46" s="193"/>
      <c r="F46" s="193"/>
      <c r="G46" s="193"/>
      <c r="H46" s="193"/>
      <c r="I46" s="193"/>
      <c r="J46" s="193"/>
      <c r="K46" s="98"/>
    </row>
    <row r="47" spans="1:11" s="100" customFormat="1" ht="15.75" thickBot="1">
      <c r="A47" s="192" t="s">
        <v>374</v>
      </c>
      <c r="B47" s="197">
        <f>+B38-B44</f>
        <v>0</v>
      </c>
      <c r="C47" s="193"/>
      <c r="D47" s="197">
        <f>+D38-D44</f>
        <v>0</v>
      </c>
      <c r="E47" s="193"/>
      <c r="F47" s="197">
        <f>+F38-F44</f>
        <v>84489</v>
      </c>
      <c r="G47" s="193"/>
      <c r="H47" s="197">
        <f>+H38-H44</f>
        <v>242718</v>
      </c>
      <c r="I47" s="193"/>
      <c r="J47" s="197">
        <f>+J38-J44</f>
        <v>327207</v>
      </c>
      <c r="K47" s="98"/>
    </row>
    <row r="48" spans="1:11" s="100" customFormat="1" ht="16.5" thickTop="1">
      <c r="A48" s="191"/>
      <c r="B48" s="193"/>
      <c r="C48" s="193"/>
      <c r="D48" s="193"/>
      <c r="E48" s="193"/>
      <c r="F48" s="193"/>
      <c r="G48" s="193"/>
      <c r="H48" s="193"/>
      <c r="I48" s="193"/>
      <c r="J48" s="193"/>
      <c r="K48" s="98"/>
    </row>
    <row r="49" spans="1:11" s="100" customFormat="1" ht="15.75" thickBot="1">
      <c r="A49" s="192" t="s">
        <v>380</v>
      </c>
      <c r="B49" s="184">
        <v>0</v>
      </c>
      <c r="C49" s="193"/>
      <c r="D49" s="184">
        <v>0</v>
      </c>
      <c r="E49" s="193"/>
      <c r="F49" s="184">
        <v>0</v>
      </c>
      <c r="G49" s="193"/>
      <c r="H49" s="184">
        <v>0</v>
      </c>
      <c r="I49" s="193"/>
      <c r="J49" s="197">
        <f>SUM(B49:I49)</f>
        <v>0</v>
      </c>
      <c r="K49" s="98"/>
    </row>
    <row r="50" spans="1:11" s="100" customFormat="1" ht="15.75" thickTop="1">
      <c r="A50" s="98"/>
      <c r="B50" s="98"/>
      <c r="C50" s="98"/>
      <c r="D50" s="98"/>
      <c r="E50" s="98"/>
      <c r="F50" s="98"/>
      <c r="G50" s="98"/>
      <c r="H50" s="98"/>
      <c r="I50" s="98"/>
      <c r="J50" s="98"/>
      <c r="K50" s="98"/>
    </row>
    <row r="52" spans="1:11">
      <c r="A52" s="255" t="s">
        <v>416</v>
      </c>
    </row>
    <row r="55" spans="1:11">
      <c r="A55" s="170" t="s">
        <v>417</v>
      </c>
      <c r="B55" s="170"/>
      <c r="C55" s="170"/>
      <c r="D55" s="262">
        <v>0</v>
      </c>
      <c r="E55" s="262"/>
      <c r="F55" s="262">
        <v>0</v>
      </c>
    </row>
    <row r="56" spans="1:11">
      <c r="A56" s="170" t="s">
        <v>418</v>
      </c>
      <c r="B56" s="170"/>
      <c r="C56" s="170"/>
      <c r="D56" s="262">
        <v>0</v>
      </c>
      <c r="E56" s="262"/>
      <c r="F56" s="262">
        <v>0</v>
      </c>
    </row>
    <row r="57" spans="1:11">
      <c r="A57" s="170" t="s">
        <v>419</v>
      </c>
      <c r="B57" s="170"/>
      <c r="C57" s="170"/>
      <c r="D57" s="263">
        <v>0</v>
      </c>
      <c r="E57" s="262"/>
      <c r="F57" s="263">
        <v>0</v>
      </c>
    </row>
    <row r="58" spans="1:11" ht="15.75" thickBot="1">
      <c r="A58" s="170"/>
      <c r="B58" s="170"/>
      <c r="C58" s="170"/>
      <c r="D58" s="257">
        <f>SUM(D55:D57)</f>
        <v>0</v>
      </c>
      <c r="E58" s="256"/>
      <c r="F58" s="257">
        <f>SUM(F55:F57)</f>
        <v>0</v>
      </c>
    </row>
    <row r="59" spans="1:11" ht="15.75" thickTop="1">
      <c r="A59" s="170"/>
      <c r="B59" s="170"/>
      <c r="C59" s="170"/>
      <c r="D59" s="170"/>
      <c r="E59" s="170"/>
      <c r="F59" s="170"/>
    </row>
    <row r="60" spans="1:11">
      <c r="A60" s="170" t="s">
        <v>436</v>
      </c>
      <c r="B60" s="170"/>
      <c r="C60" s="170"/>
      <c r="D60" s="170"/>
      <c r="E60" s="170"/>
      <c r="F60" s="96"/>
      <c r="G60" s="170"/>
      <c r="H60" s="170"/>
    </row>
    <row r="61" spans="1:11">
      <c r="A61" s="170"/>
      <c r="B61" s="170"/>
      <c r="C61" s="170"/>
      <c r="D61" s="170"/>
      <c r="E61" s="170"/>
      <c r="F61" s="170" t="s">
        <v>420</v>
      </c>
      <c r="G61" s="170"/>
      <c r="H61" s="170"/>
    </row>
    <row r="62" spans="1:11">
      <c r="A62" s="170"/>
      <c r="B62" s="170"/>
      <c r="C62" s="170"/>
      <c r="D62" s="170"/>
      <c r="E62" s="170"/>
      <c r="F62" s="258" t="s">
        <v>421</v>
      </c>
      <c r="G62" s="170"/>
      <c r="H62" s="170"/>
    </row>
    <row r="63" spans="1:11">
      <c r="A63" s="96"/>
      <c r="B63" s="170" t="s">
        <v>422</v>
      </c>
      <c r="C63" s="170"/>
      <c r="D63" s="170" t="s">
        <v>423</v>
      </c>
      <c r="E63" s="170"/>
      <c r="F63" s="170" t="s">
        <v>424</v>
      </c>
      <c r="G63" s="170"/>
      <c r="H63" s="170" t="s">
        <v>425</v>
      </c>
    </row>
    <row r="64" spans="1:11">
      <c r="A64" s="259" t="s">
        <v>426</v>
      </c>
      <c r="B64" s="260" t="s">
        <v>427</v>
      </c>
      <c r="C64" s="170"/>
      <c r="D64" s="261" t="s">
        <v>428</v>
      </c>
      <c r="E64" s="170"/>
      <c r="F64" s="261" t="s">
        <v>435</v>
      </c>
      <c r="G64" s="170"/>
      <c r="H64" s="261" t="s">
        <v>429</v>
      </c>
    </row>
    <row r="65" spans="1:11">
      <c r="A65" s="170"/>
      <c r="B65" s="170"/>
      <c r="C65" s="170"/>
      <c r="D65" s="170"/>
      <c r="E65" s="170"/>
      <c r="F65" s="170"/>
      <c r="G65" s="170"/>
      <c r="H65" s="170"/>
    </row>
    <row r="66" spans="1:11">
      <c r="A66" s="171" t="s">
        <v>430</v>
      </c>
      <c r="B66" s="171" t="s">
        <v>431</v>
      </c>
      <c r="C66" s="170"/>
      <c r="D66" s="171" t="s">
        <v>432</v>
      </c>
      <c r="E66" s="170"/>
      <c r="F66" s="171" t="s">
        <v>433</v>
      </c>
      <c r="G66" s="170"/>
      <c r="H66" s="171" t="s">
        <v>434</v>
      </c>
    </row>
    <row r="67" spans="1:11">
      <c r="A67" s="170"/>
      <c r="B67" s="170"/>
      <c r="C67" s="170"/>
      <c r="D67" s="170"/>
      <c r="E67" s="170"/>
      <c r="F67" s="170"/>
      <c r="G67" s="170"/>
      <c r="H67" s="170"/>
    </row>
    <row r="68" spans="1:11" s="100" customFormat="1">
      <c r="A68" s="198" t="s">
        <v>376</v>
      </c>
      <c r="B68" s="98"/>
      <c r="C68" s="98"/>
      <c r="D68" s="98"/>
      <c r="E68" s="98"/>
      <c r="F68" s="98"/>
      <c r="G68" s="98"/>
      <c r="H68" s="98"/>
      <c r="I68" s="98"/>
      <c r="J68" s="98"/>
      <c r="K68" s="98"/>
    </row>
    <row r="69" spans="1:11" s="100" customFormat="1">
      <c r="A69" s="198"/>
      <c r="B69" s="98"/>
      <c r="C69" s="98"/>
      <c r="D69" s="98"/>
      <c r="E69" s="98"/>
      <c r="F69" s="98"/>
      <c r="G69" s="98"/>
      <c r="H69" s="98"/>
      <c r="I69" s="98"/>
      <c r="J69" s="98"/>
      <c r="K69" s="98"/>
    </row>
    <row r="70" spans="1:11" s="100" customFormat="1">
      <c r="A70" s="98"/>
      <c r="B70" s="98"/>
      <c r="C70" s="98"/>
      <c r="D70" s="199" t="s">
        <v>382</v>
      </c>
      <c r="E70" s="200"/>
      <c r="F70" s="199" t="s">
        <v>383</v>
      </c>
      <c r="G70" s="98"/>
      <c r="H70" s="98"/>
      <c r="I70" s="98"/>
      <c r="J70" s="98"/>
      <c r="K70" s="98"/>
    </row>
    <row r="71" spans="1:11" s="100" customFormat="1">
      <c r="A71" s="98"/>
      <c r="B71" s="98"/>
      <c r="C71" s="98"/>
      <c r="D71" s="199"/>
      <c r="E71" s="200"/>
      <c r="F71" s="201"/>
      <c r="G71" s="98"/>
      <c r="H71" s="98"/>
      <c r="I71" s="98"/>
      <c r="J71" s="98"/>
      <c r="K71" s="98"/>
    </row>
    <row r="72" spans="1:11" s="100" customFormat="1">
      <c r="A72" s="181" t="s">
        <v>303</v>
      </c>
      <c r="B72" s="98"/>
      <c r="C72" s="98"/>
      <c r="D72" s="202"/>
      <c r="E72" s="202"/>
      <c r="F72" s="202"/>
      <c r="G72" s="98"/>
      <c r="H72" s="98"/>
      <c r="I72" s="98"/>
      <c r="J72" s="98"/>
      <c r="K72" s="98"/>
    </row>
    <row r="73" spans="1:11" s="100" customFormat="1">
      <c r="A73" s="207" t="s">
        <v>304</v>
      </c>
      <c r="B73" s="98"/>
      <c r="C73" s="98"/>
      <c r="D73" s="206">
        <v>0</v>
      </c>
      <c r="E73" s="202"/>
      <c r="F73" s="206">
        <v>228328</v>
      </c>
      <c r="G73" s="98"/>
      <c r="H73" s="98"/>
      <c r="I73" s="98"/>
      <c r="J73" s="98"/>
      <c r="K73" s="98"/>
    </row>
    <row r="74" spans="1:11" s="100" customFormat="1">
      <c r="A74" s="203"/>
      <c r="B74" s="98"/>
      <c r="C74" s="98"/>
      <c r="D74" s="202"/>
      <c r="E74" s="202"/>
      <c r="F74" s="202"/>
      <c r="G74" s="98"/>
      <c r="H74" s="98"/>
      <c r="I74" s="98"/>
      <c r="J74" s="98"/>
      <c r="K74" s="98"/>
    </row>
    <row r="75" spans="1:11" s="100" customFormat="1">
      <c r="A75" s="207" t="s">
        <v>305</v>
      </c>
      <c r="B75" s="98"/>
      <c r="C75" s="98"/>
      <c r="D75" s="202"/>
      <c r="E75" s="202"/>
      <c r="F75" s="202"/>
      <c r="G75" s="98"/>
      <c r="H75" s="98"/>
      <c r="I75" s="98"/>
      <c r="J75" s="98"/>
      <c r="K75" s="98"/>
    </row>
    <row r="76" spans="1:11" s="100" customFormat="1">
      <c r="A76" s="207" t="s">
        <v>306</v>
      </c>
      <c r="B76" s="98"/>
      <c r="C76" s="98"/>
      <c r="D76" s="206">
        <v>949297</v>
      </c>
      <c r="E76" s="202"/>
      <c r="F76" s="206"/>
      <c r="I76" s="98"/>
      <c r="J76" s="98"/>
      <c r="K76" s="98"/>
    </row>
    <row r="77" spans="1:11" s="100" customFormat="1" ht="15.75" thickBot="1">
      <c r="A77" s="203"/>
      <c r="B77" s="98"/>
      <c r="C77" s="98"/>
      <c r="D77" s="204">
        <f>SUM(D73:D76)</f>
        <v>949297</v>
      </c>
      <c r="E77" s="202"/>
      <c r="F77" s="204">
        <f>SUM(F73:F76)</f>
        <v>228328</v>
      </c>
      <c r="I77" s="98"/>
      <c r="J77" s="98"/>
      <c r="K77" s="98"/>
    </row>
    <row r="78" spans="1:11" s="100" customFormat="1" ht="15.75" thickTop="1">
      <c r="A78" s="203"/>
      <c r="B78" s="98"/>
      <c r="C78" s="98"/>
      <c r="D78" s="202"/>
      <c r="E78" s="202"/>
      <c r="F78" s="202"/>
      <c r="I78" s="98"/>
      <c r="J78" s="98"/>
      <c r="K78" s="98"/>
    </row>
    <row r="79" spans="1:11" s="100" customFormat="1">
      <c r="A79" s="208" t="s">
        <v>381</v>
      </c>
      <c r="B79" s="181"/>
      <c r="C79" s="181"/>
      <c r="D79" s="206"/>
      <c r="E79" s="206"/>
      <c r="F79" s="206"/>
      <c r="I79" s="98"/>
      <c r="J79" s="98"/>
      <c r="K79" s="98"/>
    </row>
    <row r="80" spans="1:11" s="100" customFormat="1">
      <c r="A80" s="169" t="s">
        <v>308</v>
      </c>
      <c r="B80" s="98"/>
      <c r="C80" s="98"/>
      <c r="D80" s="98"/>
      <c r="E80" s="98"/>
      <c r="F80" s="98"/>
      <c r="G80" s="98"/>
      <c r="H80" s="98"/>
      <c r="I80" s="98"/>
      <c r="J80" s="98"/>
      <c r="K80" s="98"/>
    </row>
    <row r="81" spans="1:11" s="100" customFormat="1">
      <c r="A81" s="169" t="s">
        <v>369</v>
      </c>
      <c r="B81" s="98"/>
      <c r="C81" s="98"/>
      <c r="D81" s="98"/>
      <c r="E81" s="98"/>
      <c r="F81" s="98"/>
      <c r="G81" s="98"/>
      <c r="H81" s="98"/>
      <c r="I81" s="98"/>
      <c r="J81" s="98"/>
      <c r="K81" s="98"/>
    </row>
    <row r="83" spans="1:11" s="100" customFormat="1">
      <c r="A83" s="198" t="s">
        <v>365</v>
      </c>
      <c r="B83" s="169"/>
      <c r="C83" s="169"/>
      <c r="D83" s="169"/>
      <c r="E83" s="169"/>
      <c r="F83" s="169"/>
      <c r="G83" s="169"/>
      <c r="H83" s="169"/>
      <c r="I83" s="169"/>
      <c r="J83" s="169"/>
      <c r="K83" s="169"/>
    </row>
    <row r="84" spans="1:11" s="100" customFormat="1">
      <c r="A84" s="198"/>
      <c r="B84" s="169"/>
      <c r="C84" s="169"/>
      <c r="D84" s="169"/>
      <c r="E84" s="169"/>
      <c r="F84" s="169"/>
      <c r="G84" s="169"/>
      <c r="H84" s="169"/>
      <c r="I84" s="169"/>
      <c r="J84" s="169"/>
      <c r="K84" s="169"/>
    </row>
    <row r="85" spans="1:11" s="100" customFormat="1">
      <c r="A85" s="209" t="s">
        <v>366</v>
      </c>
      <c r="B85" s="169"/>
      <c r="C85" s="169"/>
      <c r="D85" s="169"/>
      <c r="E85" s="169"/>
      <c r="F85" s="169"/>
      <c r="G85" s="169"/>
      <c r="H85" s="169"/>
      <c r="I85" s="169"/>
      <c r="J85" s="169"/>
      <c r="K85" s="169"/>
    </row>
    <row r="86" spans="1:11" s="100" customFormat="1">
      <c r="A86" s="169"/>
      <c r="B86" s="169"/>
      <c r="C86" s="169"/>
      <c r="D86" s="199" t="s">
        <v>382</v>
      </c>
      <c r="E86" s="200"/>
      <c r="F86" s="199" t="s">
        <v>383</v>
      </c>
      <c r="G86" s="169"/>
      <c r="H86" s="169"/>
      <c r="I86" s="169"/>
      <c r="J86" s="169"/>
      <c r="K86" s="169"/>
    </row>
    <row r="87" spans="1:11" s="100" customFormat="1">
      <c r="A87" s="169"/>
      <c r="B87" s="169"/>
      <c r="C87" s="169"/>
      <c r="D87" s="199"/>
      <c r="E87" s="210"/>
      <c r="F87" s="201"/>
      <c r="G87" s="169"/>
      <c r="H87" s="169"/>
      <c r="I87" s="169"/>
      <c r="J87" s="169"/>
      <c r="K87" s="169"/>
    </row>
    <row r="88" spans="1:11" s="100" customFormat="1">
      <c r="A88" s="169" t="s">
        <v>367</v>
      </c>
      <c r="B88" s="169"/>
      <c r="C88" s="169"/>
      <c r="D88" s="213">
        <v>256851</v>
      </c>
      <c r="E88" s="211"/>
      <c r="F88" s="213">
        <v>187464</v>
      </c>
      <c r="G88" s="169"/>
      <c r="H88" s="169"/>
      <c r="I88" s="169"/>
      <c r="J88" s="169"/>
      <c r="K88" s="169"/>
    </row>
    <row r="89" spans="1:11" s="100" customFormat="1">
      <c r="A89" s="205" t="s">
        <v>368</v>
      </c>
      <c r="B89" s="169"/>
      <c r="C89" s="169"/>
      <c r="D89" s="213">
        <v>521948</v>
      </c>
      <c r="E89" s="211"/>
      <c r="F89" s="213">
        <v>444644</v>
      </c>
      <c r="G89" s="169"/>
      <c r="H89" s="169"/>
      <c r="I89" s="169"/>
      <c r="J89" s="169"/>
      <c r="K89" s="169"/>
    </row>
    <row r="90" spans="1:11" s="100" customFormat="1" ht="15.75" thickBot="1">
      <c r="A90" s="205"/>
      <c r="B90" s="169"/>
      <c r="C90" s="169"/>
      <c r="D90" s="212">
        <f>SUM(D88:D89)</f>
        <v>778799</v>
      </c>
      <c r="E90" s="211"/>
      <c r="F90" s="212">
        <f>SUM(F88:F89)</f>
        <v>632108</v>
      </c>
      <c r="G90" s="169"/>
      <c r="H90" s="169"/>
      <c r="I90" s="169"/>
      <c r="J90" s="169"/>
      <c r="K90" s="169"/>
    </row>
    <row r="91" spans="1:11" s="100" customFormat="1" ht="15.75" thickTop="1">
      <c r="A91" s="205"/>
      <c r="B91" s="169"/>
      <c r="C91" s="169"/>
      <c r="D91" s="169"/>
      <c r="E91" s="169"/>
      <c r="F91" s="169"/>
      <c r="G91" s="169"/>
      <c r="H91" s="169"/>
      <c r="I91" s="169"/>
      <c r="J91" s="169"/>
      <c r="K91" s="169"/>
    </row>
    <row r="93" spans="1:11" s="100" customFormat="1">
      <c r="A93" s="198" t="s">
        <v>232</v>
      </c>
      <c r="B93" s="98"/>
      <c r="C93" s="98"/>
      <c r="D93" s="98"/>
      <c r="E93" s="98"/>
      <c r="F93" s="98"/>
      <c r="G93" s="98"/>
      <c r="H93" s="98"/>
      <c r="I93" s="98"/>
      <c r="J93" s="98"/>
      <c r="K93" s="98"/>
    </row>
    <row r="94" spans="1:11" s="100" customFormat="1">
      <c r="A94" s="98"/>
      <c r="B94" s="98"/>
      <c r="C94" s="98"/>
      <c r="D94" s="98"/>
      <c r="E94" s="98"/>
      <c r="F94" s="98"/>
      <c r="G94" s="98"/>
      <c r="H94" s="98"/>
      <c r="I94" s="98"/>
      <c r="J94" s="98"/>
      <c r="K94" s="98"/>
    </row>
    <row r="95" spans="1:11" s="100" customFormat="1">
      <c r="A95" s="98" t="s">
        <v>233</v>
      </c>
      <c r="B95" s="98"/>
      <c r="C95" s="98"/>
      <c r="D95" s="98"/>
      <c r="E95" s="98"/>
      <c r="F95" s="98"/>
      <c r="G95" s="98"/>
      <c r="H95" s="98"/>
      <c r="I95" s="98"/>
      <c r="J95" s="98"/>
      <c r="K95" s="98"/>
    </row>
    <row r="96" spans="1:11" s="100" customFormat="1">
      <c r="A96" s="98"/>
      <c r="B96" s="98"/>
      <c r="C96" s="98"/>
      <c r="D96" s="98"/>
      <c r="E96" s="98"/>
      <c r="F96" s="98"/>
      <c r="G96" s="98"/>
      <c r="H96" s="98"/>
      <c r="I96" s="98"/>
      <c r="J96" s="98"/>
      <c r="K96" s="98"/>
    </row>
    <row r="97" spans="1:11" s="100" customFormat="1">
      <c r="A97" s="214" t="s">
        <v>234</v>
      </c>
      <c r="B97" s="214" t="s">
        <v>277</v>
      </c>
      <c r="C97" s="98"/>
      <c r="D97" s="199" t="s">
        <v>384</v>
      </c>
      <c r="E97" s="98"/>
      <c r="F97" s="199" t="s">
        <v>383</v>
      </c>
      <c r="G97" s="98"/>
      <c r="H97" s="98"/>
      <c r="I97" s="98"/>
      <c r="J97" s="98"/>
      <c r="K97" s="98"/>
    </row>
    <row r="98" spans="1:11" s="100" customFormat="1">
      <c r="A98" s="98"/>
      <c r="B98" s="98"/>
      <c r="C98" s="98"/>
      <c r="D98" s="98"/>
      <c r="E98" s="98"/>
      <c r="F98" s="98"/>
      <c r="G98" s="98"/>
      <c r="H98" s="98"/>
      <c r="I98" s="98"/>
      <c r="J98" s="98"/>
      <c r="K98" s="98"/>
    </row>
    <row r="99" spans="1:11" s="100" customFormat="1" ht="30.75" thickBot="1">
      <c r="A99" s="215" t="s">
        <v>279</v>
      </c>
      <c r="B99" s="215" t="s">
        <v>278</v>
      </c>
      <c r="C99" s="98"/>
      <c r="D99" s="216">
        <v>3105</v>
      </c>
      <c r="E99" s="98"/>
      <c r="F99" s="217">
        <v>7600</v>
      </c>
      <c r="G99" s="98"/>
      <c r="H99" s="98"/>
      <c r="I99" s="98"/>
      <c r="J99" s="98"/>
      <c r="K99" s="98"/>
    </row>
    <row r="100" spans="1:11" s="100" customFormat="1" ht="15.75" thickTop="1">
      <c r="A100" s="98"/>
      <c r="B100" s="98"/>
      <c r="C100" s="98"/>
      <c r="D100" s="116"/>
      <c r="E100" s="98"/>
      <c r="F100" s="117"/>
      <c r="G100" s="98"/>
      <c r="H100" s="98"/>
      <c r="I100" s="98"/>
      <c r="J100" s="98"/>
      <c r="K100" s="98"/>
    </row>
    <row r="101" spans="1:11" s="100" customFormat="1" ht="30.75" thickBot="1">
      <c r="A101" s="215" t="s">
        <v>280</v>
      </c>
      <c r="B101" s="215" t="s">
        <v>281</v>
      </c>
      <c r="C101" s="98"/>
      <c r="D101" s="216">
        <v>90000</v>
      </c>
      <c r="E101" s="98"/>
      <c r="F101" s="217">
        <v>0</v>
      </c>
      <c r="G101" s="98"/>
      <c r="H101" s="98"/>
      <c r="I101" s="98"/>
      <c r="J101" s="98"/>
      <c r="K101" s="98"/>
    </row>
    <row r="102" spans="1:11" s="100" customFormat="1" ht="15.75" thickTop="1">
      <c r="A102" s="98"/>
      <c r="B102" s="98"/>
      <c r="C102" s="98"/>
      <c r="D102" s="116"/>
      <c r="E102" s="98"/>
      <c r="F102" s="117"/>
      <c r="G102" s="98"/>
      <c r="H102" s="98"/>
      <c r="I102" s="98"/>
      <c r="J102" s="98"/>
      <c r="K102" s="98"/>
    </row>
    <row r="103" spans="1:11" s="100" customFormat="1" ht="30.75" thickBot="1">
      <c r="A103" s="215" t="s">
        <v>282</v>
      </c>
      <c r="B103" s="215" t="s">
        <v>283</v>
      </c>
      <c r="C103" s="98"/>
      <c r="D103" s="216">
        <v>0</v>
      </c>
      <c r="E103" s="98"/>
      <c r="F103" s="217">
        <v>1800</v>
      </c>
      <c r="G103" s="98"/>
      <c r="H103" s="98"/>
      <c r="I103" s="98"/>
      <c r="J103" s="98"/>
      <c r="K103" s="98"/>
    </row>
    <row r="104" spans="1:11" s="100" customFormat="1" ht="15.75" thickTop="1">
      <c r="A104" s="98"/>
      <c r="B104" s="98"/>
      <c r="C104" s="98"/>
      <c r="D104" s="116"/>
      <c r="E104" s="98"/>
      <c r="F104" s="117"/>
      <c r="G104" s="98"/>
      <c r="H104" s="98"/>
      <c r="I104" s="98"/>
      <c r="J104" s="98"/>
      <c r="K104" s="98"/>
    </row>
    <row r="105" spans="1:11" s="100" customFormat="1">
      <c r="A105" s="173" t="s">
        <v>300</v>
      </c>
      <c r="B105" s="98"/>
      <c r="C105" s="98"/>
      <c r="D105" s="98"/>
      <c r="E105" s="98"/>
      <c r="F105" s="98"/>
      <c r="G105" s="98"/>
      <c r="H105" s="98"/>
      <c r="I105" s="98"/>
      <c r="J105" s="98"/>
      <c r="K105" s="98"/>
    </row>
    <row r="106" spans="1:11" s="100" customFormat="1">
      <c r="A106" s="98"/>
      <c r="B106" s="98"/>
      <c r="C106" s="98"/>
      <c r="D106" s="98"/>
      <c r="E106" s="98"/>
      <c r="F106" s="98"/>
      <c r="G106" s="98"/>
      <c r="H106" s="98"/>
      <c r="I106" s="98"/>
      <c r="J106" s="98"/>
      <c r="K106" s="98"/>
    </row>
    <row r="107" spans="1:11" s="100" customFormat="1">
      <c r="A107" s="98" t="s">
        <v>307</v>
      </c>
      <c r="B107" s="98"/>
      <c r="C107" s="98"/>
      <c r="D107" s="98"/>
      <c r="E107" s="98"/>
      <c r="F107" s="98"/>
      <c r="G107" s="98"/>
      <c r="H107" s="98"/>
      <c r="I107" s="98"/>
      <c r="J107" s="98"/>
      <c r="K107" s="98"/>
    </row>
    <row r="108" spans="1:11" s="100" customFormat="1">
      <c r="A108" s="98"/>
      <c r="B108" s="98"/>
      <c r="C108" s="98"/>
      <c r="D108" s="98"/>
      <c r="E108" s="98"/>
      <c r="F108" s="98"/>
      <c r="G108" s="98"/>
      <c r="H108" s="98"/>
      <c r="I108" s="98"/>
      <c r="J108" s="98"/>
      <c r="K108" s="98"/>
    </row>
    <row r="109" spans="1:11" s="100" customFormat="1">
      <c r="A109" s="98"/>
      <c r="B109" s="98"/>
      <c r="C109" s="98"/>
      <c r="D109" s="199" t="s">
        <v>384</v>
      </c>
      <c r="E109" s="98"/>
      <c r="F109" s="199" t="s">
        <v>383</v>
      </c>
      <c r="G109" s="98"/>
      <c r="H109" s="98"/>
      <c r="I109" s="98"/>
      <c r="J109" s="98"/>
      <c r="K109" s="98"/>
    </row>
    <row r="110" spans="1:11" s="100" customFormat="1">
      <c r="A110" s="98"/>
      <c r="B110" s="98"/>
      <c r="C110" s="98"/>
      <c r="D110" s="98"/>
      <c r="E110" s="98"/>
      <c r="F110" s="98"/>
      <c r="G110" s="98"/>
      <c r="H110" s="98"/>
      <c r="I110" s="98"/>
      <c r="J110" s="98"/>
      <c r="K110" s="98"/>
    </row>
    <row r="111" spans="1:11" s="100" customFormat="1">
      <c r="A111" s="98" t="s">
        <v>301</v>
      </c>
      <c r="B111" s="98"/>
      <c r="C111" s="98"/>
      <c r="D111" s="218">
        <v>156000</v>
      </c>
      <c r="E111" s="219"/>
      <c r="F111" s="218">
        <v>149500</v>
      </c>
      <c r="G111" s="98"/>
      <c r="H111" s="98"/>
      <c r="I111" s="98"/>
      <c r="J111" s="98"/>
      <c r="K111" s="98"/>
    </row>
    <row r="112" spans="1:11" s="100" customFormat="1">
      <c r="A112" s="98" t="s">
        <v>302</v>
      </c>
      <c r="B112" s="98"/>
      <c r="C112" s="98"/>
      <c r="D112" s="218">
        <v>104000</v>
      </c>
      <c r="E112" s="219"/>
      <c r="F112" s="218">
        <v>0</v>
      </c>
      <c r="G112" s="98"/>
      <c r="H112" s="98"/>
      <c r="I112" s="98"/>
      <c r="J112" s="98"/>
      <c r="K112" s="98"/>
    </row>
    <row r="113" spans="1:11" s="100" customFormat="1" ht="15.75" thickBot="1">
      <c r="A113" s="98"/>
      <c r="B113" s="98"/>
      <c r="C113" s="98"/>
      <c r="D113" s="220">
        <f>SUM(D111:D112)</f>
        <v>260000</v>
      </c>
      <c r="E113" s="219"/>
      <c r="F113" s="220">
        <f>SUM(F111:F112)</f>
        <v>149500</v>
      </c>
      <c r="G113" s="98"/>
      <c r="H113" s="98"/>
      <c r="I113" s="98"/>
      <c r="J113" s="98"/>
      <c r="K113" s="98"/>
    </row>
    <row r="114" spans="1:11" s="100" customFormat="1" ht="15.75" thickTop="1">
      <c r="A114" s="98"/>
      <c r="B114" s="98"/>
      <c r="C114" s="98"/>
      <c r="D114" s="98"/>
      <c r="E114" s="98"/>
      <c r="F114" s="98"/>
      <c r="G114" s="98"/>
      <c r="H114" s="98"/>
      <c r="I114" s="98"/>
      <c r="J114" s="98"/>
      <c r="K114" s="98"/>
    </row>
    <row r="115" spans="1:11" s="100" customFormat="1">
      <c r="A115" s="98"/>
      <c r="B115" s="98"/>
      <c r="C115" s="98"/>
      <c r="D115" s="98"/>
      <c r="E115" s="98"/>
      <c r="F115" s="98"/>
      <c r="G115" s="98"/>
      <c r="H115" s="98"/>
      <c r="I115" s="98"/>
      <c r="J115" s="98"/>
      <c r="K115" s="98"/>
    </row>
    <row r="116" spans="1:11" s="100" customFormat="1">
      <c r="A116" s="169" t="s">
        <v>360</v>
      </c>
      <c r="B116" s="98"/>
      <c r="C116" s="98"/>
      <c r="D116" s="98"/>
      <c r="E116" s="98"/>
      <c r="F116" s="98"/>
      <c r="G116" s="98"/>
      <c r="H116" s="98"/>
      <c r="I116" s="98"/>
      <c r="J116" s="98"/>
      <c r="K116" s="98"/>
    </row>
    <row r="117" spans="1:11" s="100" customFormat="1">
      <c r="A117" s="98"/>
      <c r="B117" s="98"/>
      <c r="C117" s="98"/>
      <c r="D117" s="98"/>
      <c r="E117" s="98"/>
      <c r="F117" s="98"/>
      <c r="G117" s="98"/>
      <c r="H117" s="98"/>
      <c r="I117" s="98"/>
      <c r="J117" s="98"/>
      <c r="K117" s="98"/>
    </row>
  </sheetData>
  <phoneticPr fontId="1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19</vt:i4>
      </vt:variant>
    </vt:vector>
  </HeadingPairs>
  <TitlesOfParts>
    <vt:vector size="38" baseType="lpstr">
      <vt:lpstr>Control</vt:lpstr>
      <vt:lpstr>Dir info</vt:lpstr>
      <vt:lpstr>D emol (3)</vt:lpstr>
      <vt:lpstr>D emol (4)</vt:lpstr>
      <vt:lpstr>D emol (5)</vt:lpstr>
      <vt:lpstr>D emol (6)</vt:lpstr>
      <vt:lpstr>Audit conf. (3)</vt:lpstr>
      <vt:lpstr>Audit conf. (4)</vt:lpstr>
      <vt:lpstr>Audit conf. (5)</vt:lpstr>
      <vt:lpstr>Audit conf. (6)</vt:lpstr>
      <vt:lpstr>T com dor</vt:lpstr>
      <vt:lpstr>T com (loss)</vt:lpstr>
      <vt:lpstr>T com (profit)</vt:lpstr>
      <vt:lpstr>Depn Allowances</vt:lpstr>
      <vt:lpstr>FA</vt:lpstr>
      <vt:lpstr>Adj</vt:lpstr>
      <vt:lpstr>Section3</vt:lpstr>
      <vt:lpstr>Section4</vt:lpstr>
      <vt:lpstr>Section6</vt:lpstr>
      <vt:lpstr>Control!Due_to_from_a_director</vt:lpstr>
      <vt:lpstr>Adj!Print_Area</vt:lpstr>
      <vt:lpstr>'Audit conf. (3)'!Print_Area</vt:lpstr>
      <vt:lpstr>'Audit conf. (4)'!Print_Area</vt:lpstr>
      <vt:lpstr>'Audit conf. (5)'!Print_Area</vt:lpstr>
      <vt:lpstr>'Audit conf. (6)'!Print_Area</vt:lpstr>
      <vt:lpstr>'D emol (3)'!Print_Area</vt:lpstr>
      <vt:lpstr>'D emol (4)'!Print_Area</vt:lpstr>
      <vt:lpstr>'D emol (5)'!Print_Area</vt:lpstr>
      <vt:lpstr>'D emol (6)'!Print_Area</vt:lpstr>
      <vt:lpstr>'Depn Allowances'!Print_Area</vt:lpstr>
      <vt:lpstr>Section3!Print_Area</vt:lpstr>
      <vt:lpstr>Section4!Print_Area</vt:lpstr>
      <vt:lpstr>'T com (loss)'!Print_Area</vt:lpstr>
      <vt:lpstr>'T com (profit)'!Print_Area</vt:lpstr>
      <vt:lpstr>'T com dor'!Print_Area</vt:lpstr>
      <vt:lpstr>Control!Shareholderhishertheir</vt:lpstr>
      <vt:lpstr>Control!TITLE</vt:lpstr>
      <vt:lpstr>TITLE2</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2018-01-06T16:17:57Z</dcterms:modified>
  <cp:category/>
  <cp:contentStatus/>
</cp:coreProperties>
</file>